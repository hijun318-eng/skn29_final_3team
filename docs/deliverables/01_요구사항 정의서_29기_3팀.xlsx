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ootcamp\최종\outputs\019ff8b5-8432-7d21-bb32-6427c4789c88\daesung_sync_20260813\"/>
    </mc:Choice>
  </mc:AlternateContent>
  <bookViews>
    <workbookView xWindow="0" yWindow="0" windowWidth="38400" windowHeight="17670"/>
  </bookViews>
  <sheets>
    <sheet name="1. 검토 요약" sheetId="1" r:id="rId1"/>
    <sheet name="2. 요구사항 목록" sheetId="2" r:id="rId2"/>
    <sheet name="3. 요구사항 정의서" sheetId="3" r:id="rId3"/>
    <sheet name="4. 검토·결정사항" sheetId="4" r:id="rId4"/>
  </sheets>
  <calcPr calcId="0"/>
</workbook>
</file>

<file path=xl/calcChain.xml><?xml version="1.0" encoding="utf-8"?>
<calcChain xmlns="http://schemas.openxmlformats.org/spreadsheetml/2006/main">
  <c r="E16" i="1" l="1"/>
  <c r="E15" i="1"/>
  <c r="E14" i="1"/>
</calcChain>
</file>

<file path=xl/sharedStrings.xml><?xml version="1.0" encoding="utf-8"?>
<sst xmlns="http://schemas.openxmlformats.org/spreadsheetml/2006/main" count="2211" uniqueCount="966">
  <si>
    <t>Answervice 요구사항 정의서</t>
  </si>
  <si>
    <r>
      <t xml:space="preserve">Answervice </t>
    </r>
    <r>
      <rPr>
        <b/>
        <sz val="11"/>
        <color rgb="FF1F3864"/>
        <rFont val="돋움"/>
        <family val="3"/>
      </rPr>
      <t>대화형</t>
    </r>
    <r>
      <rPr>
        <b/>
        <sz val="11"/>
        <color rgb="FF1F3864"/>
        <rFont val="Carlito"/>
      </rPr>
      <t xml:space="preserve"> </t>
    </r>
    <r>
      <rPr>
        <b/>
        <sz val="11"/>
        <color rgb="FF1F3864"/>
        <rFont val="돋움"/>
        <family val="3"/>
      </rPr>
      <t>데이터</t>
    </r>
    <r>
      <rPr>
        <b/>
        <sz val="11"/>
        <color rgb="FF1F3864"/>
        <rFont val="Carlito"/>
      </rPr>
      <t xml:space="preserve"> </t>
    </r>
    <r>
      <rPr>
        <b/>
        <sz val="11"/>
        <color rgb="FF1F3864"/>
        <rFont val="돋움"/>
        <family val="3"/>
      </rPr>
      <t>분석</t>
    </r>
    <r>
      <rPr>
        <b/>
        <sz val="11"/>
        <color rgb="FF1F3864"/>
        <rFont val="Carlito"/>
      </rPr>
      <t>·</t>
    </r>
    <r>
      <rPr>
        <b/>
        <sz val="11"/>
        <color rgb="FF1F3864"/>
        <rFont val="돋움"/>
        <family val="3"/>
      </rPr>
      <t>자동</t>
    </r>
    <r>
      <rPr>
        <b/>
        <sz val="11"/>
        <color rgb="FF1F3864"/>
        <rFont val="Carlito"/>
      </rPr>
      <t xml:space="preserve"> </t>
    </r>
    <r>
      <rPr>
        <b/>
        <sz val="11"/>
        <color rgb="FF1F3864"/>
        <rFont val="돋움"/>
        <family val="3"/>
      </rPr>
      <t>리포팅</t>
    </r>
    <r>
      <rPr>
        <b/>
        <sz val="11"/>
        <color rgb="FF1F3864"/>
        <rFont val="Carlito"/>
      </rPr>
      <t xml:space="preserve"> </t>
    </r>
    <r>
      <rPr>
        <b/>
        <sz val="11"/>
        <color rgb="FF1F3864"/>
        <rFont val="돋움"/>
        <family val="3"/>
      </rPr>
      <t>플랫폼</t>
    </r>
    <r>
      <rPr>
        <b/>
        <sz val="11"/>
        <color rgb="FF1F3864"/>
        <rFont val="Carlito"/>
      </rPr>
      <t/>
    </r>
  </si>
  <si>
    <r>
      <rPr>
        <sz val="11"/>
        <color rgb="FF595959"/>
        <rFont val="돋움"/>
        <family val="3"/>
      </rPr>
      <t>작성</t>
    </r>
    <r>
      <rPr>
        <sz val="11"/>
        <color rgb="FF595959"/>
        <rFont val="Carlito"/>
      </rPr>
      <t xml:space="preserve"> </t>
    </r>
    <r>
      <rPr>
        <sz val="11"/>
        <color rgb="FF595959"/>
        <rFont val="돋움"/>
        <family val="3"/>
      </rPr>
      <t>기준일</t>
    </r>
    <r>
      <rPr>
        <sz val="11"/>
        <color rgb="FF595959"/>
        <rFont val="Carlito"/>
      </rPr>
      <t xml:space="preserve"> 2026-08-13</t>
    </r>
    <r>
      <rPr>
        <sz val="11"/>
        <color rgb="FF595959"/>
        <rFont val="돋움"/>
        <family val="3"/>
      </rPr>
      <t/>
    </r>
  </si>
  <si>
    <t>1) 서비스 개요</t>
  </si>
  <si>
    <t>서비스 목적</t>
  </si>
  <si>
    <t>주요 사용자</t>
  </si>
  <si>
    <t>현업 분석 담당자 · 데이터·시스템 담당자 · 관리자·의사결정자</t>
  </si>
  <si>
    <t>검증 데이터</t>
  </si>
  <si>
    <t>실제 고객 데이터가 아닌 버전이 있는 합성 데이터 · 고정 시드와 Gold SQL·결과 사용</t>
  </si>
  <si>
    <t>핵심 가치</t>
  </si>
  <si>
    <t>교차 데이터 분석 · 실행 전후 안전 통제 · 분석과 보고서의 재사용 · 요청 단위 추적</t>
  </si>
  <si>
    <t>2) 범위 구분</t>
  </si>
  <si>
    <t>문서 표시</t>
  </si>
  <si>
    <t>기존 표기</t>
  </si>
  <si>
    <t>적용 기준</t>
  </si>
  <si>
    <t>요구사항 수</t>
  </si>
  <si>
    <t>필수</t>
  </si>
  <si>
    <t>P0</t>
  </si>
  <si>
    <t>Golden Path와 출시 Gate에 반드시 필요한 범위</t>
  </si>
  <si>
    <t>선택</t>
  </si>
  <si>
    <t>P1</t>
  </si>
  <si>
    <t>Core 안정화 후 일정과 효과를 확인해 적용하는 범위</t>
  </si>
  <si>
    <t>확장</t>
  </si>
  <si>
    <t>P2</t>
  </si>
  <si>
    <t>I5 이후 별도 계약과 승인으로 시작하는 범위</t>
  </si>
  <si>
    <t>3) 전체 처리 흐름</t>
  </si>
  <si>
    <t>1</t>
  </si>
  <si>
    <t>질문 구조화</t>
  </si>
  <si>
    <t>자연어 질문을 지표·기간·필터·분석 유형으로 정리한다.</t>
  </si>
  <si>
    <t>2</t>
  </si>
  <si>
    <t>승인 Context</t>
  </si>
  <si>
    <t>권한이 허용한 Metadata·Asset Binding·Business Rule을 결합한다.</t>
  </si>
  <si>
    <t>3</t>
  </si>
  <si>
    <r>
      <t>G1(</t>
    </r>
    <r>
      <rPr>
        <b/>
        <sz val="11"/>
        <rFont val="돋움"/>
        <family val="3"/>
      </rPr>
      <t>규칙</t>
    </r>
    <r>
      <rPr>
        <b/>
        <sz val="11"/>
        <rFont val="Carlito"/>
      </rPr>
      <t xml:space="preserve"> </t>
    </r>
    <r>
      <rPr>
        <b/>
        <sz val="11"/>
        <rFont val="돋움"/>
        <family val="3"/>
      </rPr>
      <t>검증</t>
    </r>
    <r>
      <rPr>
        <b/>
        <sz val="11"/>
        <rFont val="Carlito"/>
      </rPr>
      <t>)</t>
    </r>
  </si>
  <si>
    <t>SQL 생성 전에 Context 완전성·권한·활성 버전을 검사한다.</t>
  </si>
  <si>
    <t>4</t>
  </si>
  <si>
    <t>재사용 또는 신규</t>
  </si>
  <si>
    <t>기존 Analysis를 재사용하거나 sLLM으로 Trino SQL 초안을 만든다.</t>
  </si>
  <si>
    <t>5</t>
  </si>
  <si>
    <r>
      <t xml:space="preserve">G2·Trino(SQL </t>
    </r>
    <r>
      <rPr>
        <b/>
        <sz val="11"/>
        <rFont val="돋움"/>
        <family val="3"/>
      </rPr>
      <t>검증</t>
    </r>
    <r>
      <rPr>
        <b/>
        <sz val="11"/>
        <rFont val="Carlito"/>
      </rPr>
      <t>)</t>
    </r>
  </si>
  <si>
    <t>SQL 정책을 검사하고 통과한 읽기 전용 SQL만 실행한다.</t>
  </si>
  <si>
    <t>6</t>
  </si>
  <si>
    <r>
      <t>G3·</t>
    </r>
    <r>
      <rPr>
        <b/>
        <sz val="11"/>
        <rFont val="돋움"/>
        <family val="3"/>
      </rPr>
      <t>설명</t>
    </r>
    <r>
      <rPr>
        <b/>
        <sz val="11"/>
        <rFont val="Carlito"/>
      </rPr>
      <t>(</t>
    </r>
    <r>
      <rPr>
        <b/>
        <sz val="11"/>
        <rFont val="돋움"/>
        <family val="3"/>
      </rPr>
      <t>보고서</t>
    </r>
    <r>
      <rPr>
        <b/>
        <sz val="11"/>
        <rFont val="Carlito"/>
      </rPr>
      <t xml:space="preserve"> </t>
    </r>
    <r>
      <rPr>
        <b/>
        <sz val="11"/>
        <rFont val="돋움"/>
        <family val="3"/>
      </rPr>
      <t>생성</t>
    </r>
    <r>
      <rPr>
        <b/>
        <sz val="11"/>
        <rFont val="Carlito"/>
      </rPr>
      <t xml:space="preserve"> </t>
    </r>
    <r>
      <rPr>
        <b/>
        <sz val="11"/>
        <rFont val="돋움"/>
        <family val="3"/>
      </rPr>
      <t>검증</t>
    </r>
    <r>
      <rPr>
        <b/>
        <sz val="11"/>
        <rFont val="Carlito"/>
      </rPr>
      <t>)</t>
    </r>
  </si>
  <si>
    <t>결과 구조·민감정보·크기를 검사한 뒤 표·차트·설명을 만든다.</t>
  </si>
  <si>
    <t>7</t>
  </si>
  <si>
    <t>저장·보고</t>
  </si>
  <si>
    <t>Analysis 실행 이력을 보존하고 Report Block에서 재사용한다.</t>
  </si>
  <si>
    <t>4) 핵심 구성요소와 책임</t>
  </si>
  <si>
    <t>Frontend</t>
  </si>
  <si>
    <t>입력·진행 상태·서버 결과 표시 · 권한·수치·Gate 재계산 금지</t>
  </si>
  <si>
    <t>FastAPI</t>
  </si>
  <si>
    <t>인증·Context·Gate·실행·저장·오류 상태를 조정하는 단일 Control Plane</t>
  </si>
  <si>
    <t>DataHub Core</t>
  </si>
  <si>
    <t>테이블·컬럼·도메인·용어 등 구조적 Metadata 검색</t>
  </si>
  <si>
    <t>Trino</t>
  </si>
  <si>
    <t>검증된 읽기 전용 SQL로 여러 데이터 원천을 연합 조회</t>
  </si>
  <si>
    <t>LLM Node</t>
  </si>
  <si>
    <t>질문 구조화 · 승인 Context 기반 SQL 초안 · 안전한 결과 설명</t>
  </si>
  <si>
    <t>G1·G2·G3</t>
  </si>
  <si>
    <t>Context 완전성 · SQL 정책 · 결과 노출 위험을 서로 다른 시점에 통제</t>
  </si>
  <si>
    <t>Analysis·Report</t>
  </si>
  <si>
    <t>정의·실행·결과·버전·부분 실패·과거 이력을 보존</t>
  </si>
  <si>
    <t>5) 시트 안내</t>
  </si>
  <si>
    <t>2. 요구사항 목록</t>
  </si>
  <si>
    <t>전체 요구사항을 필수·선택·확장 순서로 조회하고 필터링한다.</t>
  </si>
  <si>
    <t>3. 요구사항 정의서</t>
  </si>
  <si>
    <t>정의·처리 흐름·규칙·수용 기준·담당·Gate·기존 문서 관계를 확인한다.</t>
  </si>
  <si>
    <t>4. 검토·결정사항</t>
  </si>
  <si>
    <t>개편 원칙·확정 사항·추가 결정 항목·변경 이력을 확인한다.</t>
  </si>
  <si>
    <t>요구사항 목록 74개 · 필수·선택·확장 구분</t>
  </si>
  <si>
    <t>요구사항 ID</t>
  </si>
  <si>
    <t>대분류</t>
  </si>
  <si>
    <t>요구사항명</t>
  </si>
  <si>
    <t>범위</t>
  </si>
  <si>
    <t>근거 상태</t>
  </si>
  <si>
    <t>처리 방식</t>
  </si>
  <si>
    <t>담당</t>
  </si>
  <si>
    <t>목표 Gate</t>
  </si>
  <si>
    <t>기존 문서 관계</t>
  </si>
  <si>
    <t>TST-001</t>
  </si>
  <si>
    <t>검증 요구사항</t>
  </si>
  <si>
    <t>결정론적 로직과 데이터 계약을 자동 검증한다.</t>
  </si>
  <si>
    <t>확정</t>
  </si>
  <si>
    <t>자동 시험</t>
  </si>
  <si>
    <t>R1~R5</t>
  </si>
  <si>
    <t>I1~I5</t>
  </si>
  <si>
    <t>v2 TST-001 확대</t>
  </si>
  <si>
    <t>TST-002</t>
  </si>
  <si>
    <r>
      <rPr>
        <sz val="11"/>
        <rFont val="돋움"/>
        <family val="3"/>
      </rPr>
      <t>구현된</t>
    </r>
    <r>
      <rPr>
        <sz val="11"/>
        <rFont val="Carlito"/>
      </rPr>
      <t xml:space="preserve"> </t>
    </r>
    <r>
      <rPr>
        <sz val="11"/>
        <rFont val="돋움"/>
        <family val="3"/>
      </rPr>
      <t>데이터</t>
    </r>
    <r>
      <rPr>
        <sz val="11"/>
        <rFont val="Carlito"/>
      </rPr>
      <t>(App DB·DataHub·Trino·5</t>
    </r>
    <r>
      <rPr>
        <sz val="11"/>
        <rFont val="돋움"/>
        <family val="3"/>
      </rPr>
      <t>개</t>
    </r>
    <r>
      <rPr>
        <sz val="11"/>
        <rFont val="Carlito"/>
      </rPr>
      <t xml:space="preserve"> </t>
    </r>
    <r>
      <rPr>
        <sz val="11"/>
        <rFont val="돋움"/>
        <family val="3"/>
      </rPr>
      <t>원천</t>
    </r>
    <r>
      <rPr>
        <sz val="11"/>
        <rFont val="Carlito"/>
      </rPr>
      <t xml:space="preserve">) </t>
    </r>
    <r>
      <rPr>
        <sz val="11"/>
        <rFont val="돋움"/>
        <family val="3"/>
      </rPr>
      <t>연결을</t>
    </r>
    <r>
      <rPr>
        <sz val="11"/>
        <rFont val="Carlito"/>
      </rPr>
      <t xml:space="preserve"> </t>
    </r>
    <r>
      <rPr>
        <sz val="11"/>
        <rFont val="돋움"/>
        <family val="3"/>
      </rPr>
      <t>검증한다</t>
    </r>
    <r>
      <rPr>
        <sz val="11"/>
        <rFont val="Carlito"/>
      </rPr>
      <t>.</t>
    </r>
  </si>
  <si>
    <t>통합 시험</t>
  </si>
  <si>
    <t>R1·R2·R4</t>
  </si>
  <si>
    <t>I3</t>
  </si>
  <si>
    <t>신규</t>
  </si>
  <si>
    <t>TST-003</t>
  </si>
  <si>
    <r>
      <rPr>
        <sz val="11"/>
        <rFont val="돋움"/>
        <family val="3"/>
      </rPr>
      <t>대표</t>
    </r>
    <r>
      <rPr>
        <sz val="11"/>
        <rFont val="Carlito"/>
      </rPr>
      <t xml:space="preserve"> </t>
    </r>
    <r>
      <rPr>
        <sz val="11"/>
        <rFont val="돋움"/>
        <family val="3"/>
      </rPr>
      <t>질문의</t>
    </r>
    <r>
      <rPr>
        <sz val="11"/>
        <rFont val="Carlito"/>
      </rPr>
      <t xml:space="preserve"> </t>
    </r>
    <r>
      <rPr>
        <sz val="11"/>
        <rFont val="돋움"/>
        <family val="3"/>
      </rPr>
      <t>전체</t>
    </r>
    <r>
      <rPr>
        <sz val="11"/>
        <rFont val="Carlito"/>
      </rPr>
      <t xml:space="preserve"> </t>
    </r>
    <r>
      <rPr>
        <sz val="11"/>
        <rFont val="돋움"/>
        <family val="3"/>
      </rPr>
      <t>흐름</t>
    </r>
    <r>
      <rPr>
        <sz val="11"/>
        <rFont val="Carlito"/>
      </rPr>
      <t>(EndToEnd)</t>
    </r>
    <r>
      <rPr>
        <sz val="11"/>
        <rFont val="돋움"/>
        <family val="3"/>
      </rPr>
      <t>을</t>
    </r>
    <r>
      <rPr>
        <sz val="11"/>
        <rFont val="Carlito"/>
      </rPr>
      <t xml:space="preserve"> </t>
    </r>
    <r>
      <rPr>
        <sz val="11"/>
        <rFont val="돋움"/>
        <family val="3"/>
      </rPr>
      <t>검증한다</t>
    </r>
    <r>
      <rPr>
        <sz val="11"/>
        <rFont val="Carlito"/>
      </rPr>
      <t>.</t>
    </r>
  </si>
  <si>
    <t>E2E 자동·수동 시험</t>
  </si>
  <si>
    <t>I5</t>
  </si>
  <si>
    <t>v2 TST-001·003 통합</t>
  </si>
  <si>
    <t>TST-004</t>
  </si>
  <si>
    <t>읽기 전용과 민감정보 차단을 검증한다.</t>
  </si>
  <si>
    <r>
      <rPr>
        <sz val="11"/>
        <rFont val="돋움"/>
        <family val="3"/>
      </rPr>
      <t>보안</t>
    </r>
    <r>
      <rPr>
        <sz val="11"/>
        <rFont val="Carlito"/>
      </rPr>
      <t xml:space="preserve"> negative test</t>
    </r>
  </si>
  <si>
    <t>R1·R2·R4·R5</t>
  </si>
  <si>
    <t>TST-005</t>
  </si>
  <si>
    <t>승인된 전체 시험과 시연 경로를 다시 실행한다.</t>
  </si>
  <si>
    <t>Release Gate</t>
  </si>
  <si>
    <t>R1</t>
  </si>
  <si>
    <t>FUN-001</t>
  </si>
  <si>
    <t>기능 요구사항</t>
  </si>
  <si>
    <r>
      <rPr>
        <sz val="11"/>
        <rFont val="돋움"/>
        <family val="3"/>
      </rPr>
      <t>사용자는</t>
    </r>
    <r>
      <rPr>
        <sz val="11"/>
        <rFont val="Carlito"/>
      </rPr>
      <t xml:space="preserve"> </t>
    </r>
    <r>
      <rPr>
        <sz val="11"/>
        <rFont val="돋움"/>
        <family val="3"/>
      </rPr>
      <t>인증</t>
    </r>
    <r>
      <rPr>
        <sz val="11"/>
        <rFont val="Carlito"/>
      </rPr>
      <t xml:space="preserve"> </t>
    </r>
    <r>
      <rPr>
        <sz val="11"/>
        <rFont val="돋움"/>
        <family val="3"/>
      </rPr>
      <t>후</t>
    </r>
    <r>
      <rPr>
        <sz val="11"/>
        <rFont val="Carlito"/>
      </rPr>
      <t xml:space="preserve"> </t>
    </r>
    <r>
      <rPr>
        <sz val="11"/>
        <rFont val="돋움"/>
        <family val="3"/>
      </rPr>
      <t>서비스에</t>
    </r>
    <r>
      <rPr>
        <sz val="11"/>
        <rFont val="Carlito"/>
      </rPr>
      <t xml:space="preserve"> </t>
    </r>
    <r>
      <rPr>
        <sz val="11"/>
        <rFont val="돋움"/>
        <family val="3"/>
      </rPr>
      <t>접근한다</t>
    </r>
    <r>
      <rPr>
        <sz val="11"/>
        <rFont val="Carlito"/>
      </rPr>
      <t>.</t>
    </r>
  </si>
  <si>
    <t>FastAPI 인증</t>
  </si>
  <si>
    <t>R4·R5</t>
  </si>
  <si>
    <t>I1</t>
  </si>
  <si>
    <t>v2 FUN-001 수정</t>
  </si>
  <si>
    <t>FUN-002</t>
  </si>
  <si>
    <t>역할에 따라 자산·컬럼·기능 범위를 제한한다.</t>
  </si>
  <si>
    <t>RBAC·권한 정책</t>
  </si>
  <si>
    <t>R1·R4·R5</t>
  </si>
  <si>
    <t>v2 FUN-002 확대</t>
  </si>
  <si>
    <t>FUN-003</t>
  </si>
  <si>
    <t>자연어 질문과 분석 기간을 입력한다.</t>
  </si>
  <si>
    <t>대화형 분석 요청</t>
  </si>
  <si>
    <t>I2</t>
  </si>
  <si>
    <t>v2 FUN-006 일부 대체</t>
  </si>
  <si>
    <t>FUN-004</t>
  </si>
  <si>
    <t>질문을 업무 분석 조건으로 구조화한다.</t>
  </si>
  <si>
    <t>LLM Node 1·JSON Schema</t>
  </si>
  <si>
    <t>R3·R4</t>
  </si>
  <si>
    <t>v2 AI-010 분리</t>
  </si>
  <si>
    <t>FUN-005</t>
  </si>
  <si>
    <t>질문별 최소 승인 정보를 구성한다.</t>
  </si>
  <si>
    <t>Context Builder</t>
  </si>
  <si>
    <t>R2·R4</t>
  </si>
  <si>
    <t>FUN-006</t>
  </si>
  <si>
    <t>SQL 생성 전에 Context 완전성을 검사한다.</t>
  </si>
  <si>
    <t>결정론적 검사</t>
  </si>
  <si>
    <t>R4</t>
  </si>
  <si>
    <t>FUN-007</t>
  </si>
  <si>
    <t>기존 분석을 재사용할지 새로 만들지 판정한다.</t>
  </si>
  <si>
    <t>결정론적 Resolver</t>
  </si>
  <si>
    <t>FUN-008</t>
  </si>
  <si>
    <r>
      <rPr>
        <sz val="11"/>
        <rFont val="돋움"/>
        <family val="3"/>
      </rPr>
      <t>승인</t>
    </r>
    <r>
      <rPr>
        <sz val="11"/>
        <rFont val="Carlito"/>
      </rPr>
      <t xml:space="preserve"> Context </t>
    </r>
    <r>
      <rPr>
        <sz val="11"/>
        <rFont val="돋움"/>
        <family val="3"/>
      </rPr>
      <t>안에서</t>
    </r>
    <r>
      <rPr>
        <sz val="11"/>
        <rFont val="Carlito"/>
      </rPr>
      <t xml:space="preserve"> </t>
    </r>
    <r>
      <rPr>
        <sz val="11"/>
        <rFont val="돋움"/>
        <family val="3"/>
      </rPr>
      <t>통합조회</t>
    </r>
    <r>
      <rPr>
        <sz val="11"/>
        <rFont val="Carlito"/>
      </rPr>
      <t xml:space="preserve"> SQL(Trino SQL) </t>
    </r>
    <r>
      <rPr>
        <sz val="11"/>
        <rFont val="돋움"/>
        <family val="3"/>
      </rPr>
      <t>초안을</t>
    </r>
    <r>
      <rPr>
        <sz val="11"/>
        <rFont val="Carlito"/>
      </rPr>
      <t xml:space="preserve"> </t>
    </r>
    <r>
      <rPr>
        <sz val="11"/>
        <rFont val="돋움"/>
        <family val="3"/>
      </rPr>
      <t>만든다</t>
    </r>
    <r>
      <rPr>
        <sz val="11"/>
        <rFont val="Carlito"/>
      </rPr>
      <t>.</t>
    </r>
  </si>
  <si>
    <t>sLLM Node 2·엄격한 출력 계약</t>
  </si>
  <si>
    <t>v2 AI-004·010 역할 재정의</t>
  </si>
  <si>
    <t>FUN-009</t>
  </si>
  <si>
    <t>SQL 실행 전에 구문과 정책을 검사한다.</t>
  </si>
  <si>
    <t>SQL 정책 검사</t>
  </si>
  <si>
    <t>v2 AI-010 보강</t>
  </si>
  <si>
    <t>FUN-010</t>
  </si>
  <si>
    <t>정형 오류에 한해 SQL 수정을 한 번 허용한다.</t>
  </si>
  <si>
    <t>제한된 모델 재호출</t>
  </si>
  <si>
    <t>FUN-011</t>
  </si>
  <si>
    <t>검증된 SQL만 Trino에서 실행한다.</t>
  </si>
  <si>
    <t>Trino 실행 수명주기</t>
  </si>
  <si>
    <t>FUN-012</t>
  </si>
  <si>
    <t>결과 제공 전에 구조와 노출 위험을 검사한다.</t>
  </si>
  <si>
    <t>결정론적 결과 검사</t>
  </si>
  <si>
    <t>DAT-001</t>
  </si>
  <si>
    <t>데이터 요구사항</t>
  </si>
  <si>
    <t>5개 논리 데이터 원천을 구분한다.</t>
  </si>
  <si>
    <t>원천 등록부</t>
  </si>
  <si>
    <t>R2</t>
  </si>
  <si>
    <t>v2 DAT-001~003 대체</t>
  </si>
  <si>
    <t>DAT-002</t>
  </si>
  <si>
    <t>4종 데이터베이스와 5개 카탈로그를 구성한다.</t>
  </si>
  <si>
    <t>Trino 카탈로그</t>
  </si>
  <si>
    <t>DAT-003</t>
  </si>
  <si>
    <t>재현 가능한 합성 데이터를 사용한다.</t>
  </si>
  <si>
    <t>결정론적 데이터 생성</t>
  </si>
  <si>
    <t>v2 DAT-008 확대</t>
  </si>
  <si>
    <t>DAT-004</t>
  </si>
  <si>
    <t>오류가 발생하기 쉬운 데이터 사례를 포함한다.</t>
  </si>
  <si>
    <t>시험 데이터 설계</t>
  </si>
  <si>
    <t>DAT-005</t>
  </si>
  <si>
    <r>
      <rPr>
        <sz val="11"/>
        <rFont val="돋움"/>
        <family val="3"/>
      </rPr>
      <t>데이터카탈로그</t>
    </r>
    <r>
      <rPr>
        <sz val="11"/>
        <rFont val="Carlito"/>
      </rPr>
      <t>(DataHub Core)</t>
    </r>
    <r>
      <rPr>
        <sz val="11"/>
        <rFont val="돋움"/>
        <family val="3"/>
      </rPr>
      <t>에</t>
    </r>
    <r>
      <rPr>
        <sz val="11"/>
        <rFont val="Carlito"/>
      </rPr>
      <t xml:space="preserve"> </t>
    </r>
    <r>
      <rPr>
        <sz val="11"/>
        <rFont val="돋움"/>
        <family val="3"/>
      </rPr>
      <t>구조</t>
    </r>
    <r>
      <rPr>
        <sz val="11"/>
        <rFont val="Carlito"/>
      </rPr>
      <t xml:space="preserve"> </t>
    </r>
    <r>
      <rPr>
        <sz val="11"/>
        <rFont val="돋움"/>
        <family val="3"/>
      </rPr>
      <t>정보를</t>
    </r>
    <r>
      <rPr>
        <sz val="11"/>
        <rFont val="Carlito"/>
      </rPr>
      <t xml:space="preserve"> </t>
    </r>
    <r>
      <rPr>
        <sz val="11"/>
        <rFont val="돋움"/>
        <family val="3"/>
      </rPr>
      <t>수집한다</t>
    </r>
    <r>
      <rPr>
        <sz val="11"/>
        <rFont val="Carlito"/>
      </rPr>
      <t>.</t>
    </r>
  </si>
  <si>
    <t>DataHub 수집·검색</t>
  </si>
  <si>
    <t>v2 DAT-007 역할 재정의</t>
  </si>
  <si>
    <t>DAT-006</t>
  </si>
  <si>
    <r>
      <rPr>
        <sz val="11"/>
        <rFont val="돋움"/>
        <family val="3"/>
      </rPr>
      <t>데이터카탈로그</t>
    </r>
    <r>
      <rPr>
        <sz val="11"/>
        <rFont val="Carlito"/>
      </rPr>
      <t xml:space="preserve">(DataHub) </t>
    </r>
    <r>
      <rPr>
        <sz val="11"/>
        <rFont val="돋움"/>
        <family val="3"/>
      </rPr>
      <t>자산과</t>
    </r>
    <r>
      <rPr>
        <sz val="11"/>
        <rFont val="Carlito"/>
      </rPr>
      <t xml:space="preserve"> Trino </t>
    </r>
    <r>
      <rPr>
        <sz val="11"/>
        <rFont val="돋움"/>
        <family val="3"/>
      </rPr>
      <t>실행</t>
    </r>
    <r>
      <rPr>
        <sz val="11"/>
        <rFont val="Carlito"/>
      </rPr>
      <t xml:space="preserve"> </t>
    </r>
    <r>
      <rPr>
        <sz val="11"/>
        <rFont val="돋움"/>
        <family val="3"/>
      </rPr>
      <t>경로를</t>
    </r>
    <r>
      <rPr>
        <sz val="11"/>
        <rFont val="Carlito"/>
      </rPr>
      <t xml:space="preserve"> </t>
    </r>
    <r>
      <rPr>
        <sz val="11"/>
        <rFont val="돋움"/>
        <family val="3"/>
      </rPr>
      <t>연결한다</t>
    </r>
    <r>
      <rPr>
        <sz val="11"/>
        <rFont val="Carlito"/>
      </rPr>
      <t>.</t>
    </r>
  </si>
  <si>
    <t>Asset Binding</t>
  </si>
  <si>
    <t>DAT-007</t>
  </si>
  <si>
    <t>지표·조인·시간·식별 규칙을 버전으로 관리한다.</t>
  </si>
  <si>
    <t>Business Rule</t>
  </si>
  <si>
    <t>v2 OPS-003 대체</t>
  </si>
  <si>
    <t>DAT-008</t>
  </si>
  <si>
    <t>대표 질문의 기준 SQL과 결과를 관리한다.</t>
  </si>
  <si>
    <t>Gold SQL·결과</t>
  </si>
  <si>
    <t>R1·R2·R3</t>
  </si>
  <si>
    <t>v2 TST-003 확대</t>
  </si>
  <si>
    <t>DAT-009</t>
  </si>
  <si>
    <r>
      <rPr>
        <sz val="11"/>
        <rFont val="돋움"/>
        <family val="3"/>
      </rPr>
      <t>데이터</t>
    </r>
    <r>
      <rPr>
        <sz val="11"/>
        <rFont val="Carlito"/>
      </rPr>
      <t xml:space="preserve"> </t>
    </r>
    <r>
      <rPr>
        <sz val="11"/>
        <rFont val="돋움"/>
        <family val="3"/>
      </rPr>
      <t>기준</t>
    </r>
    <r>
      <rPr>
        <sz val="11"/>
        <rFont val="Carlito"/>
      </rPr>
      <t xml:space="preserve"> </t>
    </r>
    <r>
      <rPr>
        <sz val="11"/>
        <rFont val="돋움"/>
        <family val="3"/>
      </rPr>
      <t>시각과</t>
    </r>
    <r>
      <rPr>
        <sz val="11"/>
        <rFont val="Carlito"/>
      </rPr>
      <t xml:space="preserve"> </t>
    </r>
    <r>
      <rPr>
        <sz val="11"/>
        <rFont val="돋움"/>
        <family val="3"/>
      </rPr>
      <t>최신성을</t>
    </r>
    <r>
      <rPr>
        <sz val="11"/>
        <rFont val="Carlito"/>
      </rPr>
      <t xml:space="preserve"> </t>
    </r>
    <r>
      <rPr>
        <sz val="11"/>
        <rFont val="돋움"/>
        <family val="3"/>
      </rPr>
      <t>기록한다</t>
    </r>
    <r>
      <rPr>
        <sz val="11"/>
        <rFont val="Carlito"/>
      </rPr>
      <t>.</t>
    </r>
  </si>
  <si>
    <r>
      <rPr>
        <sz val="11"/>
        <rFont val="돋움"/>
        <family val="3"/>
      </rPr>
      <t>최신성</t>
    </r>
    <r>
      <rPr>
        <sz val="11"/>
        <rFont val="Carlito"/>
      </rPr>
      <t xml:space="preserve"> </t>
    </r>
    <r>
      <rPr>
        <sz val="11"/>
        <rFont val="돋움"/>
        <family val="3"/>
      </rPr>
      <t>반영</t>
    </r>
  </si>
  <si>
    <t>RPT-001</t>
  </si>
  <si>
    <t>리포트 요구사항</t>
  </si>
  <si>
    <t>보고서와 분석 블록 구성을 버전으로 저장한다.</t>
  </si>
  <si>
    <t>Report Definition</t>
  </si>
  <si>
    <t>R5·R4</t>
  </si>
  <si>
    <t>I4</t>
  </si>
  <si>
    <t>v2 RPT-001 재정의</t>
  </si>
  <si>
    <t>RPT-002</t>
  </si>
  <si>
    <r>
      <rPr>
        <sz val="11"/>
        <rFont val="돋움"/>
        <family val="3"/>
      </rPr>
      <t>모든</t>
    </r>
    <r>
      <rPr>
        <sz val="11"/>
        <rFont val="Carlito"/>
      </rPr>
      <t xml:space="preserve"> </t>
    </r>
    <r>
      <rPr>
        <sz val="11"/>
        <rFont val="돋움"/>
        <family val="3"/>
      </rPr>
      <t>블록을</t>
    </r>
    <r>
      <rPr>
        <sz val="11"/>
        <rFont val="Carlito"/>
      </rPr>
      <t xml:space="preserve"> </t>
    </r>
    <r>
      <rPr>
        <sz val="11"/>
        <rFont val="돋움"/>
        <family val="3"/>
      </rPr>
      <t>같은</t>
    </r>
    <r>
      <rPr>
        <sz val="11"/>
        <rFont val="Carlito"/>
      </rPr>
      <t xml:space="preserve"> </t>
    </r>
    <r>
      <rPr>
        <sz val="11"/>
        <rFont val="돋움"/>
        <family val="3"/>
      </rPr>
      <t>기준일</t>
    </r>
    <r>
      <rPr>
        <sz val="11"/>
        <rFont val="Carlito"/>
      </rPr>
      <t>/</t>
    </r>
    <r>
      <rPr>
        <sz val="11"/>
        <rFont val="돋움"/>
        <family val="3"/>
      </rPr>
      <t>기간</t>
    </r>
    <r>
      <rPr>
        <sz val="11"/>
        <rFont val="Carlito"/>
      </rPr>
      <t>(report_as_of)</t>
    </r>
    <r>
      <rPr>
        <sz val="11"/>
        <rFont val="돋움"/>
        <family val="3"/>
      </rPr>
      <t>로</t>
    </r>
    <r>
      <rPr>
        <sz val="11"/>
        <rFont val="Carlito"/>
      </rPr>
      <t xml:space="preserve"> </t>
    </r>
    <r>
      <rPr>
        <sz val="11"/>
        <rFont val="돋움"/>
        <family val="3"/>
      </rPr>
      <t>실행한다</t>
    </r>
    <r>
      <rPr>
        <sz val="11"/>
        <rFont val="Carlito"/>
      </rPr>
      <t>.</t>
    </r>
  </si>
  <si>
    <t>결정론적 기간 계산</t>
  </si>
  <si>
    <t>RPT-003</t>
  </si>
  <si>
    <t>블록별 성공과 실패를 구분한다.</t>
  </si>
  <si>
    <t>Report Run 상태</t>
  </si>
  <si>
    <t>RPT-004</t>
  </si>
  <si>
    <t>보고서 전체 또는 실패 블록을 다시 실행한다.</t>
  </si>
  <si>
    <t>재실행·멱등성</t>
  </si>
  <si>
    <t>AI-001</t>
  </si>
  <si>
    <t>모델 요구사항</t>
  </si>
  <si>
    <t>안전한 결과만 근거 중심으로 설명한다.</t>
  </si>
  <si>
    <t>LLM Node 3·충실도 검사</t>
  </si>
  <si>
    <t>v2 AI-003 역할 재정의</t>
  </si>
  <si>
    <t>AI-002</t>
  </si>
  <si>
    <t>모든 모델 출력을 엄격한 형식으로 검증한다.</t>
  </si>
  <si>
    <t>Pydantic·JSON Schema</t>
  </si>
  <si>
    <t>AI-003</t>
  </si>
  <si>
    <t>동일 조건으로 후보 모델을 비교한다.</t>
  </si>
  <si>
    <t>재현 가능한 벤치마크</t>
  </si>
  <si>
    <t>R3</t>
  </si>
  <si>
    <t>v2 AI-004 대체</t>
  </si>
  <si>
    <t>AI-004</t>
  </si>
  <si>
    <t>실행 결과 정확도를 최우선으로 평가한다.</t>
  </si>
  <si>
    <t>자동 결과 비교</t>
  </si>
  <si>
    <t>v2 TST-003 구체화</t>
  </si>
  <si>
    <t>AI-005</t>
  </si>
  <si>
    <t>오류 원인을 계층별로 구분한다.</t>
  </si>
  <si>
    <t>단계별 오류 분석</t>
  </si>
  <si>
    <t>R1·R2·R3·R4</t>
  </si>
  <si>
    <t>AI-007</t>
  </si>
  <si>
    <t>선택한 모델을 재현 가능한 환경에서 제공한다.</t>
  </si>
  <si>
    <t>vLLM 등 모델 서빙</t>
  </si>
  <si>
    <t>R3·R1</t>
  </si>
  <si>
    <t>SEC-001</t>
  </si>
  <si>
    <t>보안 요구사항</t>
  </si>
  <si>
    <t>모든 분석 경로를 읽기 전용으로 제한한다.</t>
  </si>
  <si>
    <t>다중 읽기 전용 통제</t>
  </si>
  <si>
    <t>v2 SEC-002 확대</t>
  </si>
  <si>
    <t>SEC-002</t>
  </si>
  <si>
    <t>사용자·Trino·원천 계정에 최소 권한을 적용한다.</t>
  </si>
  <si>
    <t>RBAC·Trino 접근 제어</t>
  </si>
  <si>
    <t>v2 FUN-002·SEC-002 통합</t>
  </si>
  <si>
    <t>SEC-003</t>
  </si>
  <si>
    <t>민감 컬럼과 값의 노출을 차단한다.</t>
  </si>
  <si>
    <t>컬럼 통제·가림</t>
  </si>
  <si>
    <t>v2 SEC-001 대체</t>
  </si>
  <si>
    <t>SEC-004</t>
  </si>
  <si>
    <t>API 키와 비밀번호를 안전하게 관리한다.</t>
  </si>
  <si>
    <t>환경변수·비밀 탐지</t>
  </si>
  <si>
    <t>R1·R3·R4</t>
  </si>
  <si>
    <t>v2 SEC-002 구체화</t>
  </si>
  <si>
    <t>SEC-005</t>
  </si>
  <si>
    <t>주요 행위와 시스템 결정을 감사 기록으로 남긴다.</t>
  </si>
  <si>
    <t>Append-only 감사 기록</t>
  </si>
  <si>
    <t>v2 SEC-003 상향</t>
  </si>
  <si>
    <t>NFR-001</t>
  </si>
  <si>
    <t>비기능 요구사항</t>
  </si>
  <si>
    <t>동일 조건에서 같은 수치 결과를 재현한다.</t>
  </si>
  <si>
    <t>버전 고정·Trace</t>
  </si>
  <si>
    <t>v2 NFR-003 확대</t>
  </si>
  <si>
    <t>NFR-002</t>
  </si>
  <si>
    <t>한 단계의 실패가 전체 서비스를 중단시키지 않는다.</t>
  </si>
  <si>
    <t>오류 격리·상태 전이</t>
  </si>
  <si>
    <t>v2 NFR-002 확대</t>
  </si>
  <si>
    <t>NFR-004</t>
  </si>
  <si>
    <t>과도한 조회가 시스템을 독점하지 않게 한다.</t>
  </si>
  <si>
    <t>Trino 자원 정책·결과 제한</t>
  </si>
  <si>
    <t>NFR-005</t>
  </si>
  <si>
    <t>계약 버전 조합의 호환성을 관리한다.</t>
  </si>
  <si>
    <t>Version Manifest</t>
  </si>
  <si>
    <t>R1·R2·R3·R4·R5</t>
  </si>
  <si>
    <t>BIZ-001</t>
  </si>
  <si>
    <t>업무 요구사항</t>
  </si>
  <si>
    <t>여러 업무 시스템의 데이터를 자연어로 분석한다.</t>
  </si>
  <si>
    <t>연합 조회·업무 규칙</t>
  </si>
  <si>
    <t>v2 BIZ-001 대체</t>
  </si>
  <si>
    <t>BIZ-002</t>
  </si>
  <si>
    <t>검증된 분석을 저장하고 다시 실행한다.</t>
  </si>
  <si>
    <t>분석 이력 관리</t>
  </si>
  <si>
    <t>v2 DAT-004 확대</t>
  </si>
  <si>
    <t>BIZ-003</t>
  </si>
  <si>
    <t>여러 분석을 보고서에서 재사용한다.</t>
  </si>
  <si>
    <t>보고서 실행 관리</t>
  </si>
  <si>
    <t>v2 RPT-001 대체</t>
  </si>
  <si>
    <t>BIZ-004</t>
  </si>
  <si>
    <t>결과의 기준과 한계를 함께 제시한다.</t>
  </si>
  <si>
    <t>근거 연결·결과 설명</t>
  </si>
  <si>
    <t>R3·R4·R5</t>
  </si>
  <si>
    <t>v2 BIZ-002·003·RPT-002 통합</t>
  </si>
  <si>
    <t>INT-001</t>
  </si>
  <si>
    <t>연동 요구사항</t>
  </si>
  <si>
    <t>FastAPI를 단일 Backend 진입점으로 사용한다.</t>
  </si>
  <si>
    <t>FastAPI·Pydantic</t>
  </si>
  <si>
    <t>v2 Django 제거</t>
  </si>
  <si>
    <t>INT-002</t>
  </si>
  <si>
    <t>Backend가 DataHub 검색과 상태를 확인한다.</t>
  </si>
  <si>
    <t>DataHub typed adapter</t>
  </si>
  <si>
    <t>INT-003</t>
  </si>
  <si>
    <t>Backend가 Trino 조회 상태를 관리한다.</t>
  </si>
  <si>
    <t>Trino typed adapter</t>
  </si>
  <si>
    <t>INT-004</t>
  </si>
  <si>
    <t>역할별 모델 endpoint를 연동한다.</t>
  </si>
  <si>
    <t>모델 adapter</t>
  </si>
  <si>
    <t>v2 INT-001 수정</t>
  </si>
  <si>
    <t>INT-005</t>
  </si>
  <si>
    <t>분석·보고·감사 데이터를 PostgreSQL에 저장한다.</t>
  </si>
  <si>
    <t>PostgreSQL·Alembic</t>
  </si>
  <si>
    <t>OPS-001</t>
  </si>
  <si>
    <t>운영·관리 요구사항</t>
  </si>
  <si>
    <t>서비스와 외부 연결 상태를 확인한다.</t>
  </si>
  <si>
    <t>Health·Smoke</t>
  </si>
  <si>
    <t>v2 OPS-002 확대</t>
  </si>
  <si>
    <t>OPS-002</t>
  </si>
  <si>
    <t>요청과 단계별 성능·오류를 연결한다.</t>
  </si>
  <si>
    <t>구조화 로그·Trace</t>
  </si>
  <si>
    <t>R1·R4</t>
  </si>
  <si>
    <t>v2 OPS-001 구체화</t>
  </si>
  <si>
    <t>OPS-003</t>
  </si>
  <si>
    <t>Application DB와 설정을 백업하고 복구한다.</t>
  </si>
  <si>
    <t>가정</t>
  </si>
  <si>
    <t>백업·복구 절차</t>
  </si>
  <si>
    <t>UI-001</t>
  </si>
  <si>
    <t>화면 요구사항</t>
  </si>
  <si>
    <t>질문 입력부터 결과 확인까지 한 화면에서 진행한다.</t>
  </si>
  <si>
    <t>React·TypeScript</t>
  </si>
  <si>
    <t>R5</t>
  </si>
  <si>
    <t>v2 UI-001~003 대체</t>
  </si>
  <si>
    <t>UI-002</t>
  </si>
  <si>
    <t>표·차트·설명과 근거를 함께 표시한다.</t>
  </si>
  <si>
    <t>서버 결과 렌더링</t>
  </si>
  <si>
    <t>v2 UI-004·005 통합</t>
  </si>
  <si>
    <t>UI-003</t>
  </si>
  <si>
    <t>분석 정의와 실행 이력을 조회한다.</t>
  </si>
  <si>
    <t>분석 이력 UI</t>
  </si>
  <si>
    <t>UI-004</t>
  </si>
  <si>
    <t>분석 블록을 배치하고 보고서를 실행한다.</t>
  </si>
  <si>
    <t>12열 보고서 편집기</t>
  </si>
  <si>
    <t>UI-005</t>
  </si>
  <si>
    <t>요청의 처리 경로와 근거를 조회한다.</t>
  </si>
  <si>
    <t>Trace UI</t>
  </si>
  <si>
    <t>v2 OPS-001·SEC-003 확대</t>
  </si>
  <si>
    <t>RPT-005</t>
  </si>
  <si>
    <t>정해진 일정에 보고서를 실행한다.</t>
  </si>
  <si>
    <t>작업 스케줄러</t>
  </si>
  <si>
    <t>AI-006</t>
  </si>
  <si>
    <t>필요한 경우에만 LoRA 또는 QLoRA를 비교한다.</t>
  </si>
  <si>
    <t>조건부 미세조정</t>
  </si>
  <si>
    <t>v2 AI-004 수정</t>
  </si>
  <si>
    <t>NFR-003</t>
  </si>
  <si>
    <t>조회 지연과 자원 사용을 측정한다.</t>
  </si>
  <si>
    <t>성능 측정</t>
  </si>
  <si>
    <t>v2 NFR-001 수정</t>
  </si>
  <si>
    <t>NFR-006</t>
  </si>
  <si>
    <t>화면 정보를 색상 외 방법으로 전달한다.</t>
  </si>
  <si>
    <t>웹 접근성</t>
  </si>
  <si>
    <t>v2 UI-004 확대</t>
  </si>
  <si>
    <t>SEC-006</t>
  </si>
  <si>
    <t>기업 IAM 또는 SSO와 연동한다.</t>
  </si>
  <si>
    <t>미확정</t>
  </si>
  <si>
    <t>OIDC·SAML 후보</t>
  </si>
  <si>
    <t>I5 이후</t>
  </si>
  <si>
    <t>OPS-004</t>
  </si>
  <si>
    <t>운영 지표와 실패 추세를 대시보드로 제공한다.</t>
  </si>
  <si>
    <t>운영 대시보드</t>
  </si>
  <si>
    <t>UI-006</t>
  </si>
  <si>
    <t>등록된 자산과 설명을 별도 화면에서 탐색한다.</t>
  </si>
  <si>
    <t>카탈로그 UI</t>
  </si>
  <si>
    <t>R2·R5</t>
  </si>
  <si>
    <t>EXT-001</t>
  </si>
  <si>
    <t>확장 요구사항</t>
  </si>
  <si>
    <t>외부 도구 호출을 등록·통제한다.</t>
  </si>
  <si>
    <t>MCP Tool Registry</t>
  </si>
  <si>
    <t>R1·R3·R4·R5</t>
  </si>
  <si>
    <t>EXT-002</t>
  </si>
  <si>
    <t>권한이 있는 운영 문서를 검색해 근거로 제공한다.</t>
  </si>
  <si>
    <t>RAG·권한 필터</t>
  </si>
  <si>
    <t>EXT-003</t>
  </si>
  <si>
    <t>예측 모델을 별도 도구로 호출한다.</t>
  </si>
  <si>
    <t>ML-as-a-Tool</t>
  </si>
  <si>
    <t>EXT-004</t>
  </si>
  <si>
    <t>복잡한 조사를 다단계 Workflow로 수행한다.</t>
  </si>
  <si>
    <t>제한된 Agent Workflow</t>
  </si>
  <si>
    <t>v2 FUN-013·TST-002 이동</t>
  </si>
  <si>
    <t>EXT-005</t>
  </si>
  <si>
    <t>고객 단위 통합 보기를 제공한다.</t>
  </si>
  <si>
    <t>Identity·권한 Gate</t>
  </si>
  <si>
    <t>요구사항 정의서 — Answervice DataHub 대화형 분석·자동 리포팅 서비스 (v3.0)</t>
  </si>
  <si>
    <t>중분류</t>
  </si>
  <si>
    <t>정의·상세</t>
  </si>
  <si>
    <t>대상 사용자</t>
  </si>
  <si>
    <t>입력→처리→출력</t>
  </si>
  <si>
    <t>업무 규칙·예외</t>
  </si>
  <si>
    <t>수용 기준</t>
  </si>
  <si>
    <t>선행 요구사항</t>
  </si>
  <si>
    <t>관련 화면</t>
  </si>
  <si>
    <t>산출물</t>
  </si>
  <si>
    <t>단위·계약 시험</t>
  </si>
  <si>
    <t>기간 규칙·자산 연결·권한·Resolver·G1·G2·G3·API·모델 응답 파서를 시험한다.</t>
  </si>
  <si>
    <t>개발 담당자</t>
  </si>
  <si>
    <t>시험 사례 → 자동 실행 → 통과·실패</t>
  </si>
  <si>
    <t>외부 구성요소는 필요한 범위에서 fixture를 사용한다.</t>
  </si>
  <si>
    <t>관련 변경 시 단위·계약 시험이 반복 실행되고 결과가 기록된다.</t>
  </si>
  <si>
    <t>-</t>
  </si>
  <si>
    <t>시험 코드·결과</t>
  </si>
  <si>
    <t>실제 App DB·DataHub·Trino·5개 원천 연결을 검증한다.</t>
  </si>
  <si>
    <t>migration·검색·자산 연결·자료형·조회·취소·실패를 구성요소 사이에서 확인한다.</t>
  </si>
  <si>
    <t>시험 담당자</t>
  </si>
  <si>
    <t>통합 환경 → 시나리오 실행 → 연결 증거</t>
  </si>
  <si>
    <t>fixture 통과만으로 실제 연동 성공을 선언하지 않는다.</t>
  </si>
  <si>
    <t>5개 원천 단독 조회와 승인된 2~3개 원천 조인이 성공한다.</t>
  </si>
  <si>
    <t>DAT-001~009,INT-002~005</t>
  </si>
  <si>
    <t>통합 시험 결과</t>
  </si>
  <si>
    <t>Golden E2E</t>
  </si>
  <si>
    <t>대표 질문의 전체 흐름을 검증한다.</t>
  </si>
  <si>
    <t>질문→Context→G1→SQL→G2→Trino→G3→설명→분석 저장→보고서→Trace를 실행한다.</t>
  </si>
  <si>
    <t>시험 담당자, 시연 사용자</t>
  </si>
  <si>
    <t>대표 질문 → 실제 HTTP·UI 실행 → 증거 수집</t>
  </si>
  <si>
    <t>모델 출력이나 fixture만으로 성공 처리하지 않는다.</t>
  </si>
  <si>
    <t>화면 값·저장 Artifact·Gold 결과가 일치하고 모든 단계 ID가 연결된다.</t>
  </si>
  <si>
    <t>TST-001,TST-002</t>
  </si>
  <si>
    <t>전 화면</t>
  </si>
  <si>
    <t>Golden E2E 증거</t>
  </si>
  <si>
    <t>보안 시험</t>
  </si>
  <si>
    <t>DML·DDL·우회 호출·권한 밖 자산·민감 컬럼·복수 문장 공격 사례를 실행한다.</t>
  </si>
  <si>
    <t>공격 corpus → G2·실행·G3 → 차단 증거</t>
  </si>
  <si>
    <t>실제 쓰기 검사는 폐기 가능한 합성 시험 환경에서만 수행한다.</t>
  </si>
  <si>
    <t>보안 negative test</t>
  </si>
  <si>
    <t>정의한 corpus의 위험 요청이 차단되고 원천 쓰기·민감 노출이 0건이다.</t>
  </si>
  <si>
    <t>SEC-001~005</t>
  </si>
  <si>
    <t>보안 시험 결과</t>
  </si>
  <si>
    <t>릴리스 검증</t>
  </si>
  <si>
    <t>전체 시험·E2E·상태 확인·복구·Manifest·승인 SHA를 확인한다.</t>
  </si>
  <si>
    <t>릴리스 담당자</t>
  </si>
  <si>
    <t>배포 후보 → 검증 → 승인·차단</t>
  </si>
  <si>
    <t>실행하지 않은 검증은 성공으로 기록하지 않는다.</t>
  </si>
  <si>
    <t>검증 결과·미실행 항목·차단 사유가 Release Manifest와 함께 남는다.</t>
  </si>
  <si>
    <t>TST-001~004,NFR-005</t>
  </si>
  <si>
    <t>릴리스 검증 보고서</t>
  </si>
  <si>
    <t>인증</t>
  </si>
  <si>
    <t>사용자는 인증 후 서비스에 접근한다.</t>
  </si>
  <si>
    <t>로그인 상태를 확인하고 인증되지 않은 요청을 차단한다.</t>
  </si>
  <si>
    <t>모든 사용자</t>
  </si>
  <si>
    <t>인증 정보 → 검증 → 사용자 Context</t>
  </si>
  <si>
    <t>비밀정보는 코드·로그·응답에 기록하지 않는다.</t>
  </si>
  <si>
    <t>인증 정보가 없거나 잘못된 요청은 분석을 시작하지 않고 오류를 반환한다.</t>
  </si>
  <si>
    <t>로그인</t>
  </si>
  <si>
    <t>인증 API·화면</t>
  </si>
  <si>
    <t>권한</t>
  </si>
  <si>
    <t>admin·analyst·viewer 역할과 허용 범위를 버전으로 관리한다.</t>
  </si>
  <si>
    <t>사용자 역할 → 권한 확인 → 허용 범위</t>
  </si>
  <si>
    <t>화면 숨김만으로 권한을 통제하지 않는다.</t>
  </si>
  <si>
    <t>권한이 없는 자산이나 컬럼을 요청하면 Context 생성 단계에서 차단된다.</t>
  </si>
  <si>
    <t>권한 정책·차단 시험</t>
  </si>
  <si>
    <t>질문 입력</t>
  </si>
  <si>
    <t>질문·시작일·종료일·필터를 하나의 분석 요청으로 전달한다.</t>
  </si>
  <si>
    <t>현업 분석 담당자</t>
  </si>
  <si>
    <t>질문·기간·필터 → 입력 검증 → 분석 요청</t>
  </si>
  <si>
    <t>분석 대상이나 기간이 모호하면 확인 요청 상태로 전환한다.</t>
  </si>
  <si>
    <t>유효한 질문은 요청 ID를 받고 모호한 질문은 필요한 확인 항목을 반환한다.</t>
  </si>
  <si>
    <t>분석 대화</t>
  </si>
  <si>
    <t>분석 요청 API·화면</t>
  </si>
  <si>
    <t>지표·차원·필터·기간·분석 유형을 정해진 형식으로 추출한다.</t>
  </si>
  <si>
    <t>자연어 질문 → Node 1 → Business Analysis Request</t>
  </si>
  <si>
    <t>Node 1은 물리 테이블·조인·권한을 결정하지 않는다.</t>
  </si>
  <si>
    <t>대표 질문에서 필수 필드가 채워지고 잘못된 형식은 계약 오류로 차단된다.</t>
  </si>
  <si>
    <t>Node 1 계약·시험</t>
  </si>
  <si>
    <t>권한이 허용한 메타데이터·자산 연결·업무 규칙을 하나의 Context Package로 만든다.</t>
  </si>
  <si>
    <t>구조화 요청·권한·메타데이터·규칙 → Context Builder → 승인 Context</t>
  </si>
  <si>
    <t>질문과 관계없는 전체 스키마를 모델에 제공하지 않는다.</t>
  </si>
  <si>
    <t>대표 질문의 승인 Context에 필요한 자산·컬럼·규칙만 포함된다.</t>
  </si>
  <si>
    <t>FUN-002,FUN-004,DAT-005~007</t>
  </si>
  <si>
    <t>분석 진행 상태</t>
  </si>
  <si>
    <t>Context 계약·증거</t>
  </si>
  <si>
    <t>G1 Context Gate</t>
  </si>
  <si>
    <t>지표·데이터셋·자산 연결·조인·시간·권한·버전을 확인한다.</t>
  </si>
  <si>
    <t>승인 Context → G1 검사 → 통과·확인 요청·차단</t>
  </si>
  <si>
    <t>G1이 통과하지 않으면 SQL 생성 모델을 호출하지 않는다.</t>
  </si>
  <si>
    <t>누락·권한 없음·비활성 버전 사례가 정해진 오류 코드로 차단된다.</t>
  </si>
  <si>
    <t>G1 정책·시험</t>
  </si>
  <si>
    <t>분석 재사용 판정</t>
  </si>
  <si>
    <t>지표·차원·필터 구조·조인 그래프·규칙 버전의 호환성을 비교한다.</t>
  </si>
  <si>
    <t>승인 요청·기존 정의 → Resolver → 재사용·신규</t>
  </si>
  <si>
    <t>재사용 실행도 현재 권한과 G1·G2를 다시 확인한다.</t>
  </si>
  <si>
    <t>같은 구조의 질문은 기존 정의를 사용하고 의미가 달라지면 새 버전을 만든다.</t>
  </si>
  <si>
    <t>저장된 분석</t>
  </si>
  <si>
    <t>Resolver 규칙·시험</t>
  </si>
  <si>
    <t>SQL 생성</t>
  </si>
  <si>
    <t>승인 Context 안에서 Trino SQL 초안을 만든다.</t>
  </si>
  <si>
    <t>Node 2가 단일 SELECT 또는 WITH...SELECT 형식의 SQL과 사용 자산·지표를 반환한다.</t>
  </si>
  <si>
    <t>구조화 요청·승인 Context → Node 2 → SQL 초안</t>
  </si>
  <si>
    <t>모델은 스키마 탐색·권한 판정·직접 실행을 하지 않는다.</t>
  </si>
  <si>
    <t>정상 사례에서 SQL·사용 자산·사용 지표가 정해진 JSON Schema로 반환된다.</t>
  </si>
  <si>
    <t>FUN-006,FUN-007</t>
  </si>
  <si>
    <t>Node 2 계약·시험</t>
  </si>
  <si>
    <t>G2 SQL Gate</t>
  </si>
  <si>
    <t>SQLGlot AST·허용 자산·컬럼·조인·함수·복잡도·LIMIT 정책을 확인한다.</t>
  </si>
  <si>
    <t>SQL 초안·승인 Context → G2 검사 → 실행 허용·차단</t>
  </si>
  <si>
    <t>알 수 없는 구조는 허용하지 않으며 차단을 기본값으로 한다.</t>
  </si>
  <si>
    <t>DML·DDL·복수 문장·권한 밖 자산·우회 호출이 모두 차단된다.</t>
  </si>
  <si>
    <t>G2 정책·공격 시험</t>
  </si>
  <si>
    <t>SQL 1회 수정</t>
  </si>
  <si>
    <t>G2 오류 코드와 필요한 최소 정보만 Node 2′에 전달한다.</t>
  </si>
  <si>
    <t>차단 SQL·정형 오류 → Node 2′ → 수정 SQL</t>
  </si>
  <si>
    <t>두 번째 실패는 종료하며 전체 스키마·비밀정보를 전달하지 않는다.</t>
  </si>
  <si>
    <t>첫 실패 후 한 번만 수정되고 재실패 시 명시적 실패 상태가 기록된다.</t>
  </si>
  <si>
    <t>수정 횟수·오류 계약</t>
  </si>
  <si>
    <t>조회 실행</t>
  </si>
  <si>
    <t>G2 통과 토큰을 확인하고 조회 ID·상태·취소·시간 제한을 관리한다.</t>
  </si>
  <si>
    <t>G2 통과 SQL → Trino → 원시 결과</t>
  </si>
  <si>
    <t>G2를 통하지 않은 SQL은 실행 계층에서 다시 차단한다.</t>
  </si>
  <si>
    <t>통과 SQL은 조회 ID를 반환하고 차단 SQL은 원천 데이터베이스에 도달하지 않는다.</t>
  </si>
  <si>
    <t>실행 어댑터·수명주기 시험</t>
  </si>
  <si>
    <t>G3 Result Gate</t>
  </si>
  <si>
    <t>스키마·행 수·크기·민감정보·중복 증폭·지표 범위를 확인한다.</t>
  </si>
  <si>
    <t>원시 결과 → G3 검사·축소·가림 → 안전한 결과</t>
  </si>
  <si>
    <t>G3 이전 결과를 화면·설명 모델·보고서에 전달하지 않는다.</t>
  </si>
  <si>
    <t>민감 컬럼·과도한 결과·스키마 오류 사례가 사용자 노출 전에 차단된다.</t>
  </si>
  <si>
    <t>G3 정책·시험</t>
  </si>
  <si>
    <t>논리 원천</t>
  </si>
  <si>
    <t>객실 운영·식음·멤버십·시설 운영·연회·행사를 독립된 업무 원천으로 관리한다.</t>
  </si>
  <si>
    <t>데이터 담당자</t>
  </si>
  <si>
    <t>업무 원천 정의 → 원천 등록 → 연결 상태</t>
  </si>
  <si>
    <t>논리 원천과 실제 데이터베이스 연결 정보를 분리한다.</t>
  </si>
  <si>
    <t>5개 원천에 소유자·업무 범위·연결 식별자가 기록된다.</t>
  </si>
  <si>
    <t>데이터 관리</t>
  </si>
  <si>
    <t>물리 엔진</t>
  </si>
  <si>
    <t>PostgreSQL 2개·MySQL·SQL Server·ClickHouse를 Trino 카탈로그 5개로 연결한다.</t>
  </si>
  <si>
    <t>연결 정보 → 카탈로그 구성 → 연결 확인</t>
  </si>
  <si>
    <t>두 PostgreSQL 원천은 계정과 카탈로그를 분리한다.</t>
  </si>
  <si>
    <t>각 카탈로그에서 대표 테이블을 읽고 5개 연결 상태를 확인할 수 있다.</t>
  </si>
  <si>
    <t>카탈로그 설정·연결 시험</t>
  </si>
  <si>
    <t>합성 데이터</t>
  </si>
  <si>
    <t>실제 고객 데이터 대신 고정된 스키마·시드·시나리오로 데이터를 생성한다.</t>
  </si>
  <si>
    <t>데이터 담당자, 시험 담당자</t>
  </si>
  <si>
    <t>스키마·시드·시나리오 → 생성 → 검증 자료</t>
  </si>
  <si>
    <t>모든 데이터 세트에 synthetic 표시와 버전을 기록한다.</t>
  </si>
  <si>
    <t>같은 버전과 시드로 다시 생성했을 때 핵심 행 수와 Gold 결과가 일치한다.</t>
  </si>
  <si>
    <t>DDL·시드·시나리오 명세</t>
  </si>
  <si>
    <t>경계 사례</t>
  </si>
  <si>
    <t>취소·환불·음수 금액·중복·NULL·등급 이력·시간 경계를 합성 데이터에 포함한다.</t>
  </si>
  <si>
    <t>경계 조건 → 합성 행 → Gold SQL·결과</t>
  </si>
  <si>
    <t>정상 사례와 오류 사례를 구분해 기록한다.</t>
  </si>
  <si>
    <t>각 경계 사례가 지정된 시나리오와 예상 결과로 확인된다.</t>
  </si>
  <si>
    <t>경계 사례 명세</t>
  </si>
  <si>
    <t>메타데이터</t>
  </si>
  <si>
    <t>DataHub Core에 구조 정보를 수집한다.</t>
  </si>
  <si>
    <t>테이블·컬럼·설명·도메인·용어·계보 등 구조 정보를 검색 가능하게 등록한다.</t>
  </si>
  <si>
    <t>데이터·시스템 담당자</t>
  </si>
  <si>
    <t>원천 스키마 → 수집 작업 → DataHub 자산</t>
  </si>
  <si>
    <t>DataHub는 지표·조인·권한을 최종 결정하지 않는다.</t>
  </si>
  <si>
    <t>5개 원천의 대표 자산을 이름·도메인·용어로 검색할 수 있다.</t>
  </si>
  <si>
    <t>수집 설정·검색 시험</t>
  </si>
  <si>
    <t>자산 연결</t>
  </si>
  <si>
    <t>DataHub 자산과 Trino 실행 경로를 연결한다.</t>
  </si>
  <si>
    <t>DataHub Dataset URN과 Trino catalog.schema.table을 버전이 있는 자산 연결로 관리한다.</t>
  </si>
  <si>
    <t>Dataset URN → 자산 연결 → Trino FQN</t>
  </si>
  <si>
    <t>이름이 비슷하다는 이유만으로 자동 연결하지 않는다.</t>
  </si>
  <si>
    <t>대표 자산의 URN으로 실제 Trino 테이블과 컬럼 서명을 확인할 수 있다.</t>
  </si>
  <si>
    <t>DAT-002,DAT-005</t>
  </si>
  <si>
    <t>자산 연결 명세·상태 시험</t>
  </si>
  <si>
    <t>업무 규칙</t>
  </si>
  <si>
    <t>지표 계산식·허용 조인·기간 계산·고객 식별 기준을 별도 규칙 저장소에 보관한다.</t>
  </si>
  <si>
    <t>규칙 정의 → 승인·활성화 → 분석 Context</t>
  </si>
  <si>
    <t>활성 상태와 버전이 없는 규칙은 분석에 사용하지 않는다.</t>
  </si>
  <si>
    <t>대표 질문에 사용한 지표·조인·기간·식별 규칙의 버전이 기록된다.</t>
  </si>
  <si>
    <t>규칙 계약·버전 이력</t>
  </si>
  <si>
    <t>Gold 기준</t>
  </si>
  <si>
    <t>사람이 검토한 SQL·결과·정렬·자료형·허용 오차를 버전으로 보관한다.</t>
  </si>
  <si>
    <t>시험 담당자, 모델 담당자</t>
  </si>
  <si>
    <t>대표 질문·데이터 버전 → Gold SQL → Gold 결과</t>
  </si>
  <si>
    <t>시험 세트와 학습 세트의 누수를 막는다.</t>
  </si>
  <si>
    <t>동일 데이터 버전에서 Gold SQL 실행 결과가 저장된 Gold 결과와 일치한다.</t>
  </si>
  <si>
    <t>Gold fixture·비교 규칙</t>
  </si>
  <si>
    <t>신선도와 기준 시각</t>
  </si>
  <si>
    <t>데이터 기준 시각과 신선도를 기록한다.</t>
  </si>
  <si>
    <t>분석 실행에 사용한 as_of·원천별 갱신 시각·데이터 버전을 결과에 연결한다.</t>
  </si>
  <si>
    <t>현업 분석 담당자, 시험 담당자</t>
  </si>
  <si>
    <t>원천 상태 → 기준 시각 계산 → 실행 기록</t>
  </si>
  <si>
    <t>서로 다른 기준 시각을 최신 결과로 혼합하지 않는다.</t>
  </si>
  <si>
    <t>신선도 기록</t>
  </si>
  <si>
    <t>분석 실행에서 원천별 갱신 시각과 공통 기준 시각을 조회할 수 있다.</t>
  </si>
  <si>
    <t>분석 결과</t>
  </si>
  <si>
    <t>신선도 계약·실행 이력</t>
  </si>
  <si>
    <t>보고서 정의</t>
  </si>
  <si>
    <t>보고서 제목·설명·블록 순서·크기·시각화·참조 분석을 관리한다.</t>
  </si>
  <si>
    <t>편집 내용 → 보고서 정의 → 버전 저장</t>
  </si>
  <si>
    <t>정의 변경 시 과거 실행 구성을 덮어쓰지 않는다.</t>
  </si>
  <si>
    <t>보고서 정의 변경 전후 버전과 각 블록의 참조 분석을 조회할 수 있다.</t>
  </si>
  <si>
    <t>보고서 편집</t>
  </si>
  <si>
    <t>보고서 도메인·API</t>
  </si>
  <si>
    <t>공통 기준 시각</t>
  </si>
  <si>
    <t>모든 블록을 같은 report_as_of로 실행한다.</t>
  </si>
  <si>
    <t>보고서 기준 시각에서 각 분석의 상대 기간을 계산해 새 실행을 만든다.</t>
  </si>
  <si>
    <t>현업 분석 담당자, 관리자</t>
  </si>
  <si>
    <t>report_as_of·블록 → 분석 실행 → 보고서 실행</t>
  </si>
  <si>
    <t>블록마다 임의의 최신 시각을 사용하지 않는다.</t>
  </si>
  <si>
    <t>각 블록 실행에 같은 report_as_of와 계산된 실제 기간이 기록된다.</t>
  </si>
  <si>
    <t>RPT-001,DAT-009</t>
  </si>
  <si>
    <t>보고서 이력</t>
  </si>
  <si>
    <t>보고서 실행 계약</t>
  </si>
  <si>
    <t>부분 성공</t>
  </si>
  <si>
    <t>일부 블록 실패 시 보고서 실행을 PARTIAL_SUCCESS로 저장한다.</t>
  </si>
  <si>
    <t>블록 실행 결과 → 상태 집계 → 성공·부분 성공·실패</t>
  </si>
  <si>
    <t>실패 블록에 과거 성공 결과를 이번 결과처럼 표시하지 않는다.</t>
  </si>
  <si>
    <t>한 블록 실패 시 성공 블록과 실패 사유가 함께 표시되고 전체 상태가 부분 성공이 된다.</t>
  </si>
  <si>
    <t>상태 계약·시험</t>
  </si>
  <si>
    <t>수동 재실행</t>
  </si>
  <si>
    <t>새 실행 이력을 만들고 이전 실행과 결과를 모두 보존한다.</t>
  </si>
  <si>
    <t>재실행 요청 → 새 블록 실행 → 새 보고서 실행</t>
  </si>
  <si>
    <t>기존 실행 상태와 결과를 수정하지 않는다.</t>
  </si>
  <si>
    <t>같은 요청의 중복 처리는 방지하고 명시적 재실행은 새 실행으로 기록된다.</t>
  </si>
  <si>
    <t>재실행 API·시험</t>
  </si>
  <si>
    <t>결과 설명</t>
  </si>
  <si>
    <t>Node 3가 수치·기간·단위·출처·제한 사항을 정해진 형식으로 정리한다.</t>
  </si>
  <si>
    <t>안전한 결과·근거 → Node 3 → 설명</t>
  </si>
  <si>
    <t>결과에 없는 수치와 인과관계를 만들지 않는다.</t>
  </si>
  <si>
    <t>설명에 포함된 수치와 기간이 원본 결과와 일치한다.</t>
  </si>
  <si>
    <t>분석 결과·보고서</t>
  </si>
  <si>
    <t>Node 3 계약·평가</t>
  </si>
  <si>
    <t>출력 계약</t>
  </si>
  <si>
    <t>Node 1·2·2′·3 출력에 JSON Schema와 오류 코드를 적용한다.</t>
  </si>
  <si>
    <t>시스템 담당자</t>
  </si>
  <si>
    <t>모델 응답 → 파싱·스키마 검증 → 정상 출력·계약 오류</t>
  </si>
  <si>
    <t>Markdown 코드 블록·누락 필드·알 수 없는 필드는 오류로 처리한다.</t>
  </si>
  <si>
    <t>잘못된 응답 사례가 실행 단계로 넘어가지 않고 계약 오류로 기록된다.</t>
  </si>
  <si>
    <t>FUN-004,FUN-008,AI-001</t>
  </si>
  <si>
    <t>모델 입출력 계약</t>
  </si>
  <si>
    <t>모델 기준선</t>
  </si>
  <si>
    <t>같은 데이터·Context·프롬프트·디코딩·실행 환경에서 후보별 성능을 측정한다.</t>
  </si>
  <si>
    <t>모델 담당자</t>
  </si>
  <si>
    <t>Gold 세트·후보 모델 → 실행 평가 → 비교표</t>
  </si>
  <si>
    <t>모델 ID·revision·license·GPU·컨테이너를 기록한다.</t>
  </si>
  <si>
    <t>후보별 결과 정확도·실행 성공률·Context 위반·지연·VRAM이 같은 표에 기록된다.</t>
  </si>
  <si>
    <t>DAT-008,AI-002</t>
  </si>
  <si>
    <t>모델 비교 보고서</t>
  </si>
  <si>
    <t>핵심 지표</t>
  </si>
  <si>
    <t>생성 SQL 문자열이 아니라 실행 결과를 Gold 결과와 비교한다.</t>
  </si>
  <si>
    <t>모델 담당자, 시험 담당자</t>
  </si>
  <si>
    <t>생성 SQL → G2·Trino 실행 → Gold 결과 비교</t>
  </si>
  <si>
    <t>정렬·자료형·NULL·중복·허용 오차 규칙을 사례별로 고정한다.</t>
  </si>
  <si>
    <t>필수 Gold 사례에서 결과 정확도와 첫 실패 단계가 자동 산출된다.</t>
  </si>
  <si>
    <t>평가 결과·오류 분류</t>
  </si>
  <si>
    <t>오류 분리</t>
  </si>
  <si>
    <t>데이터·Context·자산 연결·규칙·시간·정책·엔진·모델 오류를 분리 기록한다.</t>
  </si>
  <si>
    <t>모델 담당자, 시스템 담당자</t>
  </si>
  <si>
    <t>실패 사례 → 첫 실패 단계·원인 분석 → 담당 영역</t>
  </si>
  <si>
    <t>모델 문제가 아닌 오류를 학습으로 해결하지 않는다.</t>
  </si>
  <si>
    <t>실패 사례마다 첫 실패 단계와 한 개 이상의 확인 근거가 기록된다.</t>
  </si>
  <si>
    <t>오류 분류표</t>
  </si>
  <si>
    <t>서빙</t>
  </si>
  <si>
    <t>정확한 모델 revision·adapter·이미지 태그와 상태 확인·시간 제한·취소를 관리한다.</t>
  </si>
  <si>
    <t>모델 산출물 → 서빙 환경 → 모델 API</t>
  </si>
  <si>
    <t>모델 가중치는 Backend 이미지와 분리하고 latest만 사용하지 않는다.</t>
  </si>
  <si>
    <t>재시작 후 같은 revision이 로드되고 상태 확인과 제한 시간이 동작한다.</t>
  </si>
  <si>
    <t>모델 서빙 명세·상태 시험</t>
  </si>
  <si>
    <t>읽기 전용</t>
  </si>
  <si>
    <t>Trino 접근 제어·원천 전용 계정·SQL 정책을 겹쳐 적용한다.</t>
  </si>
  <si>
    <t>분석 요청 → 다중 통제 → 조회만 실행</t>
  </si>
  <si>
    <t>한 지점의 검사만으로 쓰기 차단을 보장하지 않는다.</t>
  </si>
  <si>
    <t>준비한 공격 SQL에서 원천 데이터 변경 성공이 0건이다.</t>
  </si>
  <si>
    <t>FUN-009,FUN-011</t>
  </si>
  <si>
    <t>최소 권한</t>
  </si>
  <si>
    <t>역할·자산·컬럼·기능 권한을 분리하고 변경 이력을 남긴다.</t>
  </si>
  <si>
    <t>역할·정책 → 권한 적용 → 허용·차단</t>
  </si>
  <si>
    <t>권한 없는 메타데이터도 모델 Context에 포함하지 않는다.</t>
  </si>
  <si>
    <t>권한 없는 역할에서 자산 검색·SQL 실행·결과 조회가 모두 차단된다.</t>
  </si>
  <si>
    <t>FUN-002,DAT-005</t>
  </si>
  <si>
    <t>권한 매트릭스·시험</t>
  </si>
  <si>
    <t>민감정보</t>
  </si>
  <si>
    <t>G2에서 민감 컬럼 조회를 우선 차단하고 G3에서 가림·삭제를 다시 적용한다.</t>
  </si>
  <si>
    <t>SQL·원시 결과 → 정책 검사 → 안전한 결과</t>
  </si>
  <si>
    <t>원시 결과를 외부 모델·화면·보고서에 직접 전달하지 않는다.</t>
  </si>
  <si>
    <t>준비한 민감정보 사례에서 화면·설명·보고서 노출이 0건이다.</t>
  </si>
  <si>
    <t>FUN-009,FUN-012</t>
  </si>
  <si>
    <t>민감정보 시험 결과</t>
  </si>
  <si>
    <t>비밀정보</t>
  </si>
  <si>
    <t>환경변수·비밀 저장소·로그 가림을 적용하고 저장소 커밋을 금지한다.</t>
  </si>
  <si>
    <t>비밀 값 → 런타임 주입 → 서비스 사용</t>
  </si>
  <si>
    <t>오류 메시지와 Trace에 비밀 값을 포함하지 않는다.</t>
  </si>
  <si>
    <t>저장소와 로그 검사에서 실제 비밀정보 노출이 발견되지 않는다.</t>
  </si>
  <si>
    <t>비밀정보 검사 결과</t>
  </si>
  <si>
    <t>감사</t>
  </si>
  <si>
    <t>로그인·분석·Gate·조회·보고서 실행·권한 변경을 행위자와 시각으로 기록한다.</t>
  </si>
  <si>
    <t>시스템 관리자</t>
  </si>
  <si>
    <t>행위·결정 → Audit Event → 조회·보존</t>
  </si>
  <si>
    <t>전체 SQL·민감 원시 결과·모델 내부 추론은 기록하지 않는다.</t>
  </si>
  <si>
    <t>주요 요청의 행위자·대상·시각·결과를 request_id로 추적할 수 있다.</t>
  </si>
  <si>
    <t>FUN-001,UI-005</t>
  </si>
  <si>
    <t>운영·감사</t>
  </si>
  <si>
    <t>감사 이벤트·조회</t>
  </si>
  <si>
    <t>재현성</t>
  </si>
  <si>
    <t>데이터·스키마·Context·Binding·Rule·Policy·Model·Prompt 버전을 기록한다.</t>
  </si>
  <si>
    <t>시험 담당자, 시스템 관리자</t>
  </si>
  <si>
    <t>입력·버전 → 재실행 → 결과 비교</t>
  </si>
  <si>
    <t>설명 문장 차이와 수치 결과 차이를 구분한다.</t>
  </si>
  <si>
    <t>동일 데이터와 버전으로 재실행한 수치가 허용 오차 안에서 일치한다.</t>
  </si>
  <si>
    <t>DAT-003,DAT-008</t>
  </si>
  <si>
    <t>재현성 시험 결과</t>
  </si>
  <si>
    <t>가용성</t>
  </si>
  <si>
    <t>DataHub·모델·Trino·보고서 블록 오류를 격리하고 명시적 상태를 반환한다.</t>
  </si>
  <si>
    <t>단계 오류 → 예외 격리 → 부분 결과·실패 상태</t>
  </si>
  <si>
    <t>실패를 이전 성공값이나 fixture로 대체하지 않는다.</t>
  </si>
  <si>
    <t>각 외부 구성요소 장애 시험에서 서비스가 응답하고 정확한 실패 단계를 표시한다.</t>
  </si>
  <si>
    <t>FUN-003~012</t>
  </si>
  <si>
    <t>장애 시험 결과</t>
  </si>
  <si>
    <t>자원 통제</t>
  </si>
  <si>
    <t>timeout·cancel·resource group·scan 제한·행·열·payload 제한을 적용한다.</t>
  </si>
  <si>
    <t>조회 계획·실행 → 자원 제한 → 완료·취소·차단</t>
  </si>
  <si>
    <t>LIMIT만으로 전체 스캔 비용을 통제했다고 판단하지 않는다.</t>
  </si>
  <si>
    <t>장시간·대용량 사례가 정해진 제한 안에서 취소되거나 차단된다.</t>
  </si>
  <si>
    <t>FUN-009,FUN-011,FUN-012</t>
  </si>
  <si>
    <t>자원 제한 시험</t>
  </si>
  <si>
    <t>호환성</t>
  </si>
  <si>
    <t>API·Context·Binding·Rule·Policy·Model·Prompt·DB migration 버전을 Release Manifest에 기록한다.</t>
  </si>
  <si>
    <t>버전 목록 → 호환성 검사 → 배포 허용·차단</t>
  </si>
  <si>
    <t>호환되지 않는 조합은 시작 전에 차단한다.</t>
  </si>
  <si>
    <t>배포 후보에서 실제 사용 버전과 호환성 검사 결과를 조회할 수 있다.</t>
  </si>
  <si>
    <t>Release Manifest</t>
  </si>
  <si>
    <t>객실·식음·멤버십·시설·연회 데이터를 질문에 필요한 범위로 연결한다.</t>
  </si>
  <si>
    <t>질문 → 승인된 데이터 연결 → 분석 결과</t>
  </si>
  <si>
    <t>정해진 지표 반복 조회는 기존 업무 화면을 우선한다.</t>
  </si>
  <si>
    <t>대표 질문 입력 시 필요한 1~3개 원천의 결과가 하나의 분석으로 제공된다.</t>
  </si>
  <si>
    <t>서비스 기획서·통합 시험</t>
  </si>
  <si>
    <t>분석 자산</t>
  </si>
  <si>
    <t>질문에 답한 결과를 일회성 대화가 아닌 분석 정의·실행·결과로 보관한다.</t>
  </si>
  <si>
    <t>검증 결과 → 분석 저장 → 조건 변경 재실행</t>
  </si>
  <si>
    <t>과거 실행 결과를 덮어쓰지 않는다.</t>
  </si>
  <si>
    <t>저장한 분석의 기간을 변경해 실행하면 새 실행 이력이 생성된다.</t>
  </si>
  <si>
    <t>분석 이력·화면</t>
  </si>
  <si>
    <t>보고 재사용</t>
  </si>
  <si>
    <t>저장된 분석을 보고서 블록으로 배치하고 같은 기준 시각으로 다시 실행한다.</t>
  </si>
  <si>
    <t>분석 정의 → 보고서 블록 → 보고서 실행</t>
  </si>
  <si>
    <t>보고서는 별도 수치 계산 규칙을 만들지 않는다.</t>
  </si>
  <si>
    <t>두 개 이상의 분석 블록을 포함한 보고서를 실행하고 실행 이력을 조회할 수 있다.</t>
  </si>
  <si>
    <t>보고서 편집·이력</t>
  </si>
  <si>
    <t>보고서 정의·실행 이력</t>
  </si>
  <si>
    <t>근거와 한계</t>
  </si>
  <si>
    <t>수치·기간·단위·출처·검증 상태·제약 사항을 결과와 함께 표시한다.</t>
  </si>
  <si>
    <t>검증 결과·근거 → 안전한 결과 → 표·차트·설명</t>
  </si>
  <si>
    <t>확인되지 않은 인과관계와 결과에 없는 수치를 만들지 않는다.</t>
  </si>
  <si>
    <t>결과 화면과 보고서에서 기간·단위·출처·주의사항을 확인할 수 있다.</t>
  </si>
  <si>
    <t>근거 표시·설명 계약</t>
  </si>
  <si>
    <t>인증·API·Orchestrator·Gate·저장·오류 응답을 하나의 Control Plane에서 조정한다.</t>
  </si>
  <si>
    <t>HTTP 요청 → FastAPI → 단계별 처리·응답</t>
  </si>
  <si>
    <t>Django와 별도 자유 Agent 진입점을 추가하지 않는다.</t>
  </si>
  <si>
    <t>Golden Path가 한 Backend API 계약으로 시작되고 종료된다.</t>
  </si>
  <si>
    <t>OpenAPI·Backend 서비스</t>
  </si>
  <si>
    <t>DataHub</t>
  </si>
  <si>
    <t>키워드·도메인·용어 조건으로 자산을 검색하고 Dataset URN을 반환한다.</t>
  </si>
  <si>
    <t>Context 요청 → DataHub API → 자산 후보·상태</t>
  </si>
  <si>
    <t>DataHub UI 표시만으로 실제 분석 연동 성공으로 판정하지 않는다.</t>
  </si>
  <si>
    <t>대표 질문의 Trace에서 사용한 Dataset URN을 확인할 수 있다.</t>
  </si>
  <si>
    <t>DataHub adapter·계약 시험</t>
  </si>
  <si>
    <t>조회 제출·상태 확인·결과 수신·취소·실패를 정형 계약으로 처리한다.</t>
  </si>
  <si>
    <t>검증 SQL → Trino API → 결과·조회 ID·오류</t>
  </si>
  <si>
    <t>원천별 오류와 전체 실행 오류를 구분한다.</t>
  </si>
  <si>
    <t>성공·시간 초과·취소·원천 오류가 서로 다른 상태로 반환된다.</t>
  </si>
  <si>
    <t>DAT-002,FUN-011</t>
  </si>
  <si>
    <t>Trino adapter·계약 시험</t>
  </si>
  <si>
    <t>모델 API</t>
  </si>
  <si>
    <t>Node 1·3용 OpenAI-compatible endpoint와 Node 2용 모델 endpoint를 분리 설정한다.</t>
  </si>
  <si>
    <t>Node 요청 → 모델 API → 계약 응답</t>
  </si>
  <si>
    <t>키·토큰은 환경변수로 관리하고 로그에 남기지 않는다.</t>
  </si>
  <si>
    <t>각 Node가 지정 모델과 timeout으로 호출되고 사용 모델이 Trace에 기록된다.</t>
  </si>
  <si>
    <t>AI-002,AI-007</t>
  </si>
  <si>
    <t>모델 adapter·상태 시험</t>
  </si>
  <si>
    <t>Application DB</t>
  </si>
  <si>
    <t>정의·실행·결과·버전·Trace를 SQLAlchemy와 Alembic으로 관리한다.</t>
  </si>
  <si>
    <t>검증된 실행 정보 → DB 저장 → 조회 API</t>
  </si>
  <si>
    <t>DataHub 전체 메타데이터와 민감 원시 결과를 무조건 복제하지 않는다.</t>
  </si>
  <si>
    <t>새 환경에서 migration 적용 후 분석·보고·Trace 저장과 조회가 성공한다.</t>
  </si>
  <si>
    <t>BIZ-002,BIZ-003</t>
  </si>
  <si>
    <t>DB 모델·migration</t>
  </si>
  <si>
    <t>상태 확인</t>
  </si>
  <si>
    <t>Backend·DB·DataHub·Trino·모델 endpoint의 준비 상태와 오류 원인을 구분한다.</t>
  </si>
  <si>
    <t>상태 요청 → 구성요소 검사 → 상태 응답</t>
  </si>
  <si>
    <t>상태 확인에서 비밀정보와 민감 데이터를 반환하지 않는다.</t>
  </si>
  <si>
    <t>각 구성요소의 정상·저하·실패 상태가 서로 구분된다.</t>
  </si>
  <si>
    <t>INT-001~005</t>
  </si>
  <si>
    <t>상태 확인·운영 절차</t>
  </si>
  <si>
    <t>관측성</t>
  </si>
  <si>
    <t>request_id·trace_id·query_id·stage·duration·error_code를 구조화 로그로 기록한다.</t>
  </si>
  <si>
    <t>실행 이벤트 → 구조화 로그 → 검색·집계</t>
  </si>
  <si>
    <t>비밀정보·전체 민감 결과·모델 내부 추론은 저장하지 않는다.</t>
  </si>
  <si>
    <t>한 요청의 API·Gate·Trino·저장 이벤트를 공통 ID로 연결할 수 있다.</t>
  </si>
  <si>
    <t>로그 계약·조회</t>
  </si>
  <si>
    <t>백업과 복구</t>
  </si>
  <si>
    <t>백업 주기·보존·복구 절차와 무결성 확인 방법을 기록한다.</t>
  </si>
  <si>
    <t>DB·설정 → 백업 → 복구·검증</t>
  </si>
  <si>
    <t>실제 고객 데이터 도입 전 보존 기간과 목표 시간을 재승인한다.</t>
  </si>
  <si>
    <t>별도 환경에서 백업을 복구하고 핵심 분석·보고·감사 이력을 확인할 수 있다.</t>
  </si>
  <si>
    <t>복구 시험 보고서</t>
  </si>
  <si>
    <t>질문·기간·진행 단계·확인 요청·실패 이유·결과를 순서대로 표시한다.</t>
  </si>
  <si>
    <t>사용자 입력 → API 상태 → 결과 화면</t>
  </si>
  <si>
    <t>화면이 권한·수치·Gate 결과를 다시 계산하지 않는다.</t>
  </si>
  <si>
    <t>정상·확인 필요·차단·실패 흐름이 각각 다른 상태로 표시된다.</t>
  </si>
  <si>
    <t>분석 화면·E2E</t>
  </si>
  <si>
    <t>근거 표시</t>
  </si>
  <si>
    <t>기간·단위·데이터 출처·사용 지표·검증 상태·주의사항을 결과 옆에 배치한다.</t>
  </si>
  <si>
    <t>안전한 결과·차트 명세 → 화면 렌더링 → 근거 포함 결과</t>
  </si>
  <si>
    <t>색상만으로 상태를 구분하지 않는다.</t>
  </si>
  <si>
    <t>표의 수치가 저장된 분석 결과와 일치하고 단위·기간이 보인다.</t>
  </si>
  <si>
    <t>FUN-012,AI-001</t>
  </si>
  <si>
    <t>결과·근거 화면</t>
  </si>
  <si>
    <t>정의 버전·최신 실행·과거 실행·파라미터·호환 상태를 구분한다.</t>
  </si>
  <si>
    <t>분석 목록 → 실행 선택 → 상세·재실행</t>
  </si>
  <si>
    <t>과거 결과를 현재 실행 결과로 표시하지 않는다.</t>
  </si>
  <si>
    <t>기간 변경 재실행 후 이전 실행과 새 실행을 각각 조회할 수 있다.</t>
  </si>
  <si>
    <t>BIZ-002,FUN-007</t>
  </si>
  <si>
    <t>분석 목록·상세 화면</t>
  </si>
  <si>
    <t>보고서</t>
  </si>
  <si>
    <t>블록 추가·이동·크기 변경·시각화 변경·초안 저장·실행 이력을 제공한다.</t>
  </si>
  <si>
    <t>저장 분석 → 블록 편집 → 보고서 실행·조회</t>
  </si>
  <si>
    <t>실패 블록은 실패 사유와 마지막 성공 시각을 분리 표시한다.</t>
  </si>
  <si>
    <t>두 개 이상 블록을 저장·실행하고 부분 성공 상태를 확인할 수 있다.</t>
  </si>
  <si>
    <t>보고서 화면·계약 시험</t>
  </si>
  <si>
    <t>감사 Trace</t>
  </si>
  <si>
    <t>request_id·단계·상태·지연·Gate·사용 버전·Trino query ID를 표시한다.</t>
  </si>
  <si>
    <t>시스템 관리자, 현업 분석 담당자</t>
  </si>
  <si>
    <t>요청 ID → Trace API → 단계별 기록</t>
  </si>
  <si>
    <t>비밀정보·불필요한 개인정보·모델 내부 추론은 표시하지 않는다.</t>
  </si>
  <si>
    <t>성공·차단 요청에서 각 단계와 근거를 request_id로 조회할 수 있다.</t>
  </si>
  <si>
    <t>감사 화면</t>
  </si>
  <si>
    <t>일정 실행</t>
  </si>
  <si>
    <t>활성 일정·시간대·중복 방지·실패 재시도 정책을 관리한다.</t>
  </si>
  <si>
    <t>실행 일정 → 작업 처리 → 보고서 실행</t>
  </si>
  <si>
    <t>Core 안정화와 수동 실행 검증 후 적용한다.</t>
  </si>
  <si>
    <t>같은 예정 시각에 중복 실행 없이 한 개의 실행이 생성된다.</t>
  </si>
  <si>
    <t>보고서 설정</t>
  </si>
  <si>
    <t>일정 실행·시험</t>
  </si>
  <si>
    <t>조건부 학습</t>
  </si>
  <si>
    <t>검증된 Context에서도 반복되는 모델 오류가 남을 때 같은 Base와 Adapter를 비교한다.</t>
  </si>
  <si>
    <t>Base 오류 분석 → 학습 → 동일 조건 재평가</t>
  </si>
  <si>
    <t>시험 세트를 학습·조기 종료·프롬프트 선택에 사용하지 않는다.</t>
  </si>
  <si>
    <t>채택 여부와 함께 정확도·회귀·지연·VRAM 차이가 기록된다.</t>
  </si>
  <si>
    <t>AI-003~005</t>
  </si>
  <si>
    <t>학습·평가 보고서</t>
  </si>
  <si>
    <t>성능</t>
  </si>
  <si>
    <t>단계별 평균·p95·timeout·scan·결과 크기·모델 VRAM을 기록한다.</t>
  </si>
  <si>
    <t>부하 시나리오 → 측정 → 기준선·병목</t>
  </si>
  <si>
    <t>측정 환경과 데이터 크기 없이 고정 목표를 확정하지 않는다.</t>
  </si>
  <si>
    <t>승인된 데이터 규모와 환경에서 단계별 p95와 병목이 보고된다.</t>
  </si>
  <si>
    <t>INT-002~004</t>
  </si>
  <si>
    <t>성능 시험 보고서</t>
  </si>
  <si>
    <t>접근성</t>
  </si>
  <si>
    <t>상태 라벨·텍스트·아이콘·단위·기간을 함께 표시한다.</t>
  </si>
  <si>
    <t>서버 상태·결과 → 접근 가능한 표현 → 화면</t>
  </si>
  <si>
    <t>색상만으로 성공·실패·증감을 구분하지 않는다.</t>
  </si>
  <si>
    <t>핵심 화면에서 키보드 이동과 상태 텍스트를 확인할 수 있다.</t>
  </si>
  <si>
    <t>UI-001~005</t>
  </si>
  <si>
    <t>접근성 점검 결과</t>
  </si>
  <si>
    <t>기업 인증 연동</t>
  </si>
  <si>
    <t>실제 도입 환경의 인증 제공자와 역할 매핑을 적용한다.</t>
  </si>
  <si>
    <t>기업 인증 → 역할 매핑 → 서비스 접근</t>
  </si>
  <si>
    <t>MVP의 로컬 인증 완료선을 지연시키지 않는다.</t>
  </si>
  <si>
    <t>인증 제공자·세션·로그아웃·역할 매핑 계약 승인 후 착수한다.</t>
  </si>
  <si>
    <t>FUN-001,FUN-002</t>
  </si>
  <si>
    <t>인증 연동 설계</t>
  </si>
  <si>
    <t>고급 운영 화면</t>
  </si>
  <si>
    <t>단계별 지연·오류율·모델 호출·Trino 상태·보고서 실패를 집계한다.</t>
  </si>
  <si>
    <t>구조화 로그 → 집계 → 운영 대시보드</t>
  </si>
  <si>
    <t>P0 Trace 조회 완료선을 지연시키지 않는다.</t>
  </si>
  <si>
    <t>승인된 지표 정의와 보존 정책 확정 후 착수한다.</t>
  </si>
  <si>
    <t>데이터 카탈로그</t>
  </si>
  <si>
    <t>도메인·용어·소유자·컬럼·연결 상태를 검색하고 상세 정보를 보여준다.</t>
  </si>
  <si>
    <t>검색 조건 → DataHub·Binding 조회 → 자산 상세</t>
  </si>
  <si>
    <t>분석 Golden Path 완료를 지연시키지 않는다.</t>
  </si>
  <si>
    <t>권한이 허용된 자산만 검색되고 Trino 연결 상태가 함께 표시된다.</t>
  </si>
  <si>
    <t>카탈로그 화면</t>
  </si>
  <si>
    <t>MCP</t>
  </si>
  <si>
    <t>도구 입출력·권한·승인·감사·오류 계약을 별도 Gate로 관리한다.</t>
  </si>
  <si>
    <t>도구 요청 → 권한·승인 → 호출·감사</t>
  </si>
  <si>
    <t>필수 분석 경로와 분리하고 외부 변경은 명시적으로 승인한다.</t>
  </si>
  <si>
    <t>도구별 계약과 보안 Gate 승인 후 착수한다.</t>
  </si>
  <si>
    <t>I5 완료</t>
  </si>
  <si>
    <t>확장 관리</t>
  </si>
  <si>
    <t>MCP 설계·시험</t>
  </si>
  <si>
    <t>문서 RAG</t>
  </si>
  <si>
    <t>문서 권한·버전·발효일·인용·평가 기준을 관리한다.</t>
  </si>
  <si>
    <t>질문 → 문서 검색 → 인용 포함 답변</t>
  </si>
  <si>
    <t>현재 분석용 정형 데이터 Context와 분리한다.</t>
  </si>
  <si>
    <t>문서 권한과 평가 계약 승인 후 착수한다.</t>
  </si>
  <si>
    <t>RAG 설계·평가</t>
  </si>
  <si>
    <t>ML 도구</t>
  </si>
  <si>
    <t>특징·모델 입출력·버전·평가·표시 계약을 관리한다.</t>
  </si>
  <si>
    <t>분석 요청 → ML 도구 → 예측 결과·근거</t>
  </si>
  <si>
    <t>예측값을 실제 관측값과 구분한다.</t>
  </si>
  <si>
    <t>특징·성능·표시·보안 Gate 승인 후 착수한다.</t>
  </si>
  <si>
    <t>ML 도구 설계·평가</t>
  </si>
  <si>
    <t>조사 Workflow</t>
  </si>
  <si>
    <t>Investigation Agent·LangGraph 도입 시 단계·권한·중단·감사 계약을 추가한다.</t>
  </si>
  <si>
    <t>조사 목표 → 승인된 단계 실행 → 조사 결과</t>
  </si>
  <si>
    <t>자유로운 무한 반복과 무승인 외부 행동을 허용하지 않는다.</t>
  </si>
  <si>
    <t>결정론적 Core 완료와 별도 수용 기준 승인 후 착수한다.</t>
  </si>
  <si>
    <t>조사 Workflow 설계</t>
  </si>
  <si>
    <t>고객 360</t>
  </si>
  <si>
    <t>식별자 연결·중복·권한·가림·감사 기준을 별도 계약으로 관리한다.</t>
  </si>
  <si>
    <t>권한 있는 현업 사용자</t>
  </si>
  <si>
    <t>고객 식별자 → 승인된 연결 → 고객 통합 보기</t>
  </si>
  <si>
    <t>현재 P0/P1 완료선과 분리하고 실제 고객 데이터는 사용하지 않는다.</t>
  </si>
  <si>
    <t>개인정보·권한·감사·별도 일정 승인 후 착수한다.</t>
  </si>
  <si>
    <t>고객 360 설계</t>
  </si>
  <si>
    <t>검토 및 결정사항 · 변경 이력</t>
  </si>
  <si>
    <t>A. 문서 작성 원칙</t>
  </si>
  <si>
    <t>원칙</t>
  </si>
  <si>
    <t>적용 상태</t>
  </si>
  <si>
    <t>적용 내용</t>
  </si>
  <si>
    <t>개조식 문장</t>
  </si>
  <si>
    <t>적용</t>
  </si>
  <si>
    <t>한 문장에 한 가지 책임만 작성 · 불필요한 수식어 제거</t>
  </si>
  <si>
    <t>범위 구분</t>
  </si>
  <si>
    <t>P0·P1·P2를 각각 필수·선택·확장으로 표시</t>
  </si>
  <si>
    <t>검증 가능성</t>
  </si>
  <si>
    <t>각 항목에 입력·처리·출력·예외·수용 기준·증거를 연결</t>
  </si>
  <si>
    <t>B. 기준 전환 결과</t>
  </si>
  <si>
    <t>변경 영역</t>
  </si>
  <si>
    <t>결정</t>
  </si>
  <si>
    <t>변경 내용</t>
  </si>
  <si>
    <t>대체</t>
  </si>
  <si>
    <t>Walkerhill VOC 원인 분석 → 범용 기업 데이터 분석·재사용·보고</t>
  </si>
  <si>
    <t>Backend</t>
  </si>
  <si>
    <t>Django 제거 · FastAPI와 Pydantic을 단일 Control Plane으로 사용</t>
  </si>
  <si>
    <t>Workflow</t>
  </si>
  <si>
    <t>자유 멀티 에이전트 제거 · 결정론적 Orchestrator와 역할별 Node 사용</t>
  </si>
  <si>
    <t>데이터</t>
  </si>
  <si>
    <t>5개 논리 원천 · 4종 DBMS · 5개 Trino 카탈로그 · 합성 데이터</t>
  </si>
  <si>
    <t>Metadata</t>
  </si>
  <si>
    <t>DataHub 구조 정보와 Answervice 업무 규칙·권한을 분리</t>
  </si>
  <si>
    <t>안전 통제</t>
  </si>
  <si>
    <t>G1 Context · G2 SQL · G3 Result를 각각 독립 요구사항으로 정의</t>
  </si>
  <si>
    <t>분석·보고</t>
  </si>
  <si>
    <t>확대</t>
  </si>
  <si>
    <t>Analysis와 Report의 정의·실행·결과·버전·부분 실패 이력 관리</t>
  </si>
  <si>
    <t>후순위</t>
  </si>
  <si>
    <t>이동</t>
  </si>
  <si>
    <t>MCP·문서 RAG·ML 도구·LangGraph·고객 360을 확장으로 분리</t>
  </si>
  <si>
    <t>C. 추가 결정 필요</t>
  </si>
  <si>
    <t>관련 ID</t>
  </si>
  <si>
    <t>상태</t>
  </si>
  <si>
    <t>결정 필요 내용</t>
  </si>
  <si>
    <t>실험 후 결정</t>
  </si>
  <si>
    <t>미세조정 제품 채택 여부 · Base 대비 정확도·회귀·지연·VRAM 비교</t>
  </si>
  <si>
    <t>측정 후 결정</t>
  </si>
  <si>
    <t>성능 목표값 · 데이터 규모·실행 환경·p95 기준을 함께 확정</t>
  </si>
  <si>
    <t>도입 전 결정</t>
  </si>
  <si>
    <t>백업 보존 기간·RPO·RTO · 실제 데이터 도입 전 승인</t>
  </si>
  <si>
    <t>Core 확인 후 결정</t>
  </si>
  <si>
    <t>일정 실행의 적용 시점·시간대·재시도 정책</t>
  </si>
  <si>
    <t>EXT-001~005</t>
  </si>
  <si>
    <t>별도 승인</t>
  </si>
  <si>
    <t>각 확장 기능의 계약·권한·평가·일정 Gate</t>
  </si>
  <si>
    <t>D. 변경 이력</t>
  </si>
  <si>
    <t>버전</t>
  </si>
  <si>
    <t>일자</t>
  </si>
  <si>
    <t>내용</t>
  </si>
  <si>
    <t>v0.1</t>
  </si>
  <si>
    <t>2026-07-16</t>
  </si>
  <si>
    <t>병합 원본 정제 초안</t>
  </si>
  <si>
    <t>v0.2</t>
  </si>
  <si>
    <t>우선순위·성격·교육 산출물 태그 정리</t>
  </si>
  <si>
    <t>v2.0</t>
  </si>
  <si>
    <t>Walkerhill VOC 자율 분석 에이전트 기준 62개 요구사항</t>
  </si>
  <si>
    <t>v3.0</t>
  </si>
  <si>
    <t>2026-08-13</t>
  </si>
  <si>
    <t>Answervice 개선판 기준 74개 요구사항 · 한국어 개조식 · 필수·선택·확장 재편</t>
  </si>
  <si>
    <r>
      <rPr>
        <sz val="11"/>
        <rFont val="돋움"/>
        <family val="3"/>
        <charset val="129"/>
      </rPr>
      <t>여러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업무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시스템의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흩어진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데이터를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자연어로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분석하고</t>
    </r>
    <r>
      <rPr>
        <sz val="11"/>
        <rFont val="Carlito"/>
      </rPr>
      <t xml:space="preserve">, </t>
    </r>
    <r>
      <rPr>
        <sz val="11"/>
        <rFont val="돋움"/>
        <family val="3"/>
        <charset val="129"/>
      </rPr>
      <t>검증된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분석을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저장</t>
    </r>
    <r>
      <rPr>
        <sz val="11"/>
        <rFont val="Carlito"/>
      </rPr>
      <t>·</t>
    </r>
    <r>
      <rPr>
        <sz val="11"/>
        <rFont val="돋움"/>
        <family val="3"/>
        <charset val="129"/>
      </rPr>
      <t>재실행해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반복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보고에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사용한다</t>
    </r>
    <r>
      <rPr>
        <sz val="11"/>
        <rFont val="Carlito"/>
      </rPr>
      <t>.</t>
    </r>
    <phoneticPr fontId="6" type="noConversion"/>
  </si>
  <si>
    <t>제외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</si>
</sst>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name val="Carlito"/>
    </font>
    <font>
      <b/>
      <sz val="11"/>
      <color rgb="FF1F3864"/>
      <name val="Carlito"/>
    </font>
    <font>
      <sz val="11"/>
      <color rgb="FF595959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1"/>
      <color rgb="FF1F3864"/>
      <name val="돋움"/>
      <family val="3"/>
    </font>
    <font>
      <sz val="11"/>
      <color rgb="FF595959"/>
      <name val="돋움"/>
      <family val="3"/>
    </font>
    <font>
      <b/>
      <sz val="11"/>
      <name val="돋움"/>
      <family val="3"/>
    </font>
    <font>
      <sz val="11"/>
      <name val="돋움"/>
      <family val="3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2E5496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4DFE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2">
    <xf numFmtId="0" fontId="0" fillId="0" borderId="0"/>
    <xf numFmtId="0" fontId="5" fillId="0" borderId="0"/>
  </cellStyleXfs>
  <cellXfs count="31">
    <xf numFmtId="0" fontId="0" fillId="0" borderId="0" xfId="0"/>
    <xf numFmtId="0" fontId="3" fillId="4" borderId="0" xfId="1" applyNumberFormat="1" applyFont="1" applyFill="1" applyBorder="1" applyAlignment="1">
      <alignment horizontal="center" wrapText="1"/>
    </xf>
    <xf numFmtId="0" fontId="0" fillId="5" borderId="1" xfId="1" applyNumberFormat="1" applyFont="1" applyFill="1" applyBorder="1" applyAlignment="1">
      <alignment vertical="center" wrapText="1"/>
    </xf>
    <xf numFmtId="0" fontId="0" fillId="5" borderId="1" xfId="1" applyNumberFormat="1" applyFont="1" applyFill="1" applyBorder="1" applyAlignment="1">
      <alignment horizontal="center" vertical="center" wrapText="1"/>
    </xf>
    <xf numFmtId="0" fontId="0" fillId="6" borderId="1" xfId="1" applyNumberFormat="1" applyFont="1" applyFill="1" applyBorder="1" applyAlignment="1">
      <alignment vertical="center" wrapText="1"/>
    </xf>
    <xf numFmtId="0" fontId="0" fillId="6" borderId="1" xfId="1" applyNumberFormat="1" applyFont="1" applyFill="1" applyBorder="1" applyAlignment="1">
      <alignment horizontal="center" vertical="center" wrapText="1"/>
    </xf>
    <xf numFmtId="0" fontId="0" fillId="7" borderId="1" xfId="1" applyNumberFormat="1" applyFont="1" applyFill="1" applyBorder="1" applyAlignment="1">
      <alignment vertical="center" wrapText="1"/>
    </xf>
    <xf numFmtId="0" fontId="0" fillId="7" borderId="1" xfId="1" applyNumberFormat="1" applyFont="1" applyFill="1" applyBorder="1" applyAlignment="1">
      <alignment horizontal="center" vertical="center" wrapText="1"/>
    </xf>
    <xf numFmtId="0" fontId="0" fillId="0" borderId="0" xfId="1" applyNumberFormat="1" applyFont="1" applyFill="1" applyBorder="1" applyAlignment="1">
      <alignment vertical="center"/>
    </xf>
    <xf numFmtId="0" fontId="4" fillId="3" borderId="1" xfId="1" applyNumberFormat="1" applyFont="1" applyFill="1" applyBorder="1" applyAlignment="1">
      <alignment vertical="center" wrapText="1"/>
    </xf>
    <xf numFmtId="0" fontId="0" fillId="0" borderId="1" xfId="1" applyNumberFormat="1" applyFont="1" applyFill="1" applyBorder="1" applyAlignment="1">
      <alignment vertical="center" wrapText="1"/>
    </xf>
    <xf numFmtId="0" fontId="3" fillId="4" borderId="1" xfId="1" applyNumberFormat="1" applyFont="1" applyFill="1" applyBorder="1" applyAlignment="1">
      <alignment horizontal="center" vertical="center" wrapText="1"/>
    </xf>
    <xf numFmtId="0" fontId="4" fillId="3" borderId="1" xfId="1" applyNumberFormat="1" applyFont="1" applyFill="1" applyBorder="1" applyAlignment="1">
      <alignment horizontal="center" vertical="center"/>
    </xf>
    <xf numFmtId="0" fontId="3" fillId="2" borderId="0" xfId="1" applyNumberFormat="1" applyFont="1" applyFill="1" applyBorder="1" applyAlignment="1">
      <alignment horizontal="center" wrapText="1"/>
    </xf>
    <xf numFmtId="0" fontId="0" fillId="0" borderId="0" xfId="1" applyNumberFormat="1" applyFont="1" applyFill="1" applyBorder="1" applyAlignment="1">
      <alignment vertical="center" wrapText="1"/>
    </xf>
    <xf numFmtId="0" fontId="4" fillId="5" borderId="0" xfId="1" applyNumberFormat="1" applyFont="1" applyFill="1" applyBorder="1" applyAlignment="1">
      <alignment horizontal="center" vertical="center" wrapText="1"/>
    </xf>
    <xf numFmtId="0" fontId="4" fillId="6" borderId="0" xfId="1" applyNumberFormat="1" applyFont="1" applyFill="1" applyBorder="1" applyAlignment="1">
      <alignment horizontal="center" vertical="center" wrapText="1"/>
    </xf>
    <xf numFmtId="0" fontId="4" fillId="7" borderId="0" xfId="1" applyNumberFormat="1" applyFont="1" applyFill="1" applyBorder="1" applyAlignment="1">
      <alignment horizontal="center" vertical="center" wrapText="1"/>
    </xf>
    <xf numFmtId="0" fontId="4" fillId="0" borderId="0" xfId="1" applyNumberFormat="1" applyFont="1" applyFill="1" applyBorder="1" applyAlignment="1">
      <alignment horizontal="center" vertical="center" wrapText="1"/>
    </xf>
    <xf numFmtId="0" fontId="4" fillId="3" borderId="1" xfId="1" applyNumberFormat="1" applyFont="1" applyFill="1" applyBorder="1" applyAlignment="1">
      <alignment horizontal="center" vertical="center" wrapText="1"/>
    </xf>
    <xf numFmtId="0" fontId="4" fillId="5" borderId="1" xfId="1" applyNumberFormat="1" applyFont="1" applyFill="1" applyBorder="1" applyAlignment="1">
      <alignment horizontal="center" vertical="center" wrapText="1"/>
    </xf>
    <xf numFmtId="0" fontId="4" fillId="6" borderId="1" xfId="1" applyNumberFormat="1" applyFont="1" applyFill="1" applyBorder="1" applyAlignment="1">
      <alignment horizontal="center" vertical="center" wrapText="1"/>
    </xf>
    <xf numFmtId="0" fontId="4" fillId="7" borderId="1" xfId="1" applyNumberFormat="1" applyFont="1" applyFill="1" applyBorder="1" applyAlignment="1">
      <alignment horizontal="center" vertical="center" wrapText="1"/>
    </xf>
    <xf numFmtId="0" fontId="4" fillId="0" borderId="1" xfId="1" applyNumberFormat="1" applyFont="1" applyFill="1" applyBorder="1" applyAlignment="1">
      <alignment horizontal="center" vertical="center" wrapText="1"/>
    </xf>
    <xf numFmtId="0" fontId="0" fillId="0" borderId="2" xfId="1" applyNumberFormat="1" applyFont="1" applyFill="1" applyBorder="1" applyAlignment="1">
      <alignment vertical="center" wrapText="1"/>
    </xf>
    <xf numFmtId="0" fontId="3" fillId="2" borderId="0" xfId="1" applyNumberFormat="1" applyFont="1" applyFill="1" applyBorder="1" applyAlignment="1">
      <alignment vertical="center"/>
    </xf>
    <xf numFmtId="0" fontId="1" fillId="0" borderId="0" xfId="1" applyNumberFormat="1" applyFont="1" applyFill="1" applyBorder="1" applyAlignment="1">
      <alignment vertical="center" wrapText="1"/>
    </xf>
    <xf numFmtId="0" fontId="0" fillId="0" borderId="0" xfId="1" applyNumberFormat="1" applyFont="1" applyFill="1" applyBorder="1" applyAlignment="1">
      <alignment vertical="center"/>
    </xf>
    <xf numFmtId="0" fontId="2" fillId="0" borderId="0" xfId="1" applyNumberFormat="1" applyFont="1" applyFill="1" applyBorder="1" applyAlignment="1">
      <alignment vertical="center" wrapText="1"/>
    </xf>
    <xf numFmtId="0" fontId="0" fillId="0" borderId="0" xfId="0"/>
    <xf numFmtId="0" fontId="7" fillId="0" borderId="0" xfId="1" applyNumberFormat="1" applyFont="1" applyFill="1" applyBorder="1" applyAlignment="1">
      <alignment vertical="center" wrapText="1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RequirementsList" displayName="RequirementsList" ref="A2:I76" totalsRowShown="0">
  <tableColumns count="9">
    <tableColumn id="1" name="요구사항 ID"/>
    <tableColumn id="2" name="대분류"/>
    <tableColumn id="3" name="요구사항명"/>
    <tableColumn id="4" name="범위"/>
    <tableColumn id="5" name="근거 상태"/>
    <tableColumn id="6" name="처리 방식"/>
    <tableColumn id="7" name="담당"/>
    <tableColumn id="8" name="목표 Gate"/>
    <tableColumn id="9" name="기존 문서 관계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quirementsDefinition" displayName="RequirementsDefinition" ref="A2:R76" totalsRowShown="0">
  <tableColumns count="18">
    <tableColumn id="1" name="요구사항 ID"/>
    <tableColumn id="2" name="대분류"/>
    <tableColumn id="3" name="중분류"/>
    <tableColumn id="4" name="요구사항명"/>
    <tableColumn id="5" name="정의·상세"/>
    <tableColumn id="6" name="대상 사용자"/>
    <tableColumn id="7" name="입력→처리→출력"/>
    <tableColumn id="8" name="업무 규칙·예외"/>
    <tableColumn id="9" name="범위"/>
    <tableColumn id="10" name="근거 상태"/>
    <tableColumn id="11" name="처리 방식"/>
    <tableColumn id="12" name="수용 기준"/>
    <tableColumn id="13" name="선행 요구사항"/>
    <tableColumn id="14" name="관련 화면"/>
    <tableColumn id="15" name="담당"/>
    <tableColumn id="16" name="목표 Gate"/>
    <tableColumn id="17" name="산출물"/>
    <tableColumn id="18" name="기존 문서 관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9"/>
  <sheetViews>
    <sheetView showGridLines="0" tabSelected="1" zoomScale="175" zoomScaleNormal="175" workbookViewId="0">
      <selection activeCell="B5" sqref="B5"/>
    </sheetView>
  </sheetViews>
  <sheetFormatPr defaultRowHeight="14.25"/>
  <cols>
    <col min="2" max="2" width="19" customWidth="1"/>
    <col min="3" max="3" width="68" customWidth="1"/>
    <col min="4" max="4" width="62" customWidth="1"/>
    <col min="5" max="5" width="13" customWidth="1"/>
  </cols>
  <sheetData>
    <row r="2" spans="2:7">
      <c r="B2" s="26" t="s">
        <v>0</v>
      </c>
      <c r="C2" s="27"/>
      <c r="D2" s="27"/>
      <c r="E2" s="27"/>
      <c r="F2" s="27"/>
      <c r="G2" s="27"/>
    </row>
    <row r="3" spans="2:7">
      <c r="B3" s="26" t="s">
        <v>1</v>
      </c>
      <c r="C3" s="27"/>
      <c r="D3" s="27"/>
      <c r="E3" s="27"/>
      <c r="F3" s="27"/>
      <c r="G3" s="27"/>
    </row>
    <row r="4" spans="2:7">
      <c r="B4" s="28" t="s">
        <v>2</v>
      </c>
      <c r="C4" s="27"/>
      <c r="D4" s="27"/>
      <c r="E4" s="27"/>
      <c r="F4" s="27"/>
      <c r="G4" s="27"/>
    </row>
    <row r="5" spans="2:7">
      <c r="B5" s="8"/>
      <c r="C5" s="8"/>
      <c r="D5" s="8"/>
      <c r="E5" s="8"/>
      <c r="F5" s="8"/>
      <c r="G5" s="8"/>
    </row>
    <row r="6" spans="2:7" ht="24" customHeight="1">
      <c r="B6" s="25" t="s">
        <v>3</v>
      </c>
      <c r="C6" s="25" t="s">
        <v>3</v>
      </c>
      <c r="D6" s="25" t="s">
        <v>3</v>
      </c>
      <c r="E6" s="25" t="s">
        <v>3</v>
      </c>
      <c r="F6" s="25" t="s">
        <v>3</v>
      </c>
      <c r="G6" s="25" t="s">
        <v>3</v>
      </c>
    </row>
    <row r="7" spans="2:7" ht="28.5" customHeight="1">
      <c r="B7" s="9" t="s">
        <v>4</v>
      </c>
      <c r="C7" s="24" t="s">
        <v>964</v>
      </c>
      <c r="D7" s="14"/>
      <c r="E7" s="14"/>
      <c r="F7" s="14"/>
      <c r="G7" s="8"/>
    </row>
    <row r="8" spans="2:7" ht="15">
      <c r="B8" s="9" t="s">
        <v>5</v>
      </c>
      <c r="C8" s="24" t="s">
        <v>6</v>
      </c>
      <c r="D8" s="14"/>
      <c r="E8" s="8"/>
      <c r="F8" s="8"/>
      <c r="G8" s="8"/>
    </row>
    <row r="9" spans="2:7" ht="28.5" customHeight="1">
      <c r="B9" s="9" t="s">
        <v>7</v>
      </c>
      <c r="C9" s="24" t="s">
        <v>8</v>
      </c>
      <c r="D9" s="14"/>
      <c r="E9" s="8"/>
      <c r="F9" s="8"/>
      <c r="G9" s="8"/>
    </row>
    <row r="10" spans="2:7" ht="28.5" customHeight="1">
      <c r="B10" s="9" t="s">
        <v>9</v>
      </c>
      <c r="C10" s="24" t="s">
        <v>10</v>
      </c>
      <c r="D10" s="14"/>
      <c r="E10" s="8"/>
      <c r="F10" s="8"/>
      <c r="G10" s="8"/>
    </row>
    <row r="11" spans="2:7">
      <c r="B11" s="8"/>
      <c r="C11" s="8"/>
      <c r="D11" s="8"/>
      <c r="E11" s="8"/>
      <c r="F11" s="8"/>
      <c r="G11" s="8"/>
    </row>
    <row r="12" spans="2:7" ht="24" customHeight="1">
      <c r="B12" s="25" t="s">
        <v>11</v>
      </c>
      <c r="C12" s="25" t="s">
        <v>11</v>
      </c>
      <c r="D12" s="25" t="s">
        <v>11</v>
      </c>
      <c r="E12" s="25" t="s">
        <v>11</v>
      </c>
      <c r="F12" s="25" t="s">
        <v>11</v>
      </c>
      <c r="G12" s="25" t="s">
        <v>11</v>
      </c>
    </row>
    <row r="13" spans="2:7" ht="15">
      <c r="B13" s="11" t="s">
        <v>12</v>
      </c>
      <c r="C13" s="11" t="s">
        <v>13</v>
      </c>
      <c r="D13" s="11" t="s">
        <v>14</v>
      </c>
      <c r="E13" s="11" t="s">
        <v>15</v>
      </c>
      <c r="F13" s="8"/>
      <c r="G13" s="8"/>
    </row>
    <row r="14" spans="2:7" ht="15">
      <c r="B14" s="20" t="s">
        <v>16</v>
      </c>
      <c r="C14" s="3" t="s">
        <v>17</v>
      </c>
      <c r="D14" s="2" t="s">
        <v>18</v>
      </c>
      <c r="E14" s="3">
        <f>COUNTIF('2. 요구사항 목록'!$D$3:$D$76,"필수")</f>
        <v>62</v>
      </c>
      <c r="F14" s="8"/>
      <c r="G14" s="8"/>
    </row>
    <row r="15" spans="2:7" ht="15">
      <c r="B15" s="21" t="s">
        <v>19</v>
      </c>
      <c r="C15" s="5" t="s">
        <v>20</v>
      </c>
      <c r="D15" s="4" t="s">
        <v>21</v>
      </c>
      <c r="E15" s="5">
        <f>COUNTIF('2. 요구사항 목록'!$D$3:$D$76,"선택")</f>
        <v>4</v>
      </c>
      <c r="F15" s="8"/>
      <c r="G15" s="8"/>
    </row>
    <row r="16" spans="2:7" ht="15">
      <c r="B16" s="22" t="s">
        <v>22</v>
      </c>
      <c r="C16" s="7" t="s">
        <v>23</v>
      </c>
      <c r="D16" s="6" t="s">
        <v>24</v>
      </c>
      <c r="E16" s="7">
        <f>COUNTIF('2. 요구사항 목록'!$D$3:$D$76,"확장")</f>
        <v>8</v>
      </c>
      <c r="F16" s="8"/>
      <c r="G16" s="8"/>
    </row>
    <row r="17" spans="2:7">
      <c r="B17" s="8"/>
      <c r="C17" s="8"/>
      <c r="D17" s="8"/>
      <c r="E17" s="8"/>
      <c r="F17" s="8"/>
      <c r="G17" s="8"/>
    </row>
    <row r="18" spans="2:7" ht="24" customHeight="1">
      <c r="B18" s="25" t="s">
        <v>25</v>
      </c>
      <c r="C18" s="25" t="s">
        <v>25</v>
      </c>
      <c r="D18" s="25" t="s">
        <v>25</v>
      </c>
      <c r="E18" s="25" t="s">
        <v>25</v>
      </c>
      <c r="F18" s="25" t="s">
        <v>25</v>
      </c>
      <c r="G18" s="25" t="s">
        <v>25</v>
      </c>
    </row>
    <row r="19" spans="2:7" ht="15">
      <c r="B19" s="12" t="s">
        <v>26</v>
      </c>
      <c r="C19" s="23" t="s">
        <v>27</v>
      </c>
      <c r="D19" s="10" t="s">
        <v>28</v>
      </c>
      <c r="E19" s="8"/>
      <c r="F19" s="8"/>
      <c r="G19" s="8"/>
    </row>
    <row r="20" spans="2:7" ht="15">
      <c r="B20" s="12" t="s">
        <v>29</v>
      </c>
      <c r="C20" s="23" t="s">
        <v>30</v>
      </c>
      <c r="D20" s="10" t="s">
        <v>31</v>
      </c>
      <c r="E20" s="8"/>
      <c r="F20" s="8"/>
      <c r="G20" s="8"/>
    </row>
    <row r="21" spans="2:7" ht="15">
      <c r="B21" s="12" t="s">
        <v>32</v>
      </c>
      <c r="C21" s="23" t="s">
        <v>33</v>
      </c>
      <c r="D21" s="10" t="s">
        <v>34</v>
      </c>
      <c r="E21" s="8"/>
      <c r="F21" s="8"/>
      <c r="G21" s="8"/>
    </row>
    <row r="22" spans="2:7" ht="15">
      <c r="B22" s="12" t="s">
        <v>35</v>
      </c>
      <c r="C22" s="23" t="s">
        <v>36</v>
      </c>
      <c r="D22" s="10" t="s">
        <v>37</v>
      </c>
      <c r="E22" s="8"/>
      <c r="F22" s="8"/>
      <c r="G22" s="8"/>
    </row>
    <row r="23" spans="2:7" ht="15">
      <c r="B23" s="12" t="s">
        <v>38</v>
      </c>
      <c r="C23" s="23" t="s">
        <v>39</v>
      </c>
      <c r="D23" s="10" t="s">
        <v>40</v>
      </c>
      <c r="E23" s="8"/>
      <c r="F23" s="8"/>
      <c r="G23" s="8"/>
    </row>
    <row r="24" spans="2:7" ht="15">
      <c r="B24" s="12" t="s">
        <v>41</v>
      </c>
      <c r="C24" s="23" t="s">
        <v>42</v>
      </c>
      <c r="D24" s="10" t="s">
        <v>43</v>
      </c>
      <c r="E24" s="8"/>
      <c r="F24" s="8"/>
      <c r="G24" s="8"/>
    </row>
    <row r="25" spans="2:7" ht="15">
      <c r="B25" s="12" t="s">
        <v>44</v>
      </c>
      <c r="C25" s="23" t="s">
        <v>45</v>
      </c>
      <c r="D25" s="10" t="s">
        <v>46</v>
      </c>
      <c r="E25" s="8"/>
      <c r="F25" s="8"/>
      <c r="G25" s="8"/>
    </row>
    <row r="26" spans="2:7">
      <c r="B26" s="8"/>
      <c r="C26" s="8"/>
      <c r="D26" s="8"/>
      <c r="E26" s="8"/>
      <c r="F26" s="8"/>
      <c r="G26" s="8"/>
    </row>
    <row r="27" spans="2:7" ht="24" customHeight="1">
      <c r="B27" s="25" t="s">
        <v>47</v>
      </c>
      <c r="C27" s="25" t="s">
        <v>47</v>
      </c>
      <c r="D27" s="25" t="s">
        <v>47</v>
      </c>
      <c r="E27" s="25" t="s">
        <v>47</v>
      </c>
      <c r="F27" s="25" t="s">
        <v>47</v>
      </c>
      <c r="G27" s="25" t="s">
        <v>47</v>
      </c>
    </row>
    <row r="28" spans="2:7" ht="15">
      <c r="B28" s="9" t="s">
        <v>48</v>
      </c>
      <c r="C28" s="10" t="s">
        <v>49</v>
      </c>
      <c r="D28" s="8"/>
      <c r="E28" s="8"/>
      <c r="F28" s="8"/>
      <c r="G28" s="8"/>
    </row>
    <row r="29" spans="2:7" ht="15">
      <c r="B29" s="9" t="s">
        <v>50</v>
      </c>
      <c r="C29" s="10" t="s">
        <v>51</v>
      </c>
      <c r="D29" s="8"/>
      <c r="E29" s="8"/>
      <c r="F29" s="8"/>
      <c r="G29" s="8"/>
    </row>
    <row r="30" spans="2:7" ht="15">
      <c r="B30" s="9" t="s">
        <v>52</v>
      </c>
      <c r="C30" s="10" t="s">
        <v>53</v>
      </c>
      <c r="D30" s="8"/>
      <c r="E30" s="8"/>
      <c r="F30" s="8"/>
      <c r="G30" s="8"/>
    </row>
    <row r="31" spans="2:7" ht="15">
      <c r="B31" s="9" t="s">
        <v>54</v>
      </c>
      <c r="C31" s="10" t="s">
        <v>55</v>
      </c>
      <c r="D31" s="8"/>
      <c r="E31" s="8"/>
      <c r="F31" s="8"/>
      <c r="G31" s="8"/>
    </row>
    <row r="32" spans="2:7" ht="15">
      <c r="B32" s="9" t="s">
        <v>56</v>
      </c>
      <c r="C32" s="10" t="s">
        <v>57</v>
      </c>
      <c r="D32" s="8"/>
      <c r="E32" s="8"/>
      <c r="F32" s="8"/>
      <c r="G32" s="8"/>
    </row>
    <row r="33" spans="2:7" ht="15">
      <c r="B33" s="9" t="s">
        <v>58</v>
      </c>
      <c r="C33" s="10" t="s">
        <v>59</v>
      </c>
      <c r="D33" s="8"/>
      <c r="E33" s="8"/>
      <c r="F33" s="8"/>
      <c r="G33" s="8"/>
    </row>
    <row r="34" spans="2:7" ht="15">
      <c r="B34" s="9" t="s">
        <v>60</v>
      </c>
      <c r="C34" s="10" t="s">
        <v>61</v>
      </c>
      <c r="D34" s="8"/>
      <c r="E34" s="8"/>
      <c r="F34" s="8"/>
      <c r="G34" s="8"/>
    </row>
    <row r="35" spans="2:7">
      <c r="B35" s="8"/>
      <c r="C35" s="8"/>
      <c r="D35" s="8"/>
      <c r="E35" s="8"/>
      <c r="F35" s="8"/>
      <c r="G35" s="8"/>
    </row>
    <row r="36" spans="2:7" ht="24" customHeight="1">
      <c r="B36" s="25" t="s">
        <v>62</v>
      </c>
      <c r="C36" s="25" t="s">
        <v>62</v>
      </c>
      <c r="D36" s="25" t="s">
        <v>62</v>
      </c>
      <c r="E36" s="25" t="s">
        <v>62</v>
      </c>
      <c r="F36" s="25" t="s">
        <v>62</v>
      </c>
      <c r="G36" s="25" t="s">
        <v>62</v>
      </c>
    </row>
    <row r="37" spans="2:7" ht="15">
      <c r="B37" s="9" t="s">
        <v>63</v>
      </c>
      <c r="C37" s="10" t="s">
        <v>64</v>
      </c>
      <c r="D37" s="8"/>
      <c r="E37" s="8"/>
      <c r="F37" s="8"/>
      <c r="G37" s="8"/>
    </row>
    <row r="38" spans="2:7" ht="15">
      <c r="B38" s="9" t="s">
        <v>65</v>
      </c>
      <c r="C38" s="10" t="s">
        <v>66</v>
      </c>
      <c r="D38" s="8"/>
      <c r="E38" s="8"/>
      <c r="F38" s="8"/>
      <c r="G38" s="8"/>
    </row>
    <row r="39" spans="2:7" ht="15">
      <c r="B39" s="9" t="s">
        <v>67</v>
      </c>
      <c r="C39" s="10" t="s">
        <v>68</v>
      </c>
      <c r="D39" s="8"/>
      <c r="E39" s="8"/>
      <c r="F39" s="8"/>
      <c r="G39" s="8"/>
    </row>
  </sheetData>
  <mergeCells count="8">
    <mergeCell ref="B18:G18"/>
    <mergeCell ref="B27:G27"/>
    <mergeCell ref="B36:G36"/>
    <mergeCell ref="B2:G2"/>
    <mergeCell ref="B3:G3"/>
    <mergeCell ref="B4:G4"/>
    <mergeCell ref="B6:G6"/>
    <mergeCell ref="B12:G12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showGridLines="0" zoomScale="130" zoomScaleNormal="130" workbookViewId="0">
      <selection activeCell="C14" sqref="C14"/>
    </sheetView>
  </sheetViews>
  <sheetFormatPr defaultRowHeight="14.25"/>
  <cols>
    <col min="1" max="1" width="14" customWidth="1"/>
    <col min="2" max="2" width="18" customWidth="1"/>
    <col min="3" max="3" width="62" customWidth="1"/>
    <col min="4" max="4" width="10" customWidth="1"/>
    <col min="5" max="5" width="12" customWidth="1"/>
    <col min="6" max="6" width="26" customWidth="1"/>
    <col min="7" max="7" width="18" customWidth="1"/>
    <col min="8" max="8" width="12" customWidth="1"/>
    <col min="9" max="9" width="24" customWidth="1"/>
  </cols>
  <sheetData>
    <row r="1" spans="1:9" ht="27.95" customHeight="1">
      <c r="A1" s="26" t="s">
        <v>69</v>
      </c>
      <c r="B1" s="29"/>
      <c r="C1" s="29"/>
      <c r="D1" s="29"/>
      <c r="E1" s="29"/>
      <c r="F1" s="29"/>
      <c r="G1" s="29"/>
      <c r="H1" s="29"/>
      <c r="I1" s="29"/>
    </row>
    <row r="2" spans="1:9" ht="27.95" customHeight="1">
      <c r="A2" s="13" t="s">
        <v>70</v>
      </c>
      <c r="B2" s="13" t="s">
        <v>71</v>
      </c>
      <c r="C2" s="13" t="s">
        <v>72</v>
      </c>
      <c r="D2" s="13" t="s">
        <v>73</v>
      </c>
      <c r="E2" s="13" t="s">
        <v>74</v>
      </c>
      <c r="F2" s="13" t="s">
        <v>75</v>
      </c>
      <c r="G2" s="13" t="s">
        <v>76</v>
      </c>
      <c r="H2" s="13" t="s">
        <v>77</v>
      </c>
      <c r="I2" s="13" t="s">
        <v>78</v>
      </c>
    </row>
    <row r="3" spans="1:9" ht="33.950000000000003" customHeight="1">
      <c r="A3" s="18" t="s">
        <v>79</v>
      </c>
      <c r="B3" s="14" t="s">
        <v>80</v>
      </c>
      <c r="C3" s="14" t="s">
        <v>81</v>
      </c>
      <c r="D3" s="15" t="s">
        <v>16</v>
      </c>
      <c r="E3" s="14" t="s">
        <v>82</v>
      </c>
      <c r="F3" s="14" t="s">
        <v>83</v>
      </c>
      <c r="G3" s="14" t="s">
        <v>84</v>
      </c>
      <c r="H3" s="14" t="s">
        <v>85</v>
      </c>
      <c r="I3" s="14" t="s">
        <v>86</v>
      </c>
    </row>
    <row r="4" spans="1:9" ht="33.950000000000003" customHeight="1">
      <c r="A4" s="18" t="s">
        <v>87</v>
      </c>
      <c r="B4" s="14" t="s">
        <v>80</v>
      </c>
      <c r="C4" s="14" t="s">
        <v>88</v>
      </c>
      <c r="D4" s="15" t="s">
        <v>16</v>
      </c>
      <c r="E4" s="14" t="s">
        <v>82</v>
      </c>
      <c r="F4" s="14" t="s">
        <v>89</v>
      </c>
      <c r="G4" s="14" t="s">
        <v>90</v>
      </c>
      <c r="H4" s="14" t="s">
        <v>91</v>
      </c>
      <c r="I4" s="14" t="s">
        <v>92</v>
      </c>
    </row>
    <row r="5" spans="1:9" ht="33.950000000000003" customHeight="1">
      <c r="A5" s="18" t="s">
        <v>93</v>
      </c>
      <c r="B5" s="14" t="s">
        <v>80</v>
      </c>
      <c r="C5" s="14" t="s">
        <v>94</v>
      </c>
      <c r="D5" s="15" t="s">
        <v>16</v>
      </c>
      <c r="E5" s="14" t="s">
        <v>82</v>
      </c>
      <c r="F5" s="14" t="s">
        <v>95</v>
      </c>
      <c r="G5" s="14" t="s">
        <v>84</v>
      </c>
      <c r="H5" s="14" t="s">
        <v>96</v>
      </c>
      <c r="I5" s="14" t="s">
        <v>97</v>
      </c>
    </row>
    <row r="6" spans="1:9" ht="33.950000000000003" customHeight="1">
      <c r="A6" s="18" t="s">
        <v>98</v>
      </c>
      <c r="B6" s="14" t="s">
        <v>80</v>
      </c>
      <c r="C6" s="14" t="s">
        <v>99</v>
      </c>
      <c r="D6" s="15" t="s">
        <v>16</v>
      </c>
      <c r="E6" s="14" t="s">
        <v>82</v>
      </c>
      <c r="F6" s="14" t="s">
        <v>100</v>
      </c>
      <c r="G6" s="14" t="s">
        <v>101</v>
      </c>
      <c r="H6" s="14" t="s">
        <v>96</v>
      </c>
      <c r="I6" s="14" t="s">
        <v>92</v>
      </c>
    </row>
    <row r="7" spans="1:9" ht="33.950000000000003" customHeight="1">
      <c r="A7" s="18" t="s">
        <v>102</v>
      </c>
      <c r="B7" s="14" t="s">
        <v>80</v>
      </c>
      <c r="C7" s="14" t="s">
        <v>103</v>
      </c>
      <c r="D7" s="15" t="s">
        <v>16</v>
      </c>
      <c r="E7" s="14" t="s">
        <v>82</v>
      </c>
      <c r="F7" s="14" t="s">
        <v>104</v>
      </c>
      <c r="G7" s="14" t="s">
        <v>105</v>
      </c>
      <c r="H7" s="14" t="s">
        <v>96</v>
      </c>
      <c r="I7" s="14" t="s">
        <v>92</v>
      </c>
    </row>
    <row r="8" spans="1:9" ht="33.950000000000003" customHeight="1">
      <c r="A8" s="18" t="s">
        <v>106</v>
      </c>
      <c r="B8" s="14" t="s">
        <v>107</v>
      </c>
      <c r="C8" s="14" t="s">
        <v>108</v>
      </c>
      <c r="D8" s="15" t="s">
        <v>16</v>
      </c>
      <c r="E8" s="14" t="s">
        <v>82</v>
      </c>
      <c r="F8" s="14" t="s">
        <v>109</v>
      </c>
      <c r="G8" s="14" t="s">
        <v>110</v>
      </c>
      <c r="H8" s="14" t="s">
        <v>111</v>
      </c>
      <c r="I8" s="14" t="s">
        <v>112</v>
      </c>
    </row>
    <row r="9" spans="1:9" ht="33.950000000000003" customHeight="1">
      <c r="A9" s="18" t="s">
        <v>113</v>
      </c>
      <c r="B9" s="14" t="s">
        <v>107</v>
      </c>
      <c r="C9" s="14" t="s">
        <v>114</v>
      </c>
      <c r="D9" s="15" t="s">
        <v>16</v>
      </c>
      <c r="E9" s="14" t="s">
        <v>82</v>
      </c>
      <c r="F9" s="14" t="s">
        <v>115</v>
      </c>
      <c r="G9" s="14" t="s">
        <v>116</v>
      </c>
      <c r="H9" s="14" t="s">
        <v>91</v>
      </c>
      <c r="I9" s="14" t="s">
        <v>117</v>
      </c>
    </row>
    <row r="10" spans="1:9" ht="33.950000000000003" customHeight="1">
      <c r="A10" s="18" t="s">
        <v>118</v>
      </c>
      <c r="B10" s="14" t="s">
        <v>107</v>
      </c>
      <c r="C10" s="14" t="s">
        <v>119</v>
      </c>
      <c r="D10" s="15" t="s">
        <v>16</v>
      </c>
      <c r="E10" s="14" t="s">
        <v>82</v>
      </c>
      <c r="F10" s="14" t="s">
        <v>120</v>
      </c>
      <c r="G10" s="14" t="s">
        <v>110</v>
      </c>
      <c r="H10" s="14" t="s">
        <v>121</v>
      </c>
      <c r="I10" s="14" t="s">
        <v>122</v>
      </c>
    </row>
    <row r="11" spans="1:9" ht="33.950000000000003" customHeight="1">
      <c r="A11" s="18" t="s">
        <v>123</v>
      </c>
      <c r="B11" s="14" t="s">
        <v>107</v>
      </c>
      <c r="C11" s="14" t="s">
        <v>124</v>
      </c>
      <c r="D11" s="15" t="s">
        <v>16</v>
      </c>
      <c r="E11" s="14" t="s">
        <v>82</v>
      </c>
      <c r="F11" s="14" t="s">
        <v>125</v>
      </c>
      <c r="G11" s="14" t="s">
        <v>126</v>
      </c>
      <c r="H11" s="14" t="s">
        <v>121</v>
      </c>
      <c r="I11" s="14" t="s">
        <v>127</v>
      </c>
    </row>
    <row r="12" spans="1:9" ht="33.950000000000003" customHeight="1">
      <c r="A12" s="18" t="s">
        <v>128</v>
      </c>
      <c r="B12" s="14" t="s">
        <v>107</v>
      </c>
      <c r="C12" s="14" t="s">
        <v>129</v>
      </c>
      <c r="D12" s="15" t="s">
        <v>16</v>
      </c>
      <c r="E12" s="14" t="s">
        <v>82</v>
      </c>
      <c r="F12" s="14" t="s">
        <v>130</v>
      </c>
      <c r="G12" s="14" t="s">
        <v>131</v>
      </c>
      <c r="H12" s="14" t="s">
        <v>121</v>
      </c>
      <c r="I12" s="14" t="s">
        <v>92</v>
      </c>
    </row>
    <row r="13" spans="1:9" ht="33.950000000000003" customHeight="1">
      <c r="A13" s="18" t="s">
        <v>132</v>
      </c>
      <c r="B13" s="14" t="s">
        <v>107</v>
      </c>
      <c r="C13" s="14" t="s">
        <v>133</v>
      </c>
      <c r="D13" s="15" t="s">
        <v>16</v>
      </c>
      <c r="E13" s="14" t="s">
        <v>82</v>
      </c>
      <c r="F13" s="14" t="s">
        <v>134</v>
      </c>
      <c r="G13" s="14" t="s">
        <v>135</v>
      </c>
      <c r="H13" s="14" t="s">
        <v>121</v>
      </c>
      <c r="I13" s="14" t="s">
        <v>92</v>
      </c>
    </row>
    <row r="14" spans="1:9" ht="33.950000000000003" customHeight="1">
      <c r="A14" s="18" t="s">
        <v>136</v>
      </c>
      <c r="B14" s="14" t="s">
        <v>107</v>
      </c>
      <c r="C14" s="14" t="s">
        <v>137</v>
      </c>
      <c r="D14" s="15" t="s">
        <v>16</v>
      </c>
      <c r="E14" s="14" t="s">
        <v>82</v>
      </c>
      <c r="F14" s="14" t="s">
        <v>138</v>
      </c>
      <c r="G14" s="14" t="s">
        <v>135</v>
      </c>
      <c r="H14" s="14" t="s">
        <v>91</v>
      </c>
      <c r="I14" s="14" t="s">
        <v>92</v>
      </c>
    </row>
    <row r="15" spans="1:9" ht="33.950000000000003" customHeight="1">
      <c r="A15" s="18" t="s">
        <v>139</v>
      </c>
      <c r="B15" s="14" t="s">
        <v>107</v>
      </c>
      <c r="C15" s="14" t="s">
        <v>140</v>
      </c>
      <c r="D15" s="15" t="s">
        <v>16</v>
      </c>
      <c r="E15" s="14" t="s">
        <v>82</v>
      </c>
      <c r="F15" s="14" t="s">
        <v>141</v>
      </c>
      <c r="G15" s="14" t="s">
        <v>126</v>
      </c>
      <c r="H15" s="14" t="s">
        <v>91</v>
      </c>
      <c r="I15" s="14" t="s">
        <v>142</v>
      </c>
    </row>
    <row r="16" spans="1:9" ht="33.950000000000003" customHeight="1">
      <c r="A16" s="18" t="s">
        <v>143</v>
      </c>
      <c r="B16" s="14" t="s">
        <v>107</v>
      </c>
      <c r="C16" s="14" t="s">
        <v>144</v>
      </c>
      <c r="D16" s="15" t="s">
        <v>16</v>
      </c>
      <c r="E16" s="14" t="s">
        <v>82</v>
      </c>
      <c r="F16" s="14" t="s">
        <v>145</v>
      </c>
      <c r="G16" s="14" t="s">
        <v>135</v>
      </c>
      <c r="H16" s="14" t="s">
        <v>121</v>
      </c>
      <c r="I16" s="14" t="s">
        <v>146</v>
      </c>
    </row>
    <row r="17" spans="1:9" ht="33.950000000000003" customHeight="1">
      <c r="A17" s="18" t="s">
        <v>147</v>
      </c>
      <c r="B17" s="14" t="s">
        <v>107</v>
      </c>
      <c r="C17" s="14" t="s">
        <v>148</v>
      </c>
      <c r="D17" s="15" t="s">
        <v>16</v>
      </c>
      <c r="E17" s="14" t="s">
        <v>82</v>
      </c>
      <c r="F17" s="14" t="s">
        <v>149</v>
      </c>
      <c r="G17" s="14" t="s">
        <v>126</v>
      </c>
      <c r="H17" s="14" t="s">
        <v>121</v>
      </c>
      <c r="I17" s="14" t="s">
        <v>92</v>
      </c>
    </row>
    <row r="18" spans="1:9" ht="33.950000000000003" customHeight="1">
      <c r="A18" s="18" t="s">
        <v>150</v>
      </c>
      <c r="B18" s="14" t="s">
        <v>107</v>
      </c>
      <c r="C18" s="14" t="s">
        <v>151</v>
      </c>
      <c r="D18" s="15" t="s">
        <v>16</v>
      </c>
      <c r="E18" s="14" t="s">
        <v>82</v>
      </c>
      <c r="F18" s="14" t="s">
        <v>152</v>
      </c>
      <c r="G18" s="14" t="s">
        <v>131</v>
      </c>
      <c r="H18" s="14" t="s">
        <v>121</v>
      </c>
      <c r="I18" s="14" t="s">
        <v>92</v>
      </c>
    </row>
    <row r="19" spans="1:9" ht="33.950000000000003" customHeight="1">
      <c r="A19" s="18" t="s">
        <v>153</v>
      </c>
      <c r="B19" s="14" t="s">
        <v>107</v>
      </c>
      <c r="C19" s="14" t="s">
        <v>154</v>
      </c>
      <c r="D19" s="15" t="s">
        <v>16</v>
      </c>
      <c r="E19" s="14" t="s">
        <v>82</v>
      </c>
      <c r="F19" s="14" t="s">
        <v>155</v>
      </c>
      <c r="G19" s="14" t="s">
        <v>135</v>
      </c>
      <c r="H19" s="14" t="s">
        <v>121</v>
      </c>
      <c r="I19" s="14" t="s">
        <v>92</v>
      </c>
    </row>
    <row r="20" spans="1:9" ht="33.950000000000003" customHeight="1">
      <c r="A20" s="18" t="s">
        <v>156</v>
      </c>
      <c r="B20" s="14" t="s">
        <v>157</v>
      </c>
      <c r="C20" s="14" t="s">
        <v>158</v>
      </c>
      <c r="D20" s="15" t="s">
        <v>16</v>
      </c>
      <c r="E20" s="14" t="s">
        <v>82</v>
      </c>
      <c r="F20" s="14" t="s">
        <v>159</v>
      </c>
      <c r="G20" s="14" t="s">
        <v>160</v>
      </c>
      <c r="H20" s="14" t="s">
        <v>111</v>
      </c>
      <c r="I20" s="14" t="s">
        <v>161</v>
      </c>
    </row>
    <row r="21" spans="1:9" ht="33.950000000000003" customHeight="1">
      <c r="A21" s="18" t="s">
        <v>162</v>
      </c>
      <c r="B21" s="14" t="s">
        <v>157</v>
      </c>
      <c r="C21" s="14" t="s">
        <v>163</v>
      </c>
      <c r="D21" s="15" t="s">
        <v>16</v>
      </c>
      <c r="E21" s="14" t="s">
        <v>82</v>
      </c>
      <c r="F21" s="14" t="s">
        <v>164</v>
      </c>
      <c r="G21" s="14" t="s">
        <v>160</v>
      </c>
      <c r="H21" s="14" t="s">
        <v>91</v>
      </c>
      <c r="I21" s="14" t="s">
        <v>92</v>
      </c>
    </row>
    <row r="22" spans="1:9" ht="33.950000000000003" customHeight="1">
      <c r="A22" s="18" t="s">
        <v>165</v>
      </c>
      <c r="B22" s="14" t="s">
        <v>157</v>
      </c>
      <c r="C22" s="14" t="s">
        <v>166</v>
      </c>
      <c r="D22" s="15" t="s">
        <v>16</v>
      </c>
      <c r="E22" s="14" t="s">
        <v>82</v>
      </c>
      <c r="F22" s="14" t="s">
        <v>167</v>
      </c>
      <c r="G22" s="14" t="s">
        <v>160</v>
      </c>
      <c r="H22" s="14" t="s">
        <v>111</v>
      </c>
      <c r="I22" s="14" t="s">
        <v>168</v>
      </c>
    </row>
    <row r="23" spans="1:9" ht="33.950000000000003" customHeight="1">
      <c r="A23" s="18" t="s">
        <v>169</v>
      </c>
      <c r="B23" s="14" t="s">
        <v>157</v>
      </c>
      <c r="C23" s="14" t="s">
        <v>170</v>
      </c>
      <c r="D23" s="15" t="s">
        <v>16</v>
      </c>
      <c r="E23" s="14" t="s">
        <v>82</v>
      </c>
      <c r="F23" s="14" t="s">
        <v>171</v>
      </c>
      <c r="G23" s="14" t="s">
        <v>160</v>
      </c>
      <c r="H23" s="14" t="s">
        <v>121</v>
      </c>
      <c r="I23" s="14" t="s">
        <v>92</v>
      </c>
    </row>
    <row r="24" spans="1:9" ht="33.950000000000003" customHeight="1">
      <c r="A24" s="18" t="s">
        <v>172</v>
      </c>
      <c r="B24" s="14" t="s">
        <v>157</v>
      </c>
      <c r="C24" s="14" t="s">
        <v>173</v>
      </c>
      <c r="D24" s="15" t="s">
        <v>16</v>
      </c>
      <c r="E24" s="14" t="s">
        <v>82</v>
      </c>
      <c r="F24" s="14" t="s">
        <v>174</v>
      </c>
      <c r="G24" s="14" t="s">
        <v>160</v>
      </c>
      <c r="H24" s="14" t="s">
        <v>91</v>
      </c>
      <c r="I24" s="14" t="s">
        <v>175</v>
      </c>
    </row>
    <row r="25" spans="1:9" ht="33.950000000000003" customHeight="1">
      <c r="A25" s="18" t="s">
        <v>176</v>
      </c>
      <c r="B25" s="14" t="s">
        <v>157</v>
      </c>
      <c r="C25" s="14" t="s">
        <v>177</v>
      </c>
      <c r="D25" s="15" t="s">
        <v>16</v>
      </c>
      <c r="E25" s="14" t="s">
        <v>82</v>
      </c>
      <c r="F25" s="14" t="s">
        <v>178</v>
      </c>
      <c r="G25" s="14" t="s">
        <v>131</v>
      </c>
      <c r="H25" s="14" t="s">
        <v>121</v>
      </c>
      <c r="I25" s="14" t="s">
        <v>92</v>
      </c>
    </row>
    <row r="26" spans="1:9" ht="33.950000000000003" customHeight="1">
      <c r="A26" s="18" t="s">
        <v>179</v>
      </c>
      <c r="B26" s="14" t="s">
        <v>157</v>
      </c>
      <c r="C26" s="14" t="s">
        <v>180</v>
      </c>
      <c r="D26" s="15" t="s">
        <v>16</v>
      </c>
      <c r="E26" s="14" t="s">
        <v>82</v>
      </c>
      <c r="F26" s="14" t="s">
        <v>181</v>
      </c>
      <c r="G26" s="14" t="s">
        <v>90</v>
      </c>
      <c r="H26" s="14" t="s">
        <v>111</v>
      </c>
      <c r="I26" s="14" t="s">
        <v>182</v>
      </c>
    </row>
    <row r="27" spans="1:9" ht="33.950000000000003" customHeight="1">
      <c r="A27" s="18" t="s">
        <v>183</v>
      </c>
      <c r="B27" s="14" t="s">
        <v>157</v>
      </c>
      <c r="C27" s="14" t="s">
        <v>184</v>
      </c>
      <c r="D27" s="15" t="s">
        <v>16</v>
      </c>
      <c r="E27" s="14" t="s">
        <v>82</v>
      </c>
      <c r="F27" s="14" t="s">
        <v>185</v>
      </c>
      <c r="G27" s="14" t="s">
        <v>186</v>
      </c>
      <c r="H27" s="14" t="s">
        <v>121</v>
      </c>
      <c r="I27" s="14" t="s">
        <v>187</v>
      </c>
    </row>
    <row r="28" spans="1:9" ht="33.950000000000003" customHeight="1">
      <c r="A28" s="18" t="s">
        <v>188</v>
      </c>
      <c r="B28" s="14" t="s">
        <v>157</v>
      </c>
      <c r="C28" s="14" t="s">
        <v>189</v>
      </c>
      <c r="D28" s="15" t="s">
        <v>16</v>
      </c>
      <c r="E28" s="14" t="s">
        <v>82</v>
      </c>
      <c r="F28" s="14" t="s">
        <v>190</v>
      </c>
      <c r="G28" s="14" t="s">
        <v>131</v>
      </c>
      <c r="H28" s="14" t="s">
        <v>91</v>
      </c>
      <c r="I28" s="14" t="s">
        <v>92</v>
      </c>
    </row>
    <row r="29" spans="1:9" ht="33.950000000000003" customHeight="1">
      <c r="A29" s="18" t="s">
        <v>191</v>
      </c>
      <c r="B29" s="14" t="s">
        <v>192</v>
      </c>
      <c r="C29" s="14" t="s">
        <v>193</v>
      </c>
      <c r="D29" s="15" t="s">
        <v>16</v>
      </c>
      <c r="E29" s="14" t="s">
        <v>82</v>
      </c>
      <c r="F29" s="14" t="s">
        <v>194</v>
      </c>
      <c r="G29" s="14" t="s">
        <v>195</v>
      </c>
      <c r="H29" s="14" t="s">
        <v>196</v>
      </c>
      <c r="I29" s="14" t="s">
        <v>197</v>
      </c>
    </row>
    <row r="30" spans="1:9" ht="33.950000000000003" customHeight="1">
      <c r="A30" s="18" t="s">
        <v>198</v>
      </c>
      <c r="B30" s="14" t="s">
        <v>192</v>
      </c>
      <c r="C30" s="14" t="s">
        <v>199</v>
      </c>
      <c r="D30" s="15" t="s">
        <v>16</v>
      </c>
      <c r="E30" s="14" t="s">
        <v>82</v>
      </c>
      <c r="F30" s="14" t="s">
        <v>200</v>
      </c>
      <c r="G30" s="14" t="s">
        <v>110</v>
      </c>
      <c r="H30" s="14" t="s">
        <v>196</v>
      </c>
      <c r="I30" s="14" t="s">
        <v>92</v>
      </c>
    </row>
    <row r="31" spans="1:9" ht="33.950000000000003" customHeight="1">
      <c r="A31" s="18" t="s">
        <v>201</v>
      </c>
      <c r="B31" s="14" t="s">
        <v>192</v>
      </c>
      <c r="C31" s="14" t="s">
        <v>202</v>
      </c>
      <c r="D31" s="15" t="s">
        <v>16</v>
      </c>
      <c r="E31" s="14" t="s">
        <v>82</v>
      </c>
      <c r="F31" s="14" t="s">
        <v>203</v>
      </c>
      <c r="G31" s="14" t="s">
        <v>110</v>
      </c>
      <c r="H31" s="14" t="s">
        <v>196</v>
      </c>
      <c r="I31" s="14" t="s">
        <v>92</v>
      </c>
    </row>
    <row r="32" spans="1:9" ht="33.950000000000003" customHeight="1">
      <c r="A32" s="18" t="s">
        <v>204</v>
      </c>
      <c r="B32" s="14" t="s">
        <v>192</v>
      </c>
      <c r="C32" s="14" t="s">
        <v>205</v>
      </c>
      <c r="D32" s="15" t="s">
        <v>16</v>
      </c>
      <c r="E32" s="14" t="s">
        <v>82</v>
      </c>
      <c r="F32" s="14" t="s">
        <v>206</v>
      </c>
      <c r="G32" s="14" t="s">
        <v>110</v>
      </c>
      <c r="H32" s="14" t="s">
        <v>196</v>
      </c>
      <c r="I32" s="14" t="s">
        <v>92</v>
      </c>
    </row>
    <row r="33" spans="1:9" ht="33.950000000000003" customHeight="1">
      <c r="A33" s="18" t="s">
        <v>207</v>
      </c>
      <c r="B33" s="14" t="s">
        <v>208</v>
      </c>
      <c r="C33" s="14" t="s">
        <v>209</v>
      </c>
      <c r="D33" s="15" t="s">
        <v>16</v>
      </c>
      <c r="E33" s="14" t="s">
        <v>82</v>
      </c>
      <c r="F33" s="14" t="s">
        <v>210</v>
      </c>
      <c r="G33" s="14" t="s">
        <v>126</v>
      </c>
      <c r="H33" s="14" t="s">
        <v>91</v>
      </c>
      <c r="I33" s="14" t="s">
        <v>211</v>
      </c>
    </row>
    <row r="34" spans="1:9" ht="33.950000000000003" customHeight="1">
      <c r="A34" s="18" t="s">
        <v>212</v>
      </c>
      <c r="B34" s="14" t="s">
        <v>208</v>
      </c>
      <c r="C34" s="14" t="s">
        <v>213</v>
      </c>
      <c r="D34" s="15" t="s">
        <v>16</v>
      </c>
      <c r="E34" s="14" t="s">
        <v>82</v>
      </c>
      <c r="F34" s="14" t="s">
        <v>214</v>
      </c>
      <c r="G34" s="14" t="s">
        <v>126</v>
      </c>
      <c r="H34" s="14" t="s">
        <v>111</v>
      </c>
      <c r="I34" s="14" t="s">
        <v>92</v>
      </c>
    </row>
    <row r="35" spans="1:9" ht="33.950000000000003" customHeight="1">
      <c r="A35" s="18" t="s">
        <v>215</v>
      </c>
      <c r="B35" s="14" t="s">
        <v>208</v>
      </c>
      <c r="C35" s="14" t="s">
        <v>216</v>
      </c>
      <c r="D35" s="15" t="s">
        <v>16</v>
      </c>
      <c r="E35" s="14" t="s">
        <v>82</v>
      </c>
      <c r="F35" s="14" t="s">
        <v>217</v>
      </c>
      <c r="G35" s="14" t="s">
        <v>218</v>
      </c>
      <c r="H35" s="14" t="s">
        <v>91</v>
      </c>
      <c r="I35" s="14" t="s">
        <v>219</v>
      </c>
    </row>
    <row r="36" spans="1:9" ht="33.950000000000003" customHeight="1">
      <c r="A36" s="18" t="s">
        <v>220</v>
      </c>
      <c r="B36" s="14" t="s">
        <v>208</v>
      </c>
      <c r="C36" s="14" t="s">
        <v>221</v>
      </c>
      <c r="D36" s="15" t="s">
        <v>16</v>
      </c>
      <c r="E36" s="14" t="s">
        <v>82</v>
      </c>
      <c r="F36" s="14" t="s">
        <v>222</v>
      </c>
      <c r="G36" s="14" t="s">
        <v>186</v>
      </c>
      <c r="H36" s="14" t="s">
        <v>91</v>
      </c>
      <c r="I36" s="14" t="s">
        <v>223</v>
      </c>
    </row>
    <row r="37" spans="1:9" ht="33.950000000000003" customHeight="1">
      <c r="A37" s="18" t="s">
        <v>224</v>
      </c>
      <c r="B37" s="14" t="s">
        <v>208</v>
      </c>
      <c r="C37" s="14" t="s">
        <v>225</v>
      </c>
      <c r="D37" s="15" t="s">
        <v>16</v>
      </c>
      <c r="E37" s="14" t="s">
        <v>82</v>
      </c>
      <c r="F37" s="14" t="s">
        <v>226</v>
      </c>
      <c r="G37" s="14" t="s">
        <v>227</v>
      </c>
      <c r="H37" s="14" t="s">
        <v>91</v>
      </c>
      <c r="I37" s="14" t="s">
        <v>92</v>
      </c>
    </row>
    <row r="38" spans="1:9" ht="33.950000000000003" customHeight="1">
      <c r="A38" s="18" t="s">
        <v>228</v>
      </c>
      <c r="B38" s="14" t="s">
        <v>208</v>
      </c>
      <c r="C38" s="14" t="s">
        <v>229</v>
      </c>
      <c r="D38" s="15" t="s">
        <v>16</v>
      </c>
      <c r="E38" s="14" t="s">
        <v>82</v>
      </c>
      <c r="F38" s="14" t="s">
        <v>230</v>
      </c>
      <c r="G38" s="14" t="s">
        <v>231</v>
      </c>
      <c r="H38" s="14" t="s">
        <v>91</v>
      </c>
      <c r="I38" s="14" t="s">
        <v>92</v>
      </c>
    </row>
    <row r="39" spans="1:9" ht="33.950000000000003" customHeight="1">
      <c r="A39" s="18" t="s">
        <v>232</v>
      </c>
      <c r="B39" s="14" t="s">
        <v>233</v>
      </c>
      <c r="C39" s="14" t="s">
        <v>234</v>
      </c>
      <c r="D39" s="15" t="s">
        <v>16</v>
      </c>
      <c r="E39" s="14" t="s">
        <v>82</v>
      </c>
      <c r="F39" s="14" t="s">
        <v>235</v>
      </c>
      <c r="G39" s="14" t="s">
        <v>90</v>
      </c>
      <c r="H39" s="14" t="s">
        <v>96</v>
      </c>
      <c r="I39" s="14" t="s">
        <v>236</v>
      </c>
    </row>
    <row r="40" spans="1:9" ht="33.950000000000003" customHeight="1">
      <c r="A40" s="18" t="s">
        <v>237</v>
      </c>
      <c r="B40" s="14" t="s">
        <v>233</v>
      </c>
      <c r="C40" s="14" t="s">
        <v>238</v>
      </c>
      <c r="D40" s="15" t="s">
        <v>16</v>
      </c>
      <c r="E40" s="14" t="s">
        <v>82</v>
      </c>
      <c r="F40" s="14" t="s">
        <v>239</v>
      </c>
      <c r="G40" s="14" t="s">
        <v>90</v>
      </c>
      <c r="H40" s="14" t="s">
        <v>96</v>
      </c>
      <c r="I40" s="14" t="s">
        <v>240</v>
      </c>
    </row>
    <row r="41" spans="1:9" ht="33.950000000000003" customHeight="1">
      <c r="A41" s="18" t="s">
        <v>241</v>
      </c>
      <c r="B41" s="14" t="s">
        <v>233</v>
      </c>
      <c r="C41" s="14" t="s">
        <v>242</v>
      </c>
      <c r="D41" s="15" t="s">
        <v>16</v>
      </c>
      <c r="E41" s="14" t="s">
        <v>82</v>
      </c>
      <c r="F41" s="14" t="s">
        <v>243</v>
      </c>
      <c r="G41" s="14" t="s">
        <v>101</v>
      </c>
      <c r="H41" s="14" t="s">
        <v>96</v>
      </c>
      <c r="I41" s="14" t="s">
        <v>244</v>
      </c>
    </row>
    <row r="42" spans="1:9" ht="33.950000000000003" customHeight="1">
      <c r="A42" s="18" t="s">
        <v>245</v>
      </c>
      <c r="B42" s="14" t="s">
        <v>233</v>
      </c>
      <c r="C42" s="14" t="s">
        <v>246</v>
      </c>
      <c r="D42" s="15" t="s">
        <v>16</v>
      </c>
      <c r="E42" s="14" t="s">
        <v>82</v>
      </c>
      <c r="F42" s="14" t="s">
        <v>247</v>
      </c>
      <c r="G42" s="14" t="s">
        <v>248</v>
      </c>
      <c r="H42" s="14" t="s">
        <v>96</v>
      </c>
      <c r="I42" s="14" t="s">
        <v>249</v>
      </c>
    </row>
    <row r="43" spans="1:9" ht="33.950000000000003" customHeight="1">
      <c r="A43" s="18" t="s">
        <v>250</v>
      </c>
      <c r="B43" s="14" t="s">
        <v>233</v>
      </c>
      <c r="C43" s="14" t="s">
        <v>251</v>
      </c>
      <c r="D43" s="15" t="s">
        <v>16</v>
      </c>
      <c r="E43" s="14" t="s">
        <v>82</v>
      </c>
      <c r="F43" s="14" t="s">
        <v>252</v>
      </c>
      <c r="G43" s="14" t="s">
        <v>110</v>
      </c>
      <c r="H43" s="14" t="s">
        <v>196</v>
      </c>
      <c r="I43" s="14" t="s">
        <v>253</v>
      </c>
    </row>
    <row r="44" spans="1:9" ht="33.950000000000003" customHeight="1">
      <c r="A44" s="18" t="s">
        <v>254</v>
      </c>
      <c r="B44" s="14" t="s">
        <v>255</v>
      </c>
      <c r="C44" s="14" t="s">
        <v>256</v>
      </c>
      <c r="D44" s="15" t="s">
        <v>16</v>
      </c>
      <c r="E44" s="14" t="s">
        <v>82</v>
      </c>
      <c r="F44" s="14" t="s">
        <v>257</v>
      </c>
      <c r="G44" s="14" t="s">
        <v>227</v>
      </c>
      <c r="H44" s="14" t="s">
        <v>96</v>
      </c>
      <c r="I44" s="14" t="s">
        <v>258</v>
      </c>
    </row>
    <row r="45" spans="1:9" ht="33.950000000000003" customHeight="1">
      <c r="A45" s="18" t="s">
        <v>259</v>
      </c>
      <c r="B45" s="14" t="s">
        <v>255</v>
      </c>
      <c r="C45" s="14" t="s">
        <v>260</v>
      </c>
      <c r="D45" s="15" t="s">
        <v>16</v>
      </c>
      <c r="E45" s="14" t="s">
        <v>82</v>
      </c>
      <c r="F45" s="14" t="s">
        <v>261</v>
      </c>
      <c r="G45" s="14" t="s">
        <v>116</v>
      </c>
      <c r="H45" s="14" t="s">
        <v>96</v>
      </c>
      <c r="I45" s="14" t="s">
        <v>262</v>
      </c>
    </row>
    <row r="46" spans="1:9" ht="33.950000000000003" customHeight="1">
      <c r="A46" s="18" t="s">
        <v>263</v>
      </c>
      <c r="B46" s="14" t="s">
        <v>255</v>
      </c>
      <c r="C46" s="14" t="s">
        <v>264</v>
      </c>
      <c r="D46" s="15" t="s">
        <v>16</v>
      </c>
      <c r="E46" s="14" t="s">
        <v>82</v>
      </c>
      <c r="F46" s="14" t="s">
        <v>265</v>
      </c>
      <c r="G46" s="14" t="s">
        <v>90</v>
      </c>
      <c r="H46" s="14" t="s">
        <v>96</v>
      </c>
      <c r="I46" s="14" t="s">
        <v>92</v>
      </c>
    </row>
    <row r="47" spans="1:9" ht="33.950000000000003" customHeight="1">
      <c r="A47" s="18" t="s">
        <v>266</v>
      </c>
      <c r="B47" s="14" t="s">
        <v>255</v>
      </c>
      <c r="C47" s="14" t="s">
        <v>267</v>
      </c>
      <c r="D47" s="15" t="s">
        <v>16</v>
      </c>
      <c r="E47" s="14" t="s">
        <v>82</v>
      </c>
      <c r="F47" s="14" t="s">
        <v>268</v>
      </c>
      <c r="G47" s="14" t="s">
        <v>269</v>
      </c>
      <c r="H47" s="14" t="s">
        <v>96</v>
      </c>
      <c r="I47" s="14" t="s">
        <v>92</v>
      </c>
    </row>
    <row r="48" spans="1:9" ht="33.950000000000003" customHeight="1">
      <c r="A48" s="18" t="s">
        <v>270</v>
      </c>
      <c r="B48" s="14" t="s">
        <v>271</v>
      </c>
      <c r="C48" s="14" t="s">
        <v>272</v>
      </c>
      <c r="D48" s="15" t="s">
        <v>16</v>
      </c>
      <c r="E48" s="14" t="s">
        <v>82</v>
      </c>
      <c r="F48" s="14" t="s">
        <v>273</v>
      </c>
      <c r="G48" s="14" t="s">
        <v>90</v>
      </c>
      <c r="H48" s="14" t="s">
        <v>121</v>
      </c>
      <c r="I48" s="14" t="s">
        <v>274</v>
      </c>
    </row>
    <row r="49" spans="1:9" ht="33.950000000000003" customHeight="1">
      <c r="A49" s="18" t="s">
        <v>275</v>
      </c>
      <c r="B49" s="14" t="s">
        <v>271</v>
      </c>
      <c r="C49" s="14" t="s">
        <v>276</v>
      </c>
      <c r="D49" s="15" t="s">
        <v>16</v>
      </c>
      <c r="E49" s="14" t="s">
        <v>82</v>
      </c>
      <c r="F49" s="14" t="s">
        <v>277</v>
      </c>
      <c r="G49" s="14" t="s">
        <v>110</v>
      </c>
      <c r="H49" s="14" t="s">
        <v>91</v>
      </c>
      <c r="I49" s="14" t="s">
        <v>278</v>
      </c>
    </row>
    <row r="50" spans="1:9" ht="33.950000000000003" customHeight="1">
      <c r="A50" s="18" t="s">
        <v>279</v>
      </c>
      <c r="B50" s="14" t="s">
        <v>271</v>
      </c>
      <c r="C50" s="14" t="s">
        <v>280</v>
      </c>
      <c r="D50" s="15" t="s">
        <v>16</v>
      </c>
      <c r="E50" s="14" t="s">
        <v>82</v>
      </c>
      <c r="F50" s="14" t="s">
        <v>281</v>
      </c>
      <c r="G50" s="14" t="s">
        <v>110</v>
      </c>
      <c r="H50" s="14" t="s">
        <v>196</v>
      </c>
      <c r="I50" s="14" t="s">
        <v>282</v>
      </c>
    </row>
    <row r="51" spans="1:9" ht="33.950000000000003" customHeight="1">
      <c r="A51" s="18" t="s">
        <v>283</v>
      </c>
      <c r="B51" s="14" t="s">
        <v>271</v>
      </c>
      <c r="C51" s="14" t="s">
        <v>284</v>
      </c>
      <c r="D51" s="15" t="s">
        <v>16</v>
      </c>
      <c r="E51" s="14" t="s">
        <v>82</v>
      </c>
      <c r="F51" s="14" t="s">
        <v>285</v>
      </c>
      <c r="G51" s="14" t="s">
        <v>286</v>
      </c>
      <c r="H51" s="14" t="s">
        <v>91</v>
      </c>
      <c r="I51" s="14" t="s">
        <v>287</v>
      </c>
    </row>
    <row r="52" spans="1:9" ht="33.950000000000003" customHeight="1">
      <c r="A52" s="18" t="s">
        <v>288</v>
      </c>
      <c r="B52" s="14" t="s">
        <v>289</v>
      </c>
      <c r="C52" s="14" t="s">
        <v>290</v>
      </c>
      <c r="D52" s="15" t="s">
        <v>16</v>
      </c>
      <c r="E52" s="14" t="s">
        <v>82</v>
      </c>
      <c r="F52" s="14" t="s">
        <v>291</v>
      </c>
      <c r="G52" s="14" t="s">
        <v>135</v>
      </c>
      <c r="H52" s="14" t="s">
        <v>111</v>
      </c>
      <c r="I52" s="14" t="s">
        <v>292</v>
      </c>
    </row>
    <row r="53" spans="1:9" ht="33.950000000000003" customHeight="1">
      <c r="A53" s="18" t="s">
        <v>293</v>
      </c>
      <c r="B53" s="14" t="s">
        <v>289</v>
      </c>
      <c r="C53" s="14" t="s">
        <v>294</v>
      </c>
      <c r="D53" s="15" t="s">
        <v>16</v>
      </c>
      <c r="E53" s="14" t="s">
        <v>82</v>
      </c>
      <c r="F53" s="14" t="s">
        <v>295</v>
      </c>
      <c r="G53" s="14" t="s">
        <v>131</v>
      </c>
      <c r="H53" s="14" t="s">
        <v>91</v>
      </c>
      <c r="I53" s="14" t="s">
        <v>92</v>
      </c>
    </row>
    <row r="54" spans="1:9" ht="33.950000000000003" customHeight="1">
      <c r="A54" s="18" t="s">
        <v>296</v>
      </c>
      <c r="B54" s="14" t="s">
        <v>289</v>
      </c>
      <c r="C54" s="14" t="s">
        <v>297</v>
      </c>
      <c r="D54" s="15" t="s">
        <v>16</v>
      </c>
      <c r="E54" s="14" t="s">
        <v>82</v>
      </c>
      <c r="F54" s="14" t="s">
        <v>298</v>
      </c>
      <c r="G54" s="14" t="s">
        <v>131</v>
      </c>
      <c r="H54" s="14" t="s">
        <v>121</v>
      </c>
      <c r="I54" s="14" t="s">
        <v>92</v>
      </c>
    </row>
    <row r="55" spans="1:9" ht="33.950000000000003" customHeight="1">
      <c r="A55" s="18" t="s">
        <v>299</v>
      </c>
      <c r="B55" s="14" t="s">
        <v>289</v>
      </c>
      <c r="C55" s="14" t="s">
        <v>300</v>
      </c>
      <c r="D55" s="15" t="s">
        <v>16</v>
      </c>
      <c r="E55" s="14" t="s">
        <v>82</v>
      </c>
      <c r="F55" s="14" t="s">
        <v>301</v>
      </c>
      <c r="G55" s="14" t="s">
        <v>126</v>
      </c>
      <c r="H55" s="14" t="s">
        <v>91</v>
      </c>
      <c r="I55" s="14" t="s">
        <v>302</v>
      </c>
    </row>
    <row r="56" spans="1:9" ht="33.950000000000003" customHeight="1">
      <c r="A56" s="18" t="s">
        <v>303</v>
      </c>
      <c r="B56" s="14" t="s">
        <v>289</v>
      </c>
      <c r="C56" s="14" t="s">
        <v>304</v>
      </c>
      <c r="D56" s="15" t="s">
        <v>16</v>
      </c>
      <c r="E56" s="14" t="s">
        <v>82</v>
      </c>
      <c r="F56" s="14" t="s">
        <v>305</v>
      </c>
      <c r="G56" s="14" t="s">
        <v>135</v>
      </c>
      <c r="H56" s="14" t="s">
        <v>121</v>
      </c>
      <c r="I56" s="14" t="s">
        <v>92</v>
      </c>
    </row>
    <row r="57" spans="1:9" ht="33.950000000000003" customHeight="1">
      <c r="A57" s="18" t="s">
        <v>306</v>
      </c>
      <c r="B57" s="14" t="s">
        <v>307</v>
      </c>
      <c r="C57" s="14" t="s">
        <v>308</v>
      </c>
      <c r="D57" s="15" t="s">
        <v>16</v>
      </c>
      <c r="E57" s="14" t="s">
        <v>82</v>
      </c>
      <c r="F57" s="14" t="s">
        <v>309</v>
      </c>
      <c r="G57" s="14" t="s">
        <v>227</v>
      </c>
      <c r="H57" s="14" t="s">
        <v>96</v>
      </c>
      <c r="I57" s="14" t="s">
        <v>310</v>
      </c>
    </row>
    <row r="58" spans="1:9" ht="33.950000000000003" customHeight="1">
      <c r="A58" s="18" t="s">
        <v>311</v>
      </c>
      <c r="B58" s="14" t="s">
        <v>307</v>
      </c>
      <c r="C58" s="14" t="s">
        <v>312</v>
      </c>
      <c r="D58" s="15" t="s">
        <v>16</v>
      </c>
      <c r="E58" s="14" t="s">
        <v>82</v>
      </c>
      <c r="F58" s="14" t="s">
        <v>313</v>
      </c>
      <c r="G58" s="14" t="s">
        <v>314</v>
      </c>
      <c r="H58" s="14" t="s">
        <v>196</v>
      </c>
      <c r="I58" s="14" t="s">
        <v>315</v>
      </c>
    </row>
    <row r="59" spans="1:9" ht="33.950000000000003" customHeight="1">
      <c r="A59" s="18" t="s">
        <v>316</v>
      </c>
      <c r="B59" s="14" t="s">
        <v>307</v>
      </c>
      <c r="C59" s="14" t="s">
        <v>317</v>
      </c>
      <c r="D59" s="15" t="s">
        <v>16</v>
      </c>
      <c r="E59" s="14" t="s">
        <v>318</v>
      </c>
      <c r="F59" s="14" t="s">
        <v>319</v>
      </c>
      <c r="G59" s="14" t="s">
        <v>314</v>
      </c>
      <c r="H59" s="14" t="s">
        <v>96</v>
      </c>
      <c r="I59" s="14" t="s">
        <v>92</v>
      </c>
    </row>
    <row r="60" spans="1:9" ht="33.950000000000003" customHeight="1">
      <c r="A60" s="18" t="s">
        <v>320</v>
      </c>
      <c r="B60" s="14" t="s">
        <v>321</v>
      </c>
      <c r="C60" s="14" t="s">
        <v>322</v>
      </c>
      <c r="D60" s="15" t="s">
        <v>16</v>
      </c>
      <c r="E60" s="14" t="s">
        <v>82</v>
      </c>
      <c r="F60" s="14" t="s">
        <v>323</v>
      </c>
      <c r="G60" s="14" t="s">
        <v>324</v>
      </c>
      <c r="H60" s="14" t="s">
        <v>91</v>
      </c>
      <c r="I60" s="14" t="s">
        <v>325</v>
      </c>
    </row>
    <row r="61" spans="1:9" ht="33.950000000000003" customHeight="1">
      <c r="A61" s="18" t="s">
        <v>326</v>
      </c>
      <c r="B61" s="14" t="s">
        <v>321</v>
      </c>
      <c r="C61" s="14" t="s">
        <v>327</v>
      </c>
      <c r="D61" s="15" t="s">
        <v>16</v>
      </c>
      <c r="E61" s="14" t="s">
        <v>82</v>
      </c>
      <c r="F61" s="14" t="s">
        <v>328</v>
      </c>
      <c r="G61" s="14" t="s">
        <v>324</v>
      </c>
      <c r="H61" s="14" t="s">
        <v>91</v>
      </c>
      <c r="I61" s="14" t="s">
        <v>329</v>
      </c>
    </row>
    <row r="62" spans="1:9" ht="33.950000000000003" customHeight="1">
      <c r="A62" s="18" t="s">
        <v>330</v>
      </c>
      <c r="B62" s="14" t="s">
        <v>321</v>
      </c>
      <c r="C62" s="14" t="s">
        <v>331</v>
      </c>
      <c r="D62" s="15" t="s">
        <v>16</v>
      </c>
      <c r="E62" s="14" t="s">
        <v>82</v>
      </c>
      <c r="F62" s="14" t="s">
        <v>332</v>
      </c>
      <c r="G62" s="14" t="s">
        <v>324</v>
      </c>
      <c r="H62" s="14" t="s">
        <v>91</v>
      </c>
      <c r="I62" s="14" t="s">
        <v>92</v>
      </c>
    </row>
    <row r="63" spans="1:9" ht="33.950000000000003" customHeight="1">
      <c r="A63" s="18" t="s">
        <v>333</v>
      </c>
      <c r="B63" s="14" t="s">
        <v>321</v>
      </c>
      <c r="C63" s="14" t="s">
        <v>334</v>
      </c>
      <c r="D63" s="15" t="s">
        <v>16</v>
      </c>
      <c r="E63" s="14" t="s">
        <v>82</v>
      </c>
      <c r="F63" s="14" t="s">
        <v>335</v>
      </c>
      <c r="G63" s="14" t="s">
        <v>195</v>
      </c>
      <c r="H63" s="14" t="s">
        <v>196</v>
      </c>
      <c r="I63" s="14" t="s">
        <v>282</v>
      </c>
    </row>
    <row r="64" spans="1:9" ht="33.950000000000003" customHeight="1">
      <c r="A64" s="18" t="s">
        <v>336</v>
      </c>
      <c r="B64" s="14" t="s">
        <v>321</v>
      </c>
      <c r="C64" s="14" t="s">
        <v>337</v>
      </c>
      <c r="D64" s="15" t="s">
        <v>16</v>
      </c>
      <c r="E64" s="14" t="s">
        <v>82</v>
      </c>
      <c r="F64" s="14" t="s">
        <v>338</v>
      </c>
      <c r="G64" s="14" t="s">
        <v>110</v>
      </c>
      <c r="H64" s="14" t="s">
        <v>196</v>
      </c>
      <c r="I64" s="14" t="s">
        <v>339</v>
      </c>
    </row>
    <row r="65" spans="1:9" ht="33.950000000000003" customHeight="1">
      <c r="A65" s="18" t="s">
        <v>340</v>
      </c>
      <c r="B65" s="14" t="s">
        <v>192</v>
      </c>
      <c r="C65" s="14" t="s">
        <v>341</v>
      </c>
      <c r="D65" s="16" t="s">
        <v>19</v>
      </c>
      <c r="E65" s="14" t="s">
        <v>82</v>
      </c>
      <c r="F65" s="14" t="s">
        <v>342</v>
      </c>
      <c r="G65" s="14" t="s">
        <v>110</v>
      </c>
      <c r="H65" s="14" t="s">
        <v>196</v>
      </c>
      <c r="I65" s="14" t="s">
        <v>20</v>
      </c>
    </row>
    <row r="66" spans="1:9" ht="33.950000000000003" customHeight="1">
      <c r="A66" s="18" t="s">
        <v>343</v>
      </c>
      <c r="B66" s="14" t="s">
        <v>208</v>
      </c>
      <c r="C66" s="14" t="s">
        <v>344</v>
      </c>
      <c r="D66" s="16" t="s">
        <v>19</v>
      </c>
      <c r="E66" s="14" t="s">
        <v>82</v>
      </c>
      <c r="F66" s="14" t="s">
        <v>345</v>
      </c>
      <c r="G66" s="14" t="s">
        <v>218</v>
      </c>
      <c r="H66" s="14" t="s">
        <v>91</v>
      </c>
      <c r="I66" s="14" t="s">
        <v>346</v>
      </c>
    </row>
    <row r="67" spans="1:9" ht="33.950000000000003" customHeight="1">
      <c r="A67" s="18" t="s">
        <v>347</v>
      </c>
      <c r="B67" s="14" t="s">
        <v>255</v>
      </c>
      <c r="C67" s="14" t="s">
        <v>348</v>
      </c>
      <c r="D67" s="16" t="s">
        <v>19</v>
      </c>
      <c r="E67" s="14" t="s">
        <v>318</v>
      </c>
      <c r="F67" s="14" t="s">
        <v>349</v>
      </c>
      <c r="G67" s="14" t="s">
        <v>227</v>
      </c>
      <c r="H67" s="14" t="s">
        <v>96</v>
      </c>
      <c r="I67" s="14" t="s">
        <v>350</v>
      </c>
    </row>
    <row r="68" spans="1:9" ht="33.950000000000003" customHeight="1">
      <c r="A68" s="18" t="s">
        <v>351</v>
      </c>
      <c r="B68" s="14" t="s">
        <v>255</v>
      </c>
      <c r="C68" s="14" t="s">
        <v>352</v>
      </c>
      <c r="D68" s="16" t="s">
        <v>19</v>
      </c>
      <c r="E68" s="14" t="s">
        <v>82</v>
      </c>
      <c r="F68" s="14" t="s">
        <v>353</v>
      </c>
      <c r="G68" s="14" t="s">
        <v>324</v>
      </c>
      <c r="H68" s="14" t="s">
        <v>96</v>
      </c>
      <c r="I68" s="14" t="s">
        <v>354</v>
      </c>
    </row>
    <row r="69" spans="1:9" ht="33.950000000000003" customHeight="1">
      <c r="A69" s="18" t="s">
        <v>355</v>
      </c>
      <c r="B69" s="14" t="s">
        <v>233</v>
      </c>
      <c r="C69" s="14" t="s">
        <v>356</v>
      </c>
      <c r="D69" s="17" t="s">
        <v>22</v>
      </c>
      <c r="E69" s="30" t="s">
        <v>965</v>
      </c>
      <c r="F69" s="14" t="s">
        <v>358</v>
      </c>
      <c r="G69" s="14" t="s">
        <v>314</v>
      </c>
      <c r="H69" s="14" t="s">
        <v>359</v>
      </c>
      <c r="I69" s="14" t="s">
        <v>23</v>
      </c>
    </row>
    <row r="70" spans="1:9" ht="33.950000000000003" customHeight="1">
      <c r="A70" s="18" t="s">
        <v>360</v>
      </c>
      <c r="B70" s="14" t="s">
        <v>307</v>
      </c>
      <c r="C70" s="14" t="s">
        <v>361</v>
      </c>
      <c r="D70" s="17" t="s">
        <v>22</v>
      </c>
      <c r="E70" s="14" t="s">
        <v>82</v>
      </c>
      <c r="F70" s="14" t="s">
        <v>362</v>
      </c>
      <c r="G70" s="14" t="s">
        <v>116</v>
      </c>
      <c r="H70" s="14" t="s">
        <v>359</v>
      </c>
      <c r="I70" s="14" t="s">
        <v>23</v>
      </c>
    </row>
    <row r="71" spans="1:9" ht="33.950000000000003" customHeight="1">
      <c r="A71" s="18" t="s">
        <v>363</v>
      </c>
      <c r="B71" s="14" t="s">
        <v>321</v>
      </c>
      <c r="C71" s="14" t="s">
        <v>364</v>
      </c>
      <c r="D71" s="17" t="s">
        <v>22</v>
      </c>
      <c r="E71" s="14" t="s">
        <v>82</v>
      </c>
      <c r="F71" s="14" t="s">
        <v>365</v>
      </c>
      <c r="G71" s="14" t="s">
        <v>366</v>
      </c>
      <c r="H71" s="14" t="s">
        <v>359</v>
      </c>
      <c r="I71" s="14" t="s">
        <v>23</v>
      </c>
    </row>
    <row r="72" spans="1:9" ht="33.950000000000003" customHeight="1">
      <c r="A72" s="18" t="s">
        <v>367</v>
      </c>
      <c r="B72" s="14" t="s">
        <v>368</v>
      </c>
      <c r="C72" s="14" t="s">
        <v>369</v>
      </c>
      <c r="D72" s="17" t="s">
        <v>22</v>
      </c>
      <c r="E72" s="14" t="s">
        <v>82</v>
      </c>
      <c r="F72" s="14" t="s">
        <v>370</v>
      </c>
      <c r="G72" s="14" t="s">
        <v>371</v>
      </c>
      <c r="H72" s="14" t="s">
        <v>359</v>
      </c>
      <c r="I72" s="14" t="s">
        <v>23</v>
      </c>
    </row>
    <row r="73" spans="1:9" ht="33.950000000000003" customHeight="1">
      <c r="A73" s="18" t="s">
        <v>372</v>
      </c>
      <c r="B73" s="14" t="s">
        <v>368</v>
      </c>
      <c r="C73" s="14" t="s">
        <v>373</v>
      </c>
      <c r="D73" s="17" t="s">
        <v>22</v>
      </c>
      <c r="E73" s="14" t="s">
        <v>82</v>
      </c>
      <c r="F73" s="14" t="s">
        <v>374</v>
      </c>
      <c r="G73" s="14" t="s">
        <v>269</v>
      </c>
      <c r="H73" s="14" t="s">
        <v>359</v>
      </c>
      <c r="I73" s="14" t="s">
        <v>23</v>
      </c>
    </row>
    <row r="74" spans="1:9" ht="33.950000000000003" customHeight="1">
      <c r="A74" s="18" t="s">
        <v>375</v>
      </c>
      <c r="B74" s="14" t="s">
        <v>368</v>
      </c>
      <c r="C74" s="14" t="s">
        <v>376</v>
      </c>
      <c r="D74" s="17" t="s">
        <v>22</v>
      </c>
      <c r="E74" s="14" t="s">
        <v>82</v>
      </c>
      <c r="F74" s="14" t="s">
        <v>377</v>
      </c>
      <c r="G74" s="14" t="s">
        <v>269</v>
      </c>
      <c r="H74" s="14" t="s">
        <v>359</v>
      </c>
      <c r="I74" s="14" t="s">
        <v>23</v>
      </c>
    </row>
    <row r="75" spans="1:9" ht="33.950000000000003" customHeight="1">
      <c r="A75" s="18" t="s">
        <v>378</v>
      </c>
      <c r="B75" s="14" t="s">
        <v>368</v>
      </c>
      <c r="C75" s="14" t="s">
        <v>379</v>
      </c>
      <c r="D75" s="17" t="s">
        <v>22</v>
      </c>
      <c r="E75" s="14" t="s">
        <v>82</v>
      </c>
      <c r="F75" s="14" t="s">
        <v>380</v>
      </c>
      <c r="G75" s="14" t="s">
        <v>371</v>
      </c>
      <c r="H75" s="14" t="s">
        <v>359</v>
      </c>
      <c r="I75" s="14" t="s">
        <v>381</v>
      </c>
    </row>
    <row r="76" spans="1:9" ht="33.950000000000003" customHeight="1">
      <c r="A76" s="18" t="s">
        <v>382</v>
      </c>
      <c r="B76" s="14" t="s">
        <v>368</v>
      </c>
      <c r="C76" s="14" t="s">
        <v>383</v>
      </c>
      <c r="D76" s="17" t="s">
        <v>22</v>
      </c>
      <c r="E76" s="14" t="s">
        <v>82</v>
      </c>
      <c r="F76" s="14" t="s">
        <v>384</v>
      </c>
      <c r="G76" s="14" t="s">
        <v>101</v>
      </c>
      <c r="H76" s="14" t="s">
        <v>359</v>
      </c>
      <c r="I76" s="14" t="s">
        <v>23</v>
      </c>
    </row>
  </sheetData>
  <mergeCells count="1">
    <mergeCell ref="A1:I1"/>
  </mergeCells>
  <phoneticPr fontId="6" type="noConversion"/>
  <dataValidations count="2">
    <dataValidation type="list" sqref="E3:E76">
      <formula1>"확정,가정,미확정"</formula1>
    </dataValidation>
    <dataValidation type="list" sqref="D3:D76">
      <formula1>"필수,선택,확장"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6"/>
  <sheetViews>
    <sheetView showGridLines="0" workbookViewId="0">
      <selection sqref="A1:R1"/>
    </sheetView>
  </sheetViews>
  <sheetFormatPr defaultRowHeight="14.25"/>
  <cols>
    <col min="1" max="1" width="13" customWidth="1"/>
    <col min="2" max="3" width="16" customWidth="1"/>
    <col min="4" max="4" width="47.375" customWidth="1"/>
    <col min="5" max="5" width="48" customWidth="1"/>
    <col min="6" max="6" width="24" customWidth="1"/>
    <col min="7" max="7" width="48" customWidth="1"/>
    <col min="8" max="8" width="46" customWidth="1"/>
    <col min="9" max="9" width="9" customWidth="1"/>
    <col min="10" max="10" width="11" customWidth="1"/>
    <col min="11" max="11" width="26" customWidth="1"/>
    <col min="12" max="12" width="52" customWidth="1"/>
    <col min="13" max="13" width="20" customWidth="1"/>
    <col min="14" max="15" width="18" customWidth="1"/>
    <col min="16" max="16" width="11" customWidth="1"/>
    <col min="17" max="17" width="28" customWidth="1"/>
    <col min="18" max="18" width="25" customWidth="1"/>
  </cols>
  <sheetData>
    <row r="1" spans="1:18" ht="33.950000000000003" customHeight="1">
      <c r="A1" s="26" t="s">
        <v>385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33.950000000000003" customHeight="1">
      <c r="A2" s="1" t="s">
        <v>70</v>
      </c>
      <c r="B2" s="1" t="s">
        <v>71</v>
      </c>
      <c r="C2" s="1" t="s">
        <v>386</v>
      </c>
      <c r="D2" s="1" t="s">
        <v>72</v>
      </c>
      <c r="E2" s="1" t="s">
        <v>387</v>
      </c>
      <c r="F2" s="1" t="s">
        <v>388</v>
      </c>
      <c r="G2" s="1" t="s">
        <v>389</v>
      </c>
      <c r="H2" s="1" t="s">
        <v>390</v>
      </c>
      <c r="I2" s="1" t="s">
        <v>73</v>
      </c>
      <c r="J2" s="1" t="s">
        <v>74</v>
      </c>
      <c r="K2" s="1" t="s">
        <v>75</v>
      </c>
      <c r="L2" s="1" t="s">
        <v>391</v>
      </c>
      <c r="M2" s="1" t="s">
        <v>392</v>
      </c>
      <c r="N2" s="1" t="s">
        <v>393</v>
      </c>
      <c r="O2" s="1" t="s">
        <v>76</v>
      </c>
      <c r="P2" s="1" t="s">
        <v>77</v>
      </c>
      <c r="Q2" s="1" t="s">
        <v>394</v>
      </c>
      <c r="R2" s="1" t="s">
        <v>78</v>
      </c>
    </row>
    <row r="3" spans="1:18" ht="66" customHeight="1">
      <c r="A3" s="18" t="s">
        <v>79</v>
      </c>
      <c r="B3" s="14" t="s">
        <v>80</v>
      </c>
      <c r="C3" s="14" t="s">
        <v>395</v>
      </c>
      <c r="D3" s="14" t="s">
        <v>81</v>
      </c>
      <c r="E3" s="14" t="s">
        <v>396</v>
      </c>
      <c r="F3" s="14" t="s">
        <v>397</v>
      </c>
      <c r="G3" s="14" t="s">
        <v>398</v>
      </c>
      <c r="H3" s="14" t="s">
        <v>399</v>
      </c>
      <c r="I3" s="15" t="s">
        <v>16</v>
      </c>
      <c r="J3" s="14" t="s">
        <v>82</v>
      </c>
      <c r="K3" s="14" t="s">
        <v>83</v>
      </c>
      <c r="L3" s="14" t="s">
        <v>400</v>
      </c>
      <c r="M3" s="14" t="s">
        <v>401</v>
      </c>
      <c r="N3" s="14" t="s">
        <v>401</v>
      </c>
      <c r="O3" s="14" t="s">
        <v>84</v>
      </c>
      <c r="P3" s="14" t="s">
        <v>85</v>
      </c>
      <c r="Q3" s="14" t="s">
        <v>402</v>
      </c>
      <c r="R3" s="14" t="s">
        <v>86</v>
      </c>
    </row>
    <row r="4" spans="1:18" ht="66" customHeight="1">
      <c r="A4" s="18" t="s">
        <v>87</v>
      </c>
      <c r="B4" s="14" t="s">
        <v>80</v>
      </c>
      <c r="C4" s="14" t="s">
        <v>89</v>
      </c>
      <c r="D4" s="14" t="s">
        <v>403</v>
      </c>
      <c r="E4" s="14" t="s">
        <v>404</v>
      </c>
      <c r="F4" s="14" t="s">
        <v>405</v>
      </c>
      <c r="G4" s="14" t="s">
        <v>406</v>
      </c>
      <c r="H4" s="14" t="s">
        <v>407</v>
      </c>
      <c r="I4" s="15" t="s">
        <v>16</v>
      </c>
      <c r="J4" s="14" t="s">
        <v>82</v>
      </c>
      <c r="K4" s="14" t="s">
        <v>89</v>
      </c>
      <c r="L4" s="14" t="s">
        <v>408</v>
      </c>
      <c r="M4" s="14" t="s">
        <v>409</v>
      </c>
      <c r="N4" s="14" t="s">
        <v>401</v>
      </c>
      <c r="O4" s="14" t="s">
        <v>90</v>
      </c>
      <c r="P4" s="14" t="s">
        <v>91</v>
      </c>
      <c r="Q4" s="14" t="s">
        <v>410</v>
      </c>
      <c r="R4" s="14" t="s">
        <v>92</v>
      </c>
    </row>
    <row r="5" spans="1:18" ht="66" customHeight="1">
      <c r="A5" s="18" t="s">
        <v>93</v>
      </c>
      <c r="B5" s="14" t="s">
        <v>80</v>
      </c>
      <c r="C5" s="14" t="s">
        <v>411</v>
      </c>
      <c r="D5" s="14" t="s">
        <v>412</v>
      </c>
      <c r="E5" s="14" t="s">
        <v>413</v>
      </c>
      <c r="F5" s="14" t="s">
        <v>414</v>
      </c>
      <c r="G5" s="14" t="s">
        <v>415</v>
      </c>
      <c r="H5" s="14" t="s">
        <v>416</v>
      </c>
      <c r="I5" s="15" t="s">
        <v>16</v>
      </c>
      <c r="J5" s="14" t="s">
        <v>82</v>
      </c>
      <c r="K5" s="14" t="s">
        <v>95</v>
      </c>
      <c r="L5" s="14" t="s">
        <v>417</v>
      </c>
      <c r="M5" s="14" t="s">
        <v>418</v>
      </c>
      <c r="N5" s="14" t="s">
        <v>419</v>
      </c>
      <c r="O5" s="14" t="s">
        <v>84</v>
      </c>
      <c r="P5" s="14" t="s">
        <v>96</v>
      </c>
      <c r="Q5" s="14" t="s">
        <v>420</v>
      </c>
      <c r="R5" s="14" t="s">
        <v>97</v>
      </c>
    </row>
    <row r="6" spans="1:18" ht="66" customHeight="1">
      <c r="A6" s="18" t="s">
        <v>98</v>
      </c>
      <c r="B6" s="14" t="s">
        <v>80</v>
      </c>
      <c r="C6" s="14" t="s">
        <v>421</v>
      </c>
      <c r="D6" s="14" t="s">
        <v>99</v>
      </c>
      <c r="E6" s="14" t="s">
        <v>422</v>
      </c>
      <c r="F6" s="14" t="s">
        <v>405</v>
      </c>
      <c r="G6" s="14" t="s">
        <v>423</v>
      </c>
      <c r="H6" s="14" t="s">
        <v>424</v>
      </c>
      <c r="I6" s="15" t="s">
        <v>16</v>
      </c>
      <c r="J6" s="14" t="s">
        <v>82</v>
      </c>
      <c r="K6" s="14" t="s">
        <v>425</v>
      </c>
      <c r="L6" s="14" t="s">
        <v>426</v>
      </c>
      <c r="M6" s="14" t="s">
        <v>427</v>
      </c>
      <c r="N6" s="14" t="s">
        <v>401</v>
      </c>
      <c r="O6" s="14" t="s">
        <v>101</v>
      </c>
      <c r="P6" s="14" t="s">
        <v>96</v>
      </c>
      <c r="Q6" s="14" t="s">
        <v>428</v>
      </c>
      <c r="R6" s="14" t="s">
        <v>92</v>
      </c>
    </row>
    <row r="7" spans="1:18" ht="66" customHeight="1">
      <c r="A7" s="18" t="s">
        <v>102</v>
      </c>
      <c r="B7" s="14" t="s">
        <v>80</v>
      </c>
      <c r="C7" s="14" t="s">
        <v>429</v>
      </c>
      <c r="D7" s="14" t="s">
        <v>103</v>
      </c>
      <c r="E7" s="14" t="s">
        <v>430</v>
      </c>
      <c r="F7" s="14" t="s">
        <v>431</v>
      </c>
      <c r="G7" s="14" t="s">
        <v>432</v>
      </c>
      <c r="H7" s="14" t="s">
        <v>433</v>
      </c>
      <c r="I7" s="15" t="s">
        <v>16</v>
      </c>
      <c r="J7" s="14" t="s">
        <v>82</v>
      </c>
      <c r="K7" s="14" t="s">
        <v>104</v>
      </c>
      <c r="L7" s="14" t="s">
        <v>434</v>
      </c>
      <c r="M7" s="14" t="s">
        <v>435</v>
      </c>
      <c r="N7" s="14" t="s">
        <v>401</v>
      </c>
      <c r="O7" s="14" t="s">
        <v>105</v>
      </c>
      <c r="P7" s="14" t="s">
        <v>96</v>
      </c>
      <c r="Q7" s="14" t="s">
        <v>436</v>
      </c>
      <c r="R7" s="14" t="s">
        <v>92</v>
      </c>
    </row>
    <row r="8" spans="1:18" ht="66" customHeight="1">
      <c r="A8" s="18" t="s">
        <v>106</v>
      </c>
      <c r="B8" s="14" t="s">
        <v>107</v>
      </c>
      <c r="C8" s="14" t="s">
        <v>437</v>
      </c>
      <c r="D8" s="14" t="s">
        <v>438</v>
      </c>
      <c r="E8" s="14" t="s">
        <v>439</v>
      </c>
      <c r="F8" s="14" t="s">
        <v>440</v>
      </c>
      <c r="G8" s="14" t="s">
        <v>441</v>
      </c>
      <c r="H8" s="14" t="s">
        <v>442</v>
      </c>
      <c r="I8" s="15" t="s">
        <v>16</v>
      </c>
      <c r="J8" s="14" t="s">
        <v>82</v>
      </c>
      <c r="K8" s="14" t="s">
        <v>109</v>
      </c>
      <c r="L8" s="14" t="s">
        <v>443</v>
      </c>
      <c r="M8" s="14" t="s">
        <v>401</v>
      </c>
      <c r="N8" s="14" t="s">
        <v>444</v>
      </c>
      <c r="O8" s="14" t="s">
        <v>110</v>
      </c>
      <c r="P8" s="14" t="s">
        <v>111</v>
      </c>
      <c r="Q8" s="14" t="s">
        <v>445</v>
      </c>
      <c r="R8" s="14" t="s">
        <v>112</v>
      </c>
    </row>
    <row r="9" spans="1:18" ht="66" customHeight="1">
      <c r="A9" s="18" t="s">
        <v>113</v>
      </c>
      <c r="B9" s="14" t="s">
        <v>107</v>
      </c>
      <c r="C9" s="14" t="s">
        <v>446</v>
      </c>
      <c r="D9" s="14" t="s">
        <v>114</v>
      </c>
      <c r="E9" s="14" t="s">
        <v>447</v>
      </c>
      <c r="F9" s="14" t="s">
        <v>440</v>
      </c>
      <c r="G9" s="14" t="s">
        <v>448</v>
      </c>
      <c r="H9" s="14" t="s">
        <v>449</v>
      </c>
      <c r="I9" s="15" t="s">
        <v>16</v>
      </c>
      <c r="J9" s="14" t="s">
        <v>82</v>
      </c>
      <c r="K9" s="14" t="s">
        <v>115</v>
      </c>
      <c r="L9" s="14" t="s">
        <v>450</v>
      </c>
      <c r="M9" s="14" t="s">
        <v>106</v>
      </c>
      <c r="N9" s="14" t="s">
        <v>419</v>
      </c>
      <c r="O9" s="14" t="s">
        <v>116</v>
      </c>
      <c r="P9" s="14" t="s">
        <v>91</v>
      </c>
      <c r="Q9" s="14" t="s">
        <v>451</v>
      </c>
      <c r="R9" s="14" t="s">
        <v>117</v>
      </c>
    </row>
    <row r="10" spans="1:18" ht="66" customHeight="1">
      <c r="A10" s="18" t="s">
        <v>118</v>
      </c>
      <c r="B10" s="14" t="s">
        <v>107</v>
      </c>
      <c r="C10" s="14" t="s">
        <v>452</v>
      </c>
      <c r="D10" s="14" t="s">
        <v>119</v>
      </c>
      <c r="E10" s="14" t="s">
        <v>453</v>
      </c>
      <c r="F10" s="14" t="s">
        <v>454</v>
      </c>
      <c r="G10" s="14" t="s">
        <v>455</v>
      </c>
      <c r="H10" s="14" t="s">
        <v>456</v>
      </c>
      <c r="I10" s="15" t="s">
        <v>16</v>
      </c>
      <c r="J10" s="14" t="s">
        <v>82</v>
      </c>
      <c r="K10" s="14" t="s">
        <v>120</v>
      </c>
      <c r="L10" s="14" t="s">
        <v>457</v>
      </c>
      <c r="M10" s="14" t="s">
        <v>106</v>
      </c>
      <c r="N10" s="14" t="s">
        <v>458</v>
      </c>
      <c r="O10" s="14" t="s">
        <v>110</v>
      </c>
      <c r="P10" s="14" t="s">
        <v>121</v>
      </c>
      <c r="Q10" s="14" t="s">
        <v>459</v>
      </c>
      <c r="R10" s="14" t="s">
        <v>122</v>
      </c>
    </row>
    <row r="11" spans="1:18" ht="66" customHeight="1">
      <c r="A11" s="18" t="s">
        <v>123</v>
      </c>
      <c r="B11" s="14" t="s">
        <v>107</v>
      </c>
      <c r="C11" s="14" t="s">
        <v>27</v>
      </c>
      <c r="D11" s="14" t="s">
        <v>124</v>
      </c>
      <c r="E11" s="14" t="s">
        <v>460</v>
      </c>
      <c r="F11" s="14" t="s">
        <v>454</v>
      </c>
      <c r="G11" s="14" t="s">
        <v>461</v>
      </c>
      <c r="H11" s="14" t="s">
        <v>462</v>
      </c>
      <c r="I11" s="15" t="s">
        <v>16</v>
      </c>
      <c r="J11" s="14" t="s">
        <v>82</v>
      </c>
      <c r="K11" s="14" t="s">
        <v>125</v>
      </c>
      <c r="L11" s="14" t="s">
        <v>463</v>
      </c>
      <c r="M11" s="14" t="s">
        <v>118</v>
      </c>
      <c r="N11" s="14" t="s">
        <v>458</v>
      </c>
      <c r="O11" s="14" t="s">
        <v>126</v>
      </c>
      <c r="P11" s="14" t="s">
        <v>121</v>
      </c>
      <c r="Q11" s="14" t="s">
        <v>464</v>
      </c>
      <c r="R11" s="14" t="s">
        <v>127</v>
      </c>
    </row>
    <row r="12" spans="1:18" ht="66" customHeight="1">
      <c r="A12" s="18" t="s">
        <v>128</v>
      </c>
      <c r="B12" s="14" t="s">
        <v>107</v>
      </c>
      <c r="C12" s="14" t="s">
        <v>30</v>
      </c>
      <c r="D12" s="14" t="s">
        <v>129</v>
      </c>
      <c r="E12" s="14" t="s">
        <v>465</v>
      </c>
      <c r="F12" s="14" t="s">
        <v>454</v>
      </c>
      <c r="G12" s="14" t="s">
        <v>466</v>
      </c>
      <c r="H12" s="14" t="s">
        <v>467</v>
      </c>
      <c r="I12" s="15" t="s">
        <v>16</v>
      </c>
      <c r="J12" s="14" t="s">
        <v>82</v>
      </c>
      <c r="K12" s="14" t="s">
        <v>130</v>
      </c>
      <c r="L12" s="14" t="s">
        <v>468</v>
      </c>
      <c r="M12" s="14" t="s">
        <v>469</v>
      </c>
      <c r="N12" s="14" t="s">
        <v>470</v>
      </c>
      <c r="O12" s="14" t="s">
        <v>131</v>
      </c>
      <c r="P12" s="14" t="s">
        <v>121</v>
      </c>
      <c r="Q12" s="14" t="s">
        <v>471</v>
      </c>
      <c r="R12" s="14" t="s">
        <v>92</v>
      </c>
    </row>
    <row r="13" spans="1:18" ht="66" customHeight="1">
      <c r="A13" s="18" t="s">
        <v>132</v>
      </c>
      <c r="B13" s="14" t="s">
        <v>107</v>
      </c>
      <c r="C13" s="14" t="s">
        <v>472</v>
      </c>
      <c r="D13" s="14" t="s">
        <v>133</v>
      </c>
      <c r="E13" s="14" t="s">
        <v>473</v>
      </c>
      <c r="F13" s="14" t="s">
        <v>454</v>
      </c>
      <c r="G13" s="14" t="s">
        <v>474</v>
      </c>
      <c r="H13" s="14" t="s">
        <v>475</v>
      </c>
      <c r="I13" s="15" t="s">
        <v>16</v>
      </c>
      <c r="J13" s="14" t="s">
        <v>82</v>
      </c>
      <c r="K13" s="14" t="s">
        <v>134</v>
      </c>
      <c r="L13" s="14" t="s">
        <v>476</v>
      </c>
      <c r="M13" s="14" t="s">
        <v>128</v>
      </c>
      <c r="N13" s="14" t="s">
        <v>470</v>
      </c>
      <c r="O13" s="14" t="s">
        <v>135</v>
      </c>
      <c r="P13" s="14" t="s">
        <v>121</v>
      </c>
      <c r="Q13" s="14" t="s">
        <v>477</v>
      </c>
      <c r="R13" s="14" t="s">
        <v>92</v>
      </c>
    </row>
    <row r="14" spans="1:18" ht="66" customHeight="1">
      <c r="A14" s="18" t="s">
        <v>136</v>
      </c>
      <c r="B14" s="14" t="s">
        <v>107</v>
      </c>
      <c r="C14" s="14" t="s">
        <v>478</v>
      </c>
      <c r="D14" s="14" t="s">
        <v>137</v>
      </c>
      <c r="E14" s="14" t="s">
        <v>479</v>
      </c>
      <c r="F14" s="14" t="s">
        <v>454</v>
      </c>
      <c r="G14" s="14" t="s">
        <v>480</v>
      </c>
      <c r="H14" s="14" t="s">
        <v>481</v>
      </c>
      <c r="I14" s="15" t="s">
        <v>16</v>
      </c>
      <c r="J14" s="14" t="s">
        <v>82</v>
      </c>
      <c r="K14" s="14" t="s">
        <v>138</v>
      </c>
      <c r="L14" s="14" t="s">
        <v>482</v>
      </c>
      <c r="M14" s="14" t="s">
        <v>132</v>
      </c>
      <c r="N14" s="14" t="s">
        <v>483</v>
      </c>
      <c r="O14" s="14" t="s">
        <v>135</v>
      </c>
      <c r="P14" s="14" t="s">
        <v>91</v>
      </c>
      <c r="Q14" s="14" t="s">
        <v>484</v>
      </c>
      <c r="R14" s="14" t="s">
        <v>92</v>
      </c>
    </row>
    <row r="15" spans="1:18" ht="66" customHeight="1">
      <c r="A15" s="18" t="s">
        <v>139</v>
      </c>
      <c r="B15" s="14" t="s">
        <v>107</v>
      </c>
      <c r="C15" s="14" t="s">
        <v>485</v>
      </c>
      <c r="D15" s="14" t="s">
        <v>486</v>
      </c>
      <c r="E15" s="14" t="s">
        <v>487</v>
      </c>
      <c r="F15" s="14" t="s">
        <v>454</v>
      </c>
      <c r="G15" s="14" t="s">
        <v>488</v>
      </c>
      <c r="H15" s="14" t="s">
        <v>489</v>
      </c>
      <c r="I15" s="15" t="s">
        <v>16</v>
      </c>
      <c r="J15" s="14" t="s">
        <v>82</v>
      </c>
      <c r="K15" s="14" t="s">
        <v>141</v>
      </c>
      <c r="L15" s="14" t="s">
        <v>490</v>
      </c>
      <c r="M15" s="14" t="s">
        <v>491</v>
      </c>
      <c r="N15" s="14" t="s">
        <v>470</v>
      </c>
      <c r="O15" s="14" t="s">
        <v>126</v>
      </c>
      <c r="P15" s="14" t="s">
        <v>91</v>
      </c>
      <c r="Q15" s="14" t="s">
        <v>492</v>
      </c>
      <c r="R15" s="14" t="s">
        <v>142</v>
      </c>
    </row>
    <row r="16" spans="1:18" ht="66" customHeight="1">
      <c r="A16" s="18" t="s">
        <v>143</v>
      </c>
      <c r="B16" s="14" t="s">
        <v>107</v>
      </c>
      <c r="C16" s="14" t="s">
        <v>493</v>
      </c>
      <c r="D16" s="14" t="s">
        <v>144</v>
      </c>
      <c r="E16" s="14" t="s">
        <v>494</v>
      </c>
      <c r="F16" s="14" t="s">
        <v>440</v>
      </c>
      <c r="G16" s="14" t="s">
        <v>495</v>
      </c>
      <c r="H16" s="14" t="s">
        <v>496</v>
      </c>
      <c r="I16" s="15" t="s">
        <v>16</v>
      </c>
      <c r="J16" s="14" t="s">
        <v>82</v>
      </c>
      <c r="K16" s="14" t="s">
        <v>145</v>
      </c>
      <c r="L16" s="14" t="s">
        <v>497</v>
      </c>
      <c r="M16" s="14" t="s">
        <v>139</v>
      </c>
      <c r="N16" s="14" t="s">
        <v>470</v>
      </c>
      <c r="O16" s="14" t="s">
        <v>135</v>
      </c>
      <c r="P16" s="14" t="s">
        <v>121</v>
      </c>
      <c r="Q16" s="14" t="s">
        <v>498</v>
      </c>
      <c r="R16" s="14" t="s">
        <v>146</v>
      </c>
    </row>
    <row r="17" spans="1:18" ht="66" customHeight="1">
      <c r="A17" s="18" t="s">
        <v>147</v>
      </c>
      <c r="B17" s="14" t="s">
        <v>107</v>
      </c>
      <c r="C17" s="14" t="s">
        <v>499</v>
      </c>
      <c r="D17" s="14" t="s">
        <v>148</v>
      </c>
      <c r="E17" s="14" t="s">
        <v>500</v>
      </c>
      <c r="F17" s="14" t="s">
        <v>454</v>
      </c>
      <c r="G17" s="14" t="s">
        <v>501</v>
      </c>
      <c r="H17" s="14" t="s">
        <v>502</v>
      </c>
      <c r="I17" s="15" t="s">
        <v>16</v>
      </c>
      <c r="J17" s="14" t="s">
        <v>82</v>
      </c>
      <c r="K17" s="14" t="s">
        <v>149</v>
      </c>
      <c r="L17" s="14" t="s">
        <v>503</v>
      </c>
      <c r="M17" s="14" t="s">
        <v>143</v>
      </c>
      <c r="N17" s="14" t="s">
        <v>470</v>
      </c>
      <c r="O17" s="14" t="s">
        <v>126</v>
      </c>
      <c r="P17" s="14" t="s">
        <v>121</v>
      </c>
      <c r="Q17" s="14" t="s">
        <v>504</v>
      </c>
      <c r="R17" s="14" t="s">
        <v>92</v>
      </c>
    </row>
    <row r="18" spans="1:18" ht="66" customHeight="1">
      <c r="A18" s="18" t="s">
        <v>150</v>
      </c>
      <c r="B18" s="14" t="s">
        <v>107</v>
      </c>
      <c r="C18" s="14" t="s">
        <v>505</v>
      </c>
      <c r="D18" s="14" t="s">
        <v>151</v>
      </c>
      <c r="E18" s="14" t="s">
        <v>506</v>
      </c>
      <c r="F18" s="14" t="s">
        <v>454</v>
      </c>
      <c r="G18" s="14" t="s">
        <v>507</v>
      </c>
      <c r="H18" s="14" t="s">
        <v>508</v>
      </c>
      <c r="I18" s="15" t="s">
        <v>16</v>
      </c>
      <c r="J18" s="14" t="s">
        <v>82</v>
      </c>
      <c r="K18" s="14" t="s">
        <v>152</v>
      </c>
      <c r="L18" s="14" t="s">
        <v>509</v>
      </c>
      <c r="M18" s="14" t="s">
        <v>143</v>
      </c>
      <c r="N18" s="14" t="s">
        <v>470</v>
      </c>
      <c r="O18" s="14" t="s">
        <v>131</v>
      </c>
      <c r="P18" s="14" t="s">
        <v>121</v>
      </c>
      <c r="Q18" s="14" t="s">
        <v>510</v>
      </c>
      <c r="R18" s="14" t="s">
        <v>92</v>
      </c>
    </row>
    <row r="19" spans="1:18" ht="66" customHeight="1">
      <c r="A19" s="18" t="s">
        <v>153</v>
      </c>
      <c r="B19" s="14" t="s">
        <v>107</v>
      </c>
      <c r="C19" s="14" t="s">
        <v>511</v>
      </c>
      <c r="D19" s="14" t="s">
        <v>154</v>
      </c>
      <c r="E19" s="14" t="s">
        <v>512</v>
      </c>
      <c r="F19" s="14" t="s">
        <v>440</v>
      </c>
      <c r="G19" s="14" t="s">
        <v>513</v>
      </c>
      <c r="H19" s="14" t="s">
        <v>514</v>
      </c>
      <c r="I19" s="15" t="s">
        <v>16</v>
      </c>
      <c r="J19" s="14" t="s">
        <v>82</v>
      </c>
      <c r="K19" s="14" t="s">
        <v>155</v>
      </c>
      <c r="L19" s="14" t="s">
        <v>515</v>
      </c>
      <c r="M19" s="14" t="s">
        <v>150</v>
      </c>
      <c r="N19" s="14" t="s">
        <v>470</v>
      </c>
      <c r="O19" s="14" t="s">
        <v>135</v>
      </c>
      <c r="P19" s="14" t="s">
        <v>121</v>
      </c>
      <c r="Q19" s="14" t="s">
        <v>516</v>
      </c>
      <c r="R19" s="14" t="s">
        <v>92</v>
      </c>
    </row>
    <row r="20" spans="1:18" ht="66" customHeight="1">
      <c r="A20" s="18" t="s">
        <v>156</v>
      </c>
      <c r="B20" s="14" t="s">
        <v>157</v>
      </c>
      <c r="C20" s="14" t="s">
        <v>517</v>
      </c>
      <c r="D20" s="14" t="s">
        <v>158</v>
      </c>
      <c r="E20" s="14" t="s">
        <v>518</v>
      </c>
      <c r="F20" s="14" t="s">
        <v>519</v>
      </c>
      <c r="G20" s="14" t="s">
        <v>520</v>
      </c>
      <c r="H20" s="14" t="s">
        <v>521</v>
      </c>
      <c r="I20" s="15" t="s">
        <v>16</v>
      </c>
      <c r="J20" s="14" t="s">
        <v>82</v>
      </c>
      <c r="K20" s="14" t="s">
        <v>159</v>
      </c>
      <c r="L20" s="14" t="s">
        <v>522</v>
      </c>
      <c r="M20" s="14" t="s">
        <v>401</v>
      </c>
      <c r="N20" s="14" t="s">
        <v>523</v>
      </c>
      <c r="O20" s="14" t="s">
        <v>160</v>
      </c>
      <c r="P20" s="14" t="s">
        <v>111</v>
      </c>
      <c r="Q20" s="14" t="s">
        <v>159</v>
      </c>
      <c r="R20" s="14" t="s">
        <v>161</v>
      </c>
    </row>
    <row r="21" spans="1:18" ht="66" customHeight="1">
      <c r="A21" s="18" t="s">
        <v>162</v>
      </c>
      <c r="B21" s="14" t="s">
        <v>157</v>
      </c>
      <c r="C21" s="14" t="s">
        <v>524</v>
      </c>
      <c r="D21" s="14" t="s">
        <v>163</v>
      </c>
      <c r="E21" s="14" t="s">
        <v>525</v>
      </c>
      <c r="F21" s="14" t="s">
        <v>519</v>
      </c>
      <c r="G21" s="14" t="s">
        <v>526</v>
      </c>
      <c r="H21" s="14" t="s">
        <v>527</v>
      </c>
      <c r="I21" s="15" t="s">
        <v>16</v>
      </c>
      <c r="J21" s="14" t="s">
        <v>82</v>
      </c>
      <c r="K21" s="14" t="s">
        <v>164</v>
      </c>
      <c r="L21" s="14" t="s">
        <v>528</v>
      </c>
      <c r="M21" s="14" t="s">
        <v>156</v>
      </c>
      <c r="N21" s="14" t="s">
        <v>523</v>
      </c>
      <c r="O21" s="14" t="s">
        <v>160</v>
      </c>
      <c r="P21" s="14" t="s">
        <v>91</v>
      </c>
      <c r="Q21" s="14" t="s">
        <v>529</v>
      </c>
      <c r="R21" s="14" t="s">
        <v>92</v>
      </c>
    </row>
    <row r="22" spans="1:18" ht="66" customHeight="1">
      <c r="A22" s="18" t="s">
        <v>165</v>
      </c>
      <c r="B22" s="14" t="s">
        <v>157</v>
      </c>
      <c r="C22" s="14" t="s">
        <v>530</v>
      </c>
      <c r="D22" s="14" t="s">
        <v>166</v>
      </c>
      <c r="E22" s="14" t="s">
        <v>531</v>
      </c>
      <c r="F22" s="14" t="s">
        <v>532</v>
      </c>
      <c r="G22" s="14" t="s">
        <v>533</v>
      </c>
      <c r="H22" s="14" t="s">
        <v>534</v>
      </c>
      <c r="I22" s="15" t="s">
        <v>16</v>
      </c>
      <c r="J22" s="14" t="s">
        <v>82</v>
      </c>
      <c r="K22" s="14" t="s">
        <v>167</v>
      </c>
      <c r="L22" s="14" t="s">
        <v>535</v>
      </c>
      <c r="M22" s="14" t="s">
        <v>156</v>
      </c>
      <c r="N22" s="14" t="s">
        <v>523</v>
      </c>
      <c r="O22" s="14" t="s">
        <v>160</v>
      </c>
      <c r="P22" s="14" t="s">
        <v>111</v>
      </c>
      <c r="Q22" s="14" t="s">
        <v>536</v>
      </c>
      <c r="R22" s="14" t="s">
        <v>168</v>
      </c>
    </row>
    <row r="23" spans="1:18" ht="66" customHeight="1">
      <c r="A23" s="18" t="s">
        <v>169</v>
      </c>
      <c r="B23" s="14" t="s">
        <v>157</v>
      </c>
      <c r="C23" s="14" t="s">
        <v>537</v>
      </c>
      <c r="D23" s="14" t="s">
        <v>170</v>
      </c>
      <c r="E23" s="14" t="s">
        <v>538</v>
      </c>
      <c r="F23" s="14" t="s">
        <v>532</v>
      </c>
      <c r="G23" s="14" t="s">
        <v>539</v>
      </c>
      <c r="H23" s="14" t="s">
        <v>540</v>
      </c>
      <c r="I23" s="15" t="s">
        <v>16</v>
      </c>
      <c r="J23" s="14" t="s">
        <v>82</v>
      </c>
      <c r="K23" s="14" t="s">
        <v>171</v>
      </c>
      <c r="L23" s="14" t="s">
        <v>541</v>
      </c>
      <c r="M23" s="14" t="s">
        <v>165</v>
      </c>
      <c r="N23" s="14" t="s">
        <v>401</v>
      </c>
      <c r="O23" s="14" t="s">
        <v>160</v>
      </c>
      <c r="P23" s="14" t="s">
        <v>121</v>
      </c>
      <c r="Q23" s="14" t="s">
        <v>542</v>
      </c>
      <c r="R23" s="14" t="s">
        <v>92</v>
      </c>
    </row>
    <row r="24" spans="1:18" ht="66" customHeight="1">
      <c r="A24" s="18" t="s">
        <v>172</v>
      </c>
      <c r="B24" s="14" t="s">
        <v>157</v>
      </c>
      <c r="C24" s="14" t="s">
        <v>543</v>
      </c>
      <c r="D24" s="14" t="s">
        <v>544</v>
      </c>
      <c r="E24" s="14" t="s">
        <v>545</v>
      </c>
      <c r="F24" s="14" t="s">
        <v>546</v>
      </c>
      <c r="G24" s="14" t="s">
        <v>547</v>
      </c>
      <c r="H24" s="14" t="s">
        <v>548</v>
      </c>
      <c r="I24" s="15" t="s">
        <v>16</v>
      </c>
      <c r="J24" s="14" t="s">
        <v>82</v>
      </c>
      <c r="K24" s="14" t="s">
        <v>174</v>
      </c>
      <c r="L24" s="14" t="s">
        <v>549</v>
      </c>
      <c r="M24" s="14" t="s">
        <v>162</v>
      </c>
      <c r="N24" s="14" t="s">
        <v>523</v>
      </c>
      <c r="O24" s="14" t="s">
        <v>160</v>
      </c>
      <c r="P24" s="14" t="s">
        <v>91</v>
      </c>
      <c r="Q24" s="14" t="s">
        <v>550</v>
      </c>
      <c r="R24" s="14" t="s">
        <v>175</v>
      </c>
    </row>
    <row r="25" spans="1:18" ht="66" customHeight="1">
      <c r="A25" s="18" t="s">
        <v>176</v>
      </c>
      <c r="B25" s="14" t="s">
        <v>157</v>
      </c>
      <c r="C25" s="14" t="s">
        <v>551</v>
      </c>
      <c r="D25" s="14" t="s">
        <v>552</v>
      </c>
      <c r="E25" s="14" t="s">
        <v>553</v>
      </c>
      <c r="F25" s="14" t="s">
        <v>546</v>
      </c>
      <c r="G25" s="14" t="s">
        <v>554</v>
      </c>
      <c r="H25" s="14" t="s">
        <v>555</v>
      </c>
      <c r="I25" s="15" t="s">
        <v>16</v>
      </c>
      <c r="J25" s="14" t="s">
        <v>82</v>
      </c>
      <c r="K25" s="14" t="s">
        <v>178</v>
      </c>
      <c r="L25" s="14" t="s">
        <v>556</v>
      </c>
      <c r="M25" s="14" t="s">
        <v>557</v>
      </c>
      <c r="N25" s="14" t="s">
        <v>523</v>
      </c>
      <c r="O25" s="14" t="s">
        <v>131</v>
      </c>
      <c r="P25" s="14" t="s">
        <v>121</v>
      </c>
      <c r="Q25" s="14" t="s">
        <v>558</v>
      </c>
      <c r="R25" s="14" t="s">
        <v>92</v>
      </c>
    </row>
    <row r="26" spans="1:18" ht="66" customHeight="1">
      <c r="A26" s="18" t="s">
        <v>179</v>
      </c>
      <c r="B26" s="14" t="s">
        <v>157</v>
      </c>
      <c r="C26" s="14" t="s">
        <v>559</v>
      </c>
      <c r="D26" s="14" t="s">
        <v>180</v>
      </c>
      <c r="E26" s="14" t="s">
        <v>560</v>
      </c>
      <c r="F26" s="14" t="s">
        <v>546</v>
      </c>
      <c r="G26" s="14" t="s">
        <v>561</v>
      </c>
      <c r="H26" s="14" t="s">
        <v>562</v>
      </c>
      <c r="I26" s="15" t="s">
        <v>16</v>
      </c>
      <c r="J26" s="14" t="s">
        <v>82</v>
      </c>
      <c r="K26" s="14" t="s">
        <v>181</v>
      </c>
      <c r="L26" s="14" t="s">
        <v>563</v>
      </c>
      <c r="M26" s="14" t="s">
        <v>176</v>
      </c>
      <c r="N26" s="14" t="s">
        <v>523</v>
      </c>
      <c r="O26" s="14" t="s">
        <v>90</v>
      </c>
      <c r="P26" s="14" t="s">
        <v>111</v>
      </c>
      <c r="Q26" s="14" t="s">
        <v>564</v>
      </c>
      <c r="R26" s="14" t="s">
        <v>182</v>
      </c>
    </row>
    <row r="27" spans="1:18" ht="66" customHeight="1">
      <c r="A27" s="18" t="s">
        <v>183</v>
      </c>
      <c r="B27" s="14" t="s">
        <v>157</v>
      </c>
      <c r="C27" s="14" t="s">
        <v>565</v>
      </c>
      <c r="D27" s="14" t="s">
        <v>184</v>
      </c>
      <c r="E27" s="14" t="s">
        <v>566</v>
      </c>
      <c r="F27" s="14" t="s">
        <v>567</v>
      </c>
      <c r="G27" s="14" t="s">
        <v>568</v>
      </c>
      <c r="H27" s="14" t="s">
        <v>569</v>
      </c>
      <c r="I27" s="15" t="s">
        <v>16</v>
      </c>
      <c r="J27" s="14" t="s">
        <v>82</v>
      </c>
      <c r="K27" s="14" t="s">
        <v>185</v>
      </c>
      <c r="L27" s="14" t="s">
        <v>570</v>
      </c>
      <c r="M27" s="14" t="s">
        <v>165</v>
      </c>
      <c r="N27" s="14" t="s">
        <v>401</v>
      </c>
      <c r="O27" s="14" t="s">
        <v>186</v>
      </c>
      <c r="P27" s="14" t="s">
        <v>121</v>
      </c>
      <c r="Q27" s="14" t="s">
        <v>571</v>
      </c>
      <c r="R27" s="14" t="s">
        <v>187</v>
      </c>
    </row>
    <row r="28" spans="1:18" ht="66" customHeight="1">
      <c r="A28" s="18" t="s">
        <v>188</v>
      </c>
      <c r="B28" s="14" t="s">
        <v>157</v>
      </c>
      <c r="C28" s="14" t="s">
        <v>572</v>
      </c>
      <c r="D28" s="14" t="s">
        <v>573</v>
      </c>
      <c r="E28" s="14" t="s">
        <v>574</v>
      </c>
      <c r="F28" s="14" t="s">
        <v>575</v>
      </c>
      <c r="G28" s="14" t="s">
        <v>576</v>
      </c>
      <c r="H28" s="14" t="s">
        <v>577</v>
      </c>
      <c r="I28" s="15" t="s">
        <v>16</v>
      </c>
      <c r="J28" s="14" t="s">
        <v>82</v>
      </c>
      <c r="K28" s="14" t="s">
        <v>578</v>
      </c>
      <c r="L28" s="14" t="s">
        <v>579</v>
      </c>
      <c r="M28" s="14" t="s">
        <v>162</v>
      </c>
      <c r="N28" s="14" t="s">
        <v>580</v>
      </c>
      <c r="O28" s="14" t="s">
        <v>131</v>
      </c>
      <c r="P28" s="14" t="s">
        <v>91</v>
      </c>
      <c r="Q28" s="14" t="s">
        <v>581</v>
      </c>
      <c r="R28" s="14" t="s">
        <v>92</v>
      </c>
    </row>
    <row r="29" spans="1:18" ht="66" customHeight="1">
      <c r="A29" s="18" t="s">
        <v>191</v>
      </c>
      <c r="B29" s="14" t="s">
        <v>192</v>
      </c>
      <c r="C29" s="14" t="s">
        <v>582</v>
      </c>
      <c r="D29" s="14" t="s">
        <v>193</v>
      </c>
      <c r="E29" s="14" t="s">
        <v>583</v>
      </c>
      <c r="F29" s="14" t="s">
        <v>454</v>
      </c>
      <c r="G29" s="14" t="s">
        <v>584</v>
      </c>
      <c r="H29" s="14" t="s">
        <v>585</v>
      </c>
      <c r="I29" s="15" t="s">
        <v>16</v>
      </c>
      <c r="J29" s="14" t="s">
        <v>82</v>
      </c>
      <c r="K29" s="14" t="s">
        <v>194</v>
      </c>
      <c r="L29" s="14" t="s">
        <v>586</v>
      </c>
      <c r="M29" s="14" t="s">
        <v>279</v>
      </c>
      <c r="N29" s="14" t="s">
        <v>587</v>
      </c>
      <c r="O29" s="14" t="s">
        <v>195</v>
      </c>
      <c r="P29" s="14" t="s">
        <v>196</v>
      </c>
      <c r="Q29" s="14" t="s">
        <v>588</v>
      </c>
      <c r="R29" s="14" t="s">
        <v>197</v>
      </c>
    </row>
    <row r="30" spans="1:18" ht="66" customHeight="1">
      <c r="A30" s="18" t="s">
        <v>198</v>
      </c>
      <c r="B30" s="14" t="s">
        <v>192</v>
      </c>
      <c r="C30" s="14" t="s">
        <v>589</v>
      </c>
      <c r="D30" s="14" t="s">
        <v>590</v>
      </c>
      <c r="E30" s="14" t="s">
        <v>591</v>
      </c>
      <c r="F30" s="14" t="s">
        <v>592</v>
      </c>
      <c r="G30" s="14" t="s">
        <v>593</v>
      </c>
      <c r="H30" s="14" t="s">
        <v>594</v>
      </c>
      <c r="I30" s="15" t="s">
        <v>16</v>
      </c>
      <c r="J30" s="14" t="s">
        <v>82</v>
      </c>
      <c r="K30" s="14" t="s">
        <v>200</v>
      </c>
      <c r="L30" s="14" t="s">
        <v>595</v>
      </c>
      <c r="M30" s="14" t="s">
        <v>596</v>
      </c>
      <c r="N30" s="14" t="s">
        <v>597</v>
      </c>
      <c r="O30" s="14" t="s">
        <v>110</v>
      </c>
      <c r="P30" s="14" t="s">
        <v>196</v>
      </c>
      <c r="Q30" s="14" t="s">
        <v>598</v>
      </c>
      <c r="R30" s="14" t="s">
        <v>92</v>
      </c>
    </row>
    <row r="31" spans="1:18" ht="66" customHeight="1">
      <c r="A31" s="18" t="s">
        <v>201</v>
      </c>
      <c r="B31" s="14" t="s">
        <v>192</v>
      </c>
      <c r="C31" s="14" t="s">
        <v>599</v>
      </c>
      <c r="D31" s="14" t="s">
        <v>202</v>
      </c>
      <c r="E31" s="14" t="s">
        <v>600</v>
      </c>
      <c r="F31" s="14" t="s">
        <v>592</v>
      </c>
      <c r="G31" s="14" t="s">
        <v>601</v>
      </c>
      <c r="H31" s="14" t="s">
        <v>602</v>
      </c>
      <c r="I31" s="15" t="s">
        <v>16</v>
      </c>
      <c r="J31" s="14" t="s">
        <v>82</v>
      </c>
      <c r="K31" s="14" t="s">
        <v>203</v>
      </c>
      <c r="L31" s="14" t="s">
        <v>603</v>
      </c>
      <c r="M31" s="14" t="s">
        <v>198</v>
      </c>
      <c r="N31" s="14" t="s">
        <v>597</v>
      </c>
      <c r="O31" s="14" t="s">
        <v>110</v>
      </c>
      <c r="P31" s="14" t="s">
        <v>196</v>
      </c>
      <c r="Q31" s="14" t="s">
        <v>604</v>
      </c>
      <c r="R31" s="14" t="s">
        <v>92</v>
      </c>
    </row>
    <row r="32" spans="1:18" ht="66" customHeight="1">
      <c r="A32" s="18" t="s">
        <v>204</v>
      </c>
      <c r="B32" s="14" t="s">
        <v>192</v>
      </c>
      <c r="C32" s="14" t="s">
        <v>605</v>
      </c>
      <c r="D32" s="14" t="s">
        <v>205</v>
      </c>
      <c r="E32" s="14" t="s">
        <v>606</v>
      </c>
      <c r="F32" s="14" t="s">
        <v>454</v>
      </c>
      <c r="G32" s="14" t="s">
        <v>607</v>
      </c>
      <c r="H32" s="14" t="s">
        <v>608</v>
      </c>
      <c r="I32" s="15" t="s">
        <v>16</v>
      </c>
      <c r="J32" s="14" t="s">
        <v>82</v>
      </c>
      <c r="K32" s="14" t="s">
        <v>206</v>
      </c>
      <c r="L32" s="14" t="s">
        <v>609</v>
      </c>
      <c r="M32" s="14" t="s">
        <v>201</v>
      </c>
      <c r="N32" s="14" t="s">
        <v>597</v>
      </c>
      <c r="O32" s="14" t="s">
        <v>110</v>
      </c>
      <c r="P32" s="14" t="s">
        <v>196</v>
      </c>
      <c r="Q32" s="14" t="s">
        <v>610</v>
      </c>
      <c r="R32" s="14" t="s">
        <v>92</v>
      </c>
    </row>
    <row r="33" spans="1:18" ht="66" customHeight="1">
      <c r="A33" s="18" t="s">
        <v>207</v>
      </c>
      <c r="B33" s="14" t="s">
        <v>208</v>
      </c>
      <c r="C33" s="14" t="s">
        <v>611</v>
      </c>
      <c r="D33" s="14" t="s">
        <v>209</v>
      </c>
      <c r="E33" s="14" t="s">
        <v>612</v>
      </c>
      <c r="F33" s="14" t="s">
        <v>440</v>
      </c>
      <c r="G33" s="14" t="s">
        <v>613</v>
      </c>
      <c r="H33" s="14" t="s">
        <v>614</v>
      </c>
      <c r="I33" s="15" t="s">
        <v>16</v>
      </c>
      <c r="J33" s="14" t="s">
        <v>82</v>
      </c>
      <c r="K33" s="14" t="s">
        <v>210</v>
      </c>
      <c r="L33" s="14" t="s">
        <v>615</v>
      </c>
      <c r="M33" s="14" t="s">
        <v>153</v>
      </c>
      <c r="N33" s="14" t="s">
        <v>616</v>
      </c>
      <c r="O33" s="14" t="s">
        <v>126</v>
      </c>
      <c r="P33" s="14" t="s">
        <v>91</v>
      </c>
      <c r="Q33" s="14" t="s">
        <v>617</v>
      </c>
      <c r="R33" s="14" t="s">
        <v>211</v>
      </c>
    </row>
    <row r="34" spans="1:18" ht="66" customHeight="1">
      <c r="A34" s="18" t="s">
        <v>212</v>
      </c>
      <c r="B34" s="14" t="s">
        <v>208</v>
      </c>
      <c r="C34" s="14" t="s">
        <v>618</v>
      </c>
      <c r="D34" s="14" t="s">
        <v>213</v>
      </c>
      <c r="E34" s="14" t="s">
        <v>619</v>
      </c>
      <c r="F34" s="14" t="s">
        <v>620</v>
      </c>
      <c r="G34" s="14" t="s">
        <v>621</v>
      </c>
      <c r="H34" s="14" t="s">
        <v>622</v>
      </c>
      <c r="I34" s="15" t="s">
        <v>16</v>
      </c>
      <c r="J34" s="14" t="s">
        <v>82</v>
      </c>
      <c r="K34" s="14" t="s">
        <v>214</v>
      </c>
      <c r="L34" s="14" t="s">
        <v>623</v>
      </c>
      <c r="M34" s="14" t="s">
        <v>624</v>
      </c>
      <c r="N34" s="14" t="s">
        <v>401</v>
      </c>
      <c r="O34" s="14" t="s">
        <v>126</v>
      </c>
      <c r="P34" s="14" t="s">
        <v>111</v>
      </c>
      <c r="Q34" s="14" t="s">
        <v>625</v>
      </c>
      <c r="R34" s="14" t="s">
        <v>92</v>
      </c>
    </row>
    <row r="35" spans="1:18" ht="66" customHeight="1">
      <c r="A35" s="18" t="s">
        <v>215</v>
      </c>
      <c r="B35" s="14" t="s">
        <v>208</v>
      </c>
      <c r="C35" s="14" t="s">
        <v>626</v>
      </c>
      <c r="D35" s="14" t="s">
        <v>216</v>
      </c>
      <c r="E35" s="14" t="s">
        <v>627</v>
      </c>
      <c r="F35" s="14" t="s">
        <v>628</v>
      </c>
      <c r="G35" s="14" t="s">
        <v>629</v>
      </c>
      <c r="H35" s="14" t="s">
        <v>630</v>
      </c>
      <c r="I35" s="15" t="s">
        <v>16</v>
      </c>
      <c r="J35" s="14" t="s">
        <v>82</v>
      </c>
      <c r="K35" s="14" t="s">
        <v>217</v>
      </c>
      <c r="L35" s="14" t="s">
        <v>631</v>
      </c>
      <c r="M35" s="14" t="s">
        <v>632</v>
      </c>
      <c r="N35" s="14" t="s">
        <v>401</v>
      </c>
      <c r="O35" s="14" t="s">
        <v>218</v>
      </c>
      <c r="P35" s="14" t="s">
        <v>91</v>
      </c>
      <c r="Q35" s="14" t="s">
        <v>633</v>
      </c>
      <c r="R35" s="14" t="s">
        <v>219</v>
      </c>
    </row>
    <row r="36" spans="1:18" ht="66" customHeight="1">
      <c r="A36" s="18" t="s">
        <v>220</v>
      </c>
      <c r="B36" s="14" t="s">
        <v>208</v>
      </c>
      <c r="C36" s="14" t="s">
        <v>634</v>
      </c>
      <c r="D36" s="14" t="s">
        <v>221</v>
      </c>
      <c r="E36" s="14" t="s">
        <v>635</v>
      </c>
      <c r="F36" s="14" t="s">
        <v>636</v>
      </c>
      <c r="G36" s="14" t="s">
        <v>637</v>
      </c>
      <c r="H36" s="14" t="s">
        <v>638</v>
      </c>
      <c r="I36" s="15" t="s">
        <v>16</v>
      </c>
      <c r="J36" s="14" t="s">
        <v>82</v>
      </c>
      <c r="K36" s="14" t="s">
        <v>222</v>
      </c>
      <c r="L36" s="14" t="s">
        <v>639</v>
      </c>
      <c r="M36" s="14" t="s">
        <v>215</v>
      </c>
      <c r="N36" s="14" t="s">
        <v>401</v>
      </c>
      <c r="O36" s="14" t="s">
        <v>186</v>
      </c>
      <c r="P36" s="14" t="s">
        <v>91</v>
      </c>
      <c r="Q36" s="14" t="s">
        <v>640</v>
      </c>
      <c r="R36" s="14" t="s">
        <v>223</v>
      </c>
    </row>
    <row r="37" spans="1:18" ht="66" customHeight="1">
      <c r="A37" s="18" t="s">
        <v>224</v>
      </c>
      <c r="B37" s="14" t="s">
        <v>208</v>
      </c>
      <c r="C37" s="14" t="s">
        <v>641</v>
      </c>
      <c r="D37" s="14" t="s">
        <v>225</v>
      </c>
      <c r="E37" s="14" t="s">
        <v>642</v>
      </c>
      <c r="F37" s="14" t="s">
        <v>643</v>
      </c>
      <c r="G37" s="14" t="s">
        <v>644</v>
      </c>
      <c r="H37" s="14" t="s">
        <v>645</v>
      </c>
      <c r="I37" s="15" t="s">
        <v>16</v>
      </c>
      <c r="J37" s="14" t="s">
        <v>82</v>
      </c>
      <c r="K37" s="14" t="s">
        <v>226</v>
      </c>
      <c r="L37" s="14" t="s">
        <v>646</v>
      </c>
      <c r="M37" s="14" t="s">
        <v>220</v>
      </c>
      <c r="N37" s="14" t="s">
        <v>401</v>
      </c>
      <c r="O37" s="14" t="s">
        <v>227</v>
      </c>
      <c r="P37" s="14" t="s">
        <v>91</v>
      </c>
      <c r="Q37" s="14" t="s">
        <v>647</v>
      </c>
      <c r="R37" s="14" t="s">
        <v>92</v>
      </c>
    </row>
    <row r="38" spans="1:18" ht="66" customHeight="1">
      <c r="A38" s="18" t="s">
        <v>228</v>
      </c>
      <c r="B38" s="14" t="s">
        <v>208</v>
      </c>
      <c r="C38" s="14" t="s">
        <v>648</v>
      </c>
      <c r="D38" s="14" t="s">
        <v>229</v>
      </c>
      <c r="E38" s="14" t="s">
        <v>649</v>
      </c>
      <c r="F38" s="14" t="s">
        <v>620</v>
      </c>
      <c r="G38" s="14" t="s">
        <v>650</v>
      </c>
      <c r="H38" s="14" t="s">
        <v>651</v>
      </c>
      <c r="I38" s="15" t="s">
        <v>16</v>
      </c>
      <c r="J38" s="14" t="s">
        <v>82</v>
      </c>
      <c r="K38" s="14" t="s">
        <v>230</v>
      </c>
      <c r="L38" s="14" t="s">
        <v>652</v>
      </c>
      <c r="M38" s="14" t="s">
        <v>215</v>
      </c>
      <c r="N38" s="14" t="s">
        <v>401</v>
      </c>
      <c r="O38" s="14" t="s">
        <v>231</v>
      </c>
      <c r="P38" s="14" t="s">
        <v>91</v>
      </c>
      <c r="Q38" s="14" t="s">
        <v>653</v>
      </c>
      <c r="R38" s="14" t="s">
        <v>92</v>
      </c>
    </row>
    <row r="39" spans="1:18" ht="66" customHeight="1">
      <c r="A39" s="18" t="s">
        <v>232</v>
      </c>
      <c r="B39" s="14" t="s">
        <v>233</v>
      </c>
      <c r="C39" s="14" t="s">
        <v>654</v>
      </c>
      <c r="D39" s="14" t="s">
        <v>234</v>
      </c>
      <c r="E39" s="14" t="s">
        <v>655</v>
      </c>
      <c r="F39" s="14" t="s">
        <v>440</v>
      </c>
      <c r="G39" s="14" t="s">
        <v>656</v>
      </c>
      <c r="H39" s="14" t="s">
        <v>657</v>
      </c>
      <c r="I39" s="15" t="s">
        <v>16</v>
      </c>
      <c r="J39" s="14" t="s">
        <v>82</v>
      </c>
      <c r="K39" s="14" t="s">
        <v>235</v>
      </c>
      <c r="L39" s="14" t="s">
        <v>658</v>
      </c>
      <c r="M39" s="14" t="s">
        <v>659</v>
      </c>
      <c r="N39" s="14" t="s">
        <v>401</v>
      </c>
      <c r="O39" s="14" t="s">
        <v>90</v>
      </c>
      <c r="P39" s="14" t="s">
        <v>96</v>
      </c>
      <c r="Q39" s="14" t="s">
        <v>428</v>
      </c>
      <c r="R39" s="14" t="s">
        <v>236</v>
      </c>
    </row>
    <row r="40" spans="1:18" ht="66" customHeight="1">
      <c r="A40" s="18" t="s">
        <v>237</v>
      </c>
      <c r="B40" s="14" t="s">
        <v>233</v>
      </c>
      <c r="C40" s="14" t="s">
        <v>660</v>
      </c>
      <c r="D40" s="14" t="s">
        <v>238</v>
      </c>
      <c r="E40" s="14" t="s">
        <v>661</v>
      </c>
      <c r="F40" s="14" t="s">
        <v>440</v>
      </c>
      <c r="G40" s="14" t="s">
        <v>662</v>
      </c>
      <c r="H40" s="14" t="s">
        <v>663</v>
      </c>
      <c r="I40" s="15" t="s">
        <v>16</v>
      </c>
      <c r="J40" s="14" t="s">
        <v>82</v>
      </c>
      <c r="K40" s="14" t="s">
        <v>239</v>
      </c>
      <c r="L40" s="14" t="s">
        <v>664</v>
      </c>
      <c r="M40" s="14" t="s">
        <v>665</v>
      </c>
      <c r="N40" s="14" t="s">
        <v>401</v>
      </c>
      <c r="O40" s="14" t="s">
        <v>90</v>
      </c>
      <c r="P40" s="14" t="s">
        <v>96</v>
      </c>
      <c r="Q40" s="14" t="s">
        <v>666</v>
      </c>
      <c r="R40" s="14" t="s">
        <v>240</v>
      </c>
    </row>
    <row r="41" spans="1:18" ht="66" customHeight="1">
      <c r="A41" s="18" t="s">
        <v>241</v>
      </c>
      <c r="B41" s="14" t="s">
        <v>233</v>
      </c>
      <c r="C41" s="14" t="s">
        <v>667</v>
      </c>
      <c r="D41" s="14" t="s">
        <v>242</v>
      </c>
      <c r="E41" s="14" t="s">
        <v>668</v>
      </c>
      <c r="F41" s="14" t="s">
        <v>440</v>
      </c>
      <c r="G41" s="14" t="s">
        <v>669</v>
      </c>
      <c r="H41" s="14" t="s">
        <v>670</v>
      </c>
      <c r="I41" s="15" t="s">
        <v>16</v>
      </c>
      <c r="J41" s="14" t="s">
        <v>82</v>
      </c>
      <c r="K41" s="14" t="s">
        <v>243</v>
      </c>
      <c r="L41" s="14" t="s">
        <v>671</v>
      </c>
      <c r="M41" s="14" t="s">
        <v>672</v>
      </c>
      <c r="N41" s="14" t="s">
        <v>401</v>
      </c>
      <c r="O41" s="14" t="s">
        <v>101</v>
      </c>
      <c r="P41" s="14" t="s">
        <v>96</v>
      </c>
      <c r="Q41" s="14" t="s">
        <v>673</v>
      </c>
      <c r="R41" s="14" t="s">
        <v>244</v>
      </c>
    </row>
    <row r="42" spans="1:18" ht="66" customHeight="1">
      <c r="A42" s="18" t="s">
        <v>245</v>
      </c>
      <c r="B42" s="14" t="s">
        <v>233</v>
      </c>
      <c r="C42" s="14" t="s">
        <v>674</v>
      </c>
      <c r="D42" s="14" t="s">
        <v>246</v>
      </c>
      <c r="E42" s="14" t="s">
        <v>675</v>
      </c>
      <c r="F42" s="14" t="s">
        <v>620</v>
      </c>
      <c r="G42" s="14" t="s">
        <v>676</v>
      </c>
      <c r="H42" s="14" t="s">
        <v>677</v>
      </c>
      <c r="I42" s="15" t="s">
        <v>16</v>
      </c>
      <c r="J42" s="14" t="s">
        <v>82</v>
      </c>
      <c r="K42" s="14" t="s">
        <v>247</v>
      </c>
      <c r="L42" s="14" t="s">
        <v>678</v>
      </c>
      <c r="M42" s="14" t="s">
        <v>401</v>
      </c>
      <c r="N42" s="14" t="s">
        <v>401</v>
      </c>
      <c r="O42" s="14" t="s">
        <v>248</v>
      </c>
      <c r="P42" s="14" t="s">
        <v>96</v>
      </c>
      <c r="Q42" s="14" t="s">
        <v>679</v>
      </c>
      <c r="R42" s="14" t="s">
        <v>249</v>
      </c>
    </row>
    <row r="43" spans="1:18" ht="66" customHeight="1">
      <c r="A43" s="18" t="s">
        <v>250</v>
      </c>
      <c r="B43" s="14" t="s">
        <v>233</v>
      </c>
      <c r="C43" s="14" t="s">
        <v>680</v>
      </c>
      <c r="D43" s="14" t="s">
        <v>251</v>
      </c>
      <c r="E43" s="14" t="s">
        <v>681</v>
      </c>
      <c r="F43" s="14" t="s">
        <v>682</v>
      </c>
      <c r="G43" s="14" t="s">
        <v>683</v>
      </c>
      <c r="H43" s="14" t="s">
        <v>684</v>
      </c>
      <c r="I43" s="15" t="s">
        <v>16</v>
      </c>
      <c r="J43" s="14" t="s">
        <v>82</v>
      </c>
      <c r="K43" s="14" t="s">
        <v>252</v>
      </c>
      <c r="L43" s="14" t="s">
        <v>685</v>
      </c>
      <c r="M43" s="14" t="s">
        <v>686</v>
      </c>
      <c r="N43" s="14" t="s">
        <v>687</v>
      </c>
      <c r="O43" s="14" t="s">
        <v>110</v>
      </c>
      <c r="P43" s="14" t="s">
        <v>196</v>
      </c>
      <c r="Q43" s="14" t="s">
        <v>688</v>
      </c>
      <c r="R43" s="14" t="s">
        <v>253</v>
      </c>
    </row>
    <row r="44" spans="1:18" ht="66" customHeight="1">
      <c r="A44" s="18" t="s">
        <v>254</v>
      </c>
      <c r="B44" s="14" t="s">
        <v>255</v>
      </c>
      <c r="C44" s="14" t="s">
        <v>689</v>
      </c>
      <c r="D44" s="14" t="s">
        <v>256</v>
      </c>
      <c r="E44" s="14" t="s">
        <v>690</v>
      </c>
      <c r="F44" s="14" t="s">
        <v>691</v>
      </c>
      <c r="G44" s="14" t="s">
        <v>692</v>
      </c>
      <c r="H44" s="14" t="s">
        <v>693</v>
      </c>
      <c r="I44" s="15" t="s">
        <v>16</v>
      </c>
      <c r="J44" s="14" t="s">
        <v>82</v>
      </c>
      <c r="K44" s="14" t="s">
        <v>257</v>
      </c>
      <c r="L44" s="14" t="s">
        <v>694</v>
      </c>
      <c r="M44" s="14" t="s">
        <v>695</v>
      </c>
      <c r="N44" s="14" t="s">
        <v>687</v>
      </c>
      <c r="O44" s="14" t="s">
        <v>227</v>
      </c>
      <c r="P44" s="14" t="s">
        <v>96</v>
      </c>
      <c r="Q44" s="14" t="s">
        <v>696</v>
      </c>
      <c r="R44" s="14" t="s">
        <v>258</v>
      </c>
    </row>
    <row r="45" spans="1:18" ht="66" customHeight="1">
      <c r="A45" s="18" t="s">
        <v>259</v>
      </c>
      <c r="B45" s="14" t="s">
        <v>255</v>
      </c>
      <c r="C45" s="14" t="s">
        <v>697</v>
      </c>
      <c r="D45" s="14" t="s">
        <v>260</v>
      </c>
      <c r="E45" s="14" t="s">
        <v>698</v>
      </c>
      <c r="F45" s="14" t="s">
        <v>440</v>
      </c>
      <c r="G45" s="14" t="s">
        <v>699</v>
      </c>
      <c r="H45" s="14" t="s">
        <v>700</v>
      </c>
      <c r="I45" s="15" t="s">
        <v>16</v>
      </c>
      <c r="J45" s="14" t="s">
        <v>82</v>
      </c>
      <c r="K45" s="14" t="s">
        <v>261</v>
      </c>
      <c r="L45" s="14" t="s">
        <v>701</v>
      </c>
      <c r="M45" s="14" t="s">
        <v>702</v>
      </c>
      <c r="N45" s="14" t="s">
        <v>419</v>
      </c>
      <c r="O45" s="14" t="s">
        <v>116</v>
      </c>
      <c r="P45" s="14" t="s">
        <v>96</v>
      </c>
      <c r="Q45" s="14" t="s">
        <v>703</v>
      </c>
      <c r="R45" s="14" t="s">
        <v>262</v>
      </c>
    </row>
    <row r="46" spans="1:18" ht="66" customHeight="1">
      <c r="A46" s="18" t="s">
        <v>263</v>
      </c>
      <c r="B46" s="14" t="s">
        <v>255</v>
      </c>
      <c r="C46" s="14" t="s">
        <v>704</v>
      </c>
      <c r="D46" s="14" t="s">
        <v>264</v>
      </c>
      <c r="E46" s="14" t="s">
        <v>705</v>
      </c>
      <c r="F46" s="14" t="s">
        <v>440</v>
      </c>
      <c r="G46" s="14" t="s">
        <v>706</v>
      </c>
      <c r="H46" s="14" t="s">
        <v>707</v>
      </c>
      <c r="I46" s="15" t="s">
        <v>16</v>
      </c>
      <c r="J46" s="14" t="s">
        <v>82</v>
      </c>
      <c r="K46" s="14" t="s">
        <v>265</v>
      </c>
      <c r="L46" s="14" t="s">
        <v>708</v>
      </c>
      <c r="M46" s="14" t="s">
        <v>709</v>
      </c>
      <c r="N46" s="14" t="s">
        <v>470</v>
      </c>
      <c r="O46" s="14" t="s">
        <v>90</v>
      </c>
      <c r="P46" s="14" t="s">
        <v>96</v>
      </c>
      <c r="Q46" s="14" t="s">
        <v>710</v>
      </c>
      <c r="R46" s="14" t="s">
        <v>92</v>
      </c>
    </row>
    <row r="47" spans="1:18" ht="66" customHeight="1">
      <c r="A47" s="18" t="s">
        <v>266</v>
      </c>
      <c r="B47" s="14" t="s">
        <v>255</v>
      </c>
      <c r="C47" s="14" t="s">
        <v>711</v>
      </c>
      <c r="D47" s="14" t="s">
        <v>267</v>
      </c>
      <c r="E47" s="14" t="s">
        <v>712</v>
      </c>
      <c r="F47" s="14" t="s">
        <v>620</v>
      </c>
      <c r="G47" s="14" t="s">
        <v>713</v>
      </c>
      <c r="H47" s="14" t="s">
        <v>714</v>
      </c>
      <c r="I47" s="15" t="s">
        <v>16</v>
      </c>
      <c r="J47" s="14" t="s">
        <v>82</v>
      </c>
      <c r="K47" s="14" t="s">
        <v>268</v>
      </c>
      <c r="L47" s="14" t="s">
        <v>715</v>
      </c>
      <c r="M47" s="14" t="s">
        <v>254</v>
      </c>
      <c r="N47" s="14" t="s">
        <v>401</v>
      </c>
      <c r="O47" s="14" t="s">
        <v>269</v>
      </c>
      <c r="P47" s="14" t="s">
        <v>96</v>
      </c>
      <c r="Q47" s="14" t="s">
        <v>716</v>
      </c>
      <c r="R47" s="14" t="s">
        <v>92</v>
      </c>
    </row>
    <row r="48" spans="1:18" ht="66" customHeight="1">
      <c r="A48" s="18" t="s">
        <v>270</v>
      </c>
      <c r="B48" s="14" t="s">
        <v>271</v>
      </c>
      <c r="C48" s="14" t="s">
        <v>4</v>
      </c>
      <c r="D48" s="14" t="s">
        <v>272</v>
      </c>
      <c r="E48" s="14" t="s">
        <v>717</v>
      </c>
      <c r="F48" s="14" t="s">
        <v>592</v>
      </c>
      <c r="G48" s="14" t="s">
        <v>718</v>
      </c>
      <c r="H48" s="14" t="s">
        <v>719</v>
      </c>
      <c r="I48" s="15" t="s">
        <v>16</v>
      </c>
      <c r="J48" s="14" t="s">
        <v>82</v>
      </c>
      <c r="K48" s="14" t="s">
        <v>273</v>
      </c>
      <c r="L48" s="14" t="s">
        <v>720</v>
      </c>
      <c r="M48" s="14" t="s">
        <v>401</v>
      </c>
      <c r="N48" s="14" t="s">
        <v>458</v>
      </c>
      <c r="O48" s="14" t="s">
        <v>90</v>
      </c>
      <c r="P48" s="14" t="s">
        <v>121</v>
      </c>
      <c r="Q48" s="14" t="s">
        <v>721</v>
      </c>
      <c r="R48" s="14" t="s">
        <v>274</v>
      </c>
    </row>
    <row r="49" spans="1:18" ht="66" customHeight="1">
      <c r="A49" s="18" t="s">
        <v>275</v>
      </c>
      <c r="B49" s="14" t="s">
        <v>271</v>
      </c>
      <c r="C49" s="14" t="s">
        <v>722</v>
      </c>
      <c r="D49" s="14" t="s">
        <v>276</v>
      </c>
      <c r="E49" s="14" t="s">
        <v>723</v>
      </c>
      <c r="F49" s="14" t="s">
        <v>454</v>
      </c>
      <c r="G49" s="14" t="s">
        <v>724</v>
      </c>
      <c r="H49" s="14" t="s">
        <v>725</v>
      </c>
      <c r="I49" s="15" t="s">
        <v>16</v>
      </c>
      <c r="J49" s="14" t="s">
        <v>82</v>
      </c>
      <c r="K49" s="14" t="s">
        <v>277</v>
      </c>
      <c r="L49" s="14" t="s">
        <v>726</v>
      </c>
      <c r="M49" s="14" t="s">
        <v>139</v>
      </c>
      <c r="N49" s="14" t="s">
        <v>483</v>
      </c>
      <c r="O49" s="14" t="s">
        <v>110</v>
      </c>
      <c r="P49" s="14" t="s">
        <v>91</v>
      </c>
      <c r="Q49" s="14" t="s">
        <v>727</v>
      </c>
      <c r="R49" s="14" t="s">
        <v>278</v>
      </c>
    </row>
    <row r="50" spans="1:18" ht="66" customHeight="1">
      <c r="A50" s="18" t="s">
        <v>279</v>
      </c>
      <c r="B50" s="14" t="s">
        <v>271</v>
      </c>
      <c r="C50" s="14" t="s">
        <v>728</v>
      </c>
      <c r="D50" s="14" t="s">
        <v>280</v>
      </c>
      <c r="E50" s="14" t="s">
        <v>729</v>
      </c>
      <c r="F50" s="14" t="s">
        <v>592</v>
      </c>
      <c r="G50" s="14" t="s">
        <v>730</v>
      </c>
      <c r="H50" s="14" t="s">
        <v>731</v>
      </c>
      <c r="I50" s="15" t="s">
        <v>16</v>
      </c>
      <c r="J50" s="14" t="s">
        <v>82</v>
      </c>
      <c r="K50" s="14" t="s">
        <v>281</v>
      </c>
      <c r="L50" s="14" t="s">
        <v>732</v>
      </c>
      <c r="M50" s="14" t="s">
        <v>275</v>
      </c>
      <c r="N50" s="14" t="s">
        <v>733</v>
      </c>
      <c r="O50" s="14" t="s">
        <v>110</v>
      </c>
      <c r="P50" s="14" t="s">
        <v>196</v>
      </c>
      <c r="Q50" s="14" t="s">
        <v>734</v>
      </c>
      <c r="R50" s="14" t="s">
        <v>282</v>
      </c>
    </row>
    <row r="51" spans="1:18" ht="66" customHeight="1">
      <c r="A51" s="18" t="s">
        <v>283</v>
      </c>
      <c r="B51" s="14" t="s">
        <v>271</v>
      </c>
      <c r="C51" s="14" t="s">
        <v>735</v>
      </c>
      <c r="D51" s="14" t="s">
        <v>284</v>
      </c>
      <c r="E51" s="14" t="s">
        <v>736</v>
      </c>
      <c r="F51" s="14" t="s">
        <v>440</v>
      </c>
      <c r="G51" s="14" t="s">
        <v>737</v>
      </c>
      <c r="H51" s="14" t="s">
        <v>738</v>
      </c>
      <c r="I51" s="15" t="s">
        <v>16</v>
      </c>
      <c r="J51" s="14" t="s">
        <v>82</v>
      </c>
      <c r="K51" s="14" t="s">
        <v>285</v>
      </c>
      <c r="L51" s="14" t="s">
        <v>739</v>
      </c>
      <c r="M51" s="14" t="s">
        <v>136</v>
      </c>
      <c r="N51" s="14" t="s">
        <v>616</v>
      </c>
      <c r="O51" s="14" t="s">
        <v>286</v>
      </c>
      <c r="P51" s="14" t="s">
        <v>91</v>
      </c>
      <c r="Q51" s="14" t="s">
        <v>740</v>
      </c>
      <c r="R51" s="14" t="s">
        <v>287</v>
      </c>
    </row>
    <row r="52" spans="1:18" ht="66" customHeight="1">
      <c r="A52" s="18" t="s">
        <v>288</v>
      </c>
      <c r="B52" s="14" t="s">
        <v>289</v>
      </c>
      <c r="C52" s="14" t="s">
        <v>50</v>
      </c>
      <c r="D52" s="14" t="s">
        <v>290</v>
      </c>
      <c r="E52" s="14" t="s">
        <v>741</v>
      </c>
      <c r="F52" s="14" t="s">
        <v>440</v>
      </c>
      <c r="G52" s="14" t="s">
        <v>742</v>
      </c>
      <c r="H52" s="14" t="s">
        <v>743</v>
      </c>
      <c r="I52" s="15" t="s">
        <v>16</v>
      </c>
      <c r="J52" s="14" t="s">
        <v>82</v>
      </c>
      <c r="K52" s="14" t="s">
        <v>291</v>
      </c>
      <c r="L52" s="14" t="s">
        <v>744</v>
      </c>
      <c r="M52" s="14" t="s">
        <v>106</v>
      </c>
      <c r="N52" s="14" t="s">
        <v>419</v>
      </c>
      <c r="O52" s="14" t="s">
        <v>135</v>
      </c>
      <c r="P52" s="14" t="s">
        <v>111</v>
      </c>
      <c r="Q52" s="14" t="s">
        <v>745</v>
      </c>
      <c r="R52" s="14" t="s">
        <v>292</v>
      </c>
    </row>
    <row r="53" spans="1:18" ht="66" customHeight="1">
      <c r="A53" s="18" t="s">
        <v>293</v>
      </c>
      <c r="B53" s="14" t="s">
        <v>289</v>
      </c>
      <c r="C53" s="14" t="s">
        <v>746</v>
      </c>
      <c r="D53" s="14" t="s">
        <v>294</v>
      </c>
      <c r="E53" s="14" t="s">
        <v>747</v>
      </c>
      <c r="F53" s="14" t="s">
        <v>620</v>
      </c>
      <c r="G53" s="14" t="s">
        <v>748</v>
      </c>
      <c r="H53" s="14" t="s">
        <v>749</v>
      </c>
      <c r="I53" s="15" t="s">
        <v>16</v>
      </c>
      <c r="J53" s="14" t="s">
        <v>82</v>
      </c>
      <c r="K53" s="14" t="s">
        <v>295</v>
      </c>
      <c r="L53" s="14" t="s">
        <v>750</v>
      </c>
      <c r="M53" s="14" t="s">
        <v>172</v>
      </c>
      <c r="N53" s="14" t="s">
        <v>401</v>
      </c>
      <c r="O53" s="14" t="s">
        <v>131</v>
      </c>
      <c r="P53" s="14" t="s">
        <v>91</v>
      </c>
      <c r="Q53" s="14" t="s">
        <v>751</v>
      </c>
      <c r="R53" s="14" t="s">
        <v>92</v>
      </c>
    </row>
    <row r="54" spans="1:18" ht="66" customHeight="1">
      <c r="A54" s="18" t="s">
        <v>296</v>
      </c>
      <c r="B54" s="14" t="s">
        <v>289</v>
      </c>
      <c r="C54" s="14" t="s">
        <v>54</v>
      </c>
      <c r="D54" s="14" t="s">
        <v>297</v>
      </c>
      <c r="E54" s="14" t="s">
        <v>752</v>
      </c>
      <c r="F54" s="14" t="s">
        <v>620</v>
      </c>
      <c r="G54" s="14" t="s">
        <v>753</v>
      </c>
      <c r="H54" s="14" t="s">
        <v>754</v>
      </c>
      <c r="I54" s="15" t="s">
        <v>16</v>
      </c>
      <c r="J54" s="14" t="s">
        <v>82</v>
      </c>
      <c r="K54" s="14" t="s">
        <v>298</v>
      </c>
      <c r="L54" s="14" t="s">
        <v>755</v>
      </c>
      <c r="M54" s="14" t="s">
        <v>756</v>
      </c>
      <c r="N54" s="14" t="s">
        <v>401</v>
      </c>
      <c r="O54" s="14" t="s">
        <v>131</v>
      </c>
      <c r="P54" s="14" t="s">
        <v>121</v>
      </c>
      <c r="Q54" s="14" t="s">
        <v>757</v>
      </c>
      <c r="R54" s="14" t="s">
        <v>92</v>
      </c>
    </row>
    <row r="55" spans="1:18" ht="66" customHeight="1">
      <c r="A55" s="18" t="s">
        <v>299</v>
      </c>
      <c r="B55" s="14" t="s">
        <v>289</v>
      </c>
      <c r="C55" s="14" t="s">
        <v>758</v>
      </c>
      <c r="D55" s="14" t="s">
        <v>300</v>
      </c>
      <c r="E55" s="14" t="s">
        <v>759</v>
      </c>
      <c r="F55" s="14" t="s">
        <v>620</v>
      </c>
      <c r="G55" s="14" t="s">
        <v>760</v>
      </c>
      <c r="H55" s="14" t="s">
        <v>761</v>
      </c>
      <c r="I55" s="15" t="s">
        <v>16</v>
      </c>
      <c r="J55" s="14" t="s">
        <v>82</v>
      </c>
      <c r="K55" s="14" t="s">
        <v>301</v>
      </c>
      <c r="L55" s="14" t="s">
        <v>762</v>
      </c>
      <c r="M55" s="14" t="s">
        <v>763</v>
      </c>
      <c r="N55" s="14" t="s">
        <v>401</v>
      </c>
      <c r="O55" s="14" t="s">
        <v>126</v>
      </c>
      <c r="P55" s="14" t="s">
        <v>91</v>
      </c>
      <c r="Q55" s="14" t="s">
        <v>764</v>
      </c>
      <c r="R55" s="14" t="s">
        <v>302</v>
      </c>
    </row>
    <row r="56" spans="1:18" ht="66" customHeight="1">
      <c r="A56" s="18" t="s">
        <v>303</v>
      </c>
      <c r="B56" s="14" t="s">
        <v>289</v>
      </c>
      <c r="C56" s="14" t="s">
        <v>765</v>
      </c>
      <c r="D56" s="14" t="s">
        <v>304</v>
      </c>
      <c r="E56" s="14" t="s">
        <v>766</v>
      </c>
      <c r="F56" s="14" t="s">
        <v>620</v>
      </c>
      <c r="G56" s="14" t="s">
        <v>767</v>
      </c>
      <c r="H56" s="14" t="s">
        <v>768</v>
      </c>
      <c r="I56" s="15" t="s">
        <v>16</v>
      </c>
      <c r="J56" s="14" t="s">
        <v>82</v>
      </c>
      <c r="K56" s="14" t="s">
        <v>305</v>
      </c>
      <c r="L56" s="14" t="s">
        <v>769</v>
      </c>
      <c r="M56" s="14" t="s">
        <v>770</v>
      </c>
      <c r="N56" s="14" t="s">
        <v>401</v>
      </c>
      <c r="O56" s="14" t="s">
        <v>135</v>
      </c>
      <c r="P56" s="14" t="s">
        <v>121</v>
      </c>
      <c r="Q56" s="14" t="s">
        <v>771</v>
      </c>
      <c r="R56" s="14" t="s">
        <v>92</v>
      </c>
    </row>
    <row r="57" spans="1:18" ht="66" customHeight="1">
      <c r="A57" s="18" t="s">
        <v>306</v>
      </c>
      <c r="B57" s="14" t="s">
        <v>307</v>
      </c>
      <c r="C57" s="14" t="s">
        <v>772</v>
      </c>
      <c r="D57" s="14" t="s">
        <v>308</v>
      </c>
      <c r="E57" s="14" t="s">
        <v>773</v>
      </c>
      <c r="F57" s="14" t="s">
        <v>682</v>
      </c>
      <c r="G57" s="14" t="s">
        <v>774</v>
      </c>
      <c r="H57" s="14" t="s">
        <v>775</v>
      </c>
      <c r="I57" s="15" t="s">
        <v>16</v>
      </c>
      <c r="J57" s="14" t="s">
        <v>82</v>
      </c>
      <c r="K57" s="14" t="s">
        <v>309</v>
      </c>
      <c r="L57" s="14" t="s">
        <v>776</v>
      </c>
      <c r="M57" s="14" t="s">
        <v>777</v>
      </c>
      <c r="N57" s="14" t="s">
        <v>687</v>
      </c>
      <c r="O57" s="14" t="s">
        <v>227</v>
      </c>
      <c r="P57" s="14" t="s">
        <v>96</v>
      </c>
      <c r="Q57" s="14" t="s">
        <v>778</v>
      </c>
      <c r="R57" s="14" t="s">
        <v>310</v>
      </c>
    </row>
    <row r="58" spans="1:18" ht="66" customHeight="1">
      <c r="A58" s="18" t="s">
        <v>311</v>
      </c>
      <c r="B58" s="14" t="s">
        <v>307</v>
      </c>
      <c r="C58" s="14" t="s">
        <v>779</v>
      </c>
      <c r="D58" s="14" t="s">
        <v>312</v>
      </c>
      <c r="E58" s="14" t="s">
        <v>780</v>
      </c>
      <c r="F58" s="14" t="s">
        <v>682</v>
      </c>
      <c r="G58" s="14" t="s">
        <v>781</v>
      </c>
      <c r="H58" s="14" t="s">
        <v>782</v>
      </c>
      <c r="I58" s="15" t="s">
        <v>16</v>
      </c>
      <c r="J58" s="14" t="s">
        <v>82</v>
      </c>
      <c r="K58" s="14" t="s">
        <v>313</v>
      </c>
      <c r="L58" s="14" t="s">
        <v>783</v>
      </c>
      <c r="M58" s="14" t="s">
        <v>250</v>
      </c>
      <c r="N58" s="14" t="s">
        <v>687</v>
      </c>
      <c r="O58" s="14" t="s">
        <v>314</v>
      </c>
      <c r="P58" s="14" t="s">
        <v>196</v>
      </c>
      <c r="Q58" s="14" t="s">
        <v>784</v>
      </c>
      <c r="R58" s="14" t="s">
        <v>315</v>
      </c>
    </row>
    <row r="59" spans="1:18" ht="66" customHeight="1">
      <c r="A59" s="18" t="s">
        <v>316</v>
      </c>
      <c r="B59" s="14" t="s">
        <v>307</v>
      </c>
      <c r="C59" s="14" t="s">
        <v>785</v>
      </c>
      <c r="D59" s="14" t="s">
        <v>317</v>
      </c>
      <c r="E59" s="14" t="s">
        <v>786</v>
      </c>
      <c r="F59" s="14" t="s">
        <v>682</v>
      </c>
      <c r="G59" s="14" t="s">
        <v>787</v>
      </c>
      <c r="H59" s="14" t="s">
        <v>788</v>
      </c>
      <c r="I59" s="15" t="s">
        <v>16</v>
      </c>
      <c r="J59" s="14" t="s">
        <v>318</v>
      </c>
      <c r="K59" s="14" t="s">
        <v>319</v>
      </c>
      <c r="L59" s="14" t="s">
        <v>789</v>
      </c>
      <c r="M59" s="14" t="s">
        <v>303</v>
      </c>
      <c r="N59" s="14" t="s">
        <v>687</v>
      </c>
      <c r="O59" s="14" t="s">
        <v>314</v>
      </c>
      <c r="P59" s="14" t="s">
        <v>96</v>
      </c>
      <c r="Q59" s="14" t="s">
        <v>790</v>
      </c>
      <c r="R59" s="14" t="s">
        <v>92</v>
      </c>
    </row>
    <row r="60" spans="1:18" ht="66" customHeight="1">
      <c r="A60" s="18" t="s">
        <v>320</v>
      </c>
      <c r="B60" s="14" t="s">
        <v>321</v>
      </c>
      <c r="C60" s="14" t="s">
        <v>458</v>
      </c>
      <c r="D60" s="14" t="s">
        <v>322</v>
      </c>
      <c r="E60" s="14" t="s">
        <v>791</v>
      </c>
      <c r="F60" s="14" t="s">
        <v>454</v>
      </c>
      <c r="G60" s="14" t="s">
        <v>792</v>
      </c>
      <c r="H60" s="14" t="s">
        <v>793</v>
      </c>
      <c r="I60" s="15" t="s">
        <v>16</v>
      </c>
      <c r="J60" s="14" t="s">
        <v>82</v>
      </c>
      <c r="K60" s="14" t="s">
        <v>323</v>
      </c>
      <c r="L60" s="14" t="s">
        <v>794</v>
      </c>
      <c r="M60" s="14" t="s">
        <v>702</v>
      </c>
      <c r="N60" s="14" t="s">
        <v>458</v>
      </c>
      <c r="O60" s="14" t="s">
        <v>324</v>
      </c>
      <c r="P60" s="14" t="s">
        <v>91</v>
      </c>
      <c r="Q60" s="14" t="s">
        <v>795</v>
      </c>
      <c r="R60" s="14" t="s">
        <v>325</v>
      </c>
    </row>
    <row r="61" spans="1:18" ht="66" customHeight="1">
      <c r="A61" s="18" t="s">
        <v>326</v>
      </c>
      <c r="B61" s="14" t="s">
        <v>321</v>
      </c>
      <c r="C61" s="14" t="s">
        <v>796</v>
      </c>
      <c r="D61" s="14" t="s">
        <v>327</v>
      </c>
      <c r="E61" s="14" t="s">
        <v>797</v>
      </c>
      <c r="F61" s="14" t="s">
        <v>440</v>
      </c>
      <c r="G61" s="14" t="s">
        <v>798</v>
      </c>
      <c r="H61" s="14" t="s">
        <v>799</v>
      </c>
      <c r="I61" s="15" t="s">
        <v>16</v>
      </c>
      <c r="J61" s="14" t="s">
        <v>82</v>
      </c>
      <c r="K61" s="14" t="s">
        <v>328</v>
      </c>
      <c r="L61" s="14" t="s">
        <v>800</v>
      </c>
      <c r="M61" s="14" t="s">
        <v>801</v>
      </c>
      <c r="N61" s="14" t="s">
        <v>580</v>
      </c>
      <c r="O61" s="14" t="s">
        <v>324</v>
      </c>
      <c r="P61" s="14" t="s">
        <v>91</v>
      </c>
      <c r="Q61" s="14" t="s">
        <v>802</v>
      </c>
      <c r="R61" s="14" t="s">
        <v>329</v>
      </c>
    </row>
    <row r="62" spans="1:18" ht="66" customHeight="1">
      <c r="A62" s="18" t="s">
        <v>330</v>
      </c>
      <c r="B62" s="14" t="s">
        <v>321</v>
      </c>
      <c r="C62" s="14" t="s">
        <v>483</v>
      </c>
      <c r="D62" s="14" t="s">
        <v>331</v>
      </c>
      <c r="E62" s="14" t="s">
        <v>803</v>
      </c>
      <c r="F62" s="14" t="s">
        <v>454</v>
      </c>
      <c r="G62" s="14" t="s">
        <v>804</v>
      </c>
      <c r="H62" s="14" t="s">
        <v>805</v>
      </c>
      <c r="I62" s="15" t="s">
        <v>16</v>
      </c>
      <c r="J62" s="14" t="s">
        <v>82</v>
      </c>
      <c r="K62" s="14" t="s">
        <v>332</v>
      </c>
      <c r="L62" s="14" t="s">
        <v>806</v>
      </c>
      <c r="M62" s="14" t="s">
        <v>807</v>
      </c>
      <c r="N62" s="14" t="s">
        <v>483</v>
      </c>
      <c r="O62" s="14" t="s">
        <v>324</v>
      </c>
      <c r="P62" s="14" t="s">
        <v>91</v>
      </c>
      <c r="Q62" s="14" t="s">
        <v>808</v>
      </c>
      <c r="R62" s="14" t="s">
        <v>92</v>
      </c>
    </row>
    <row r="63" spans="1:18" ht="66" customHeight="1">
      <c r="A63" s="18" t="s">
        <v>333</v>
      </c>
      <c r="B63" s="14" t="s">
        <v>321</v>
      </c>
      <c r="C63" s="14" t="s">
        <v>809</v>
      </c>
      <c r="D63" s="14" t="s">
        <v>334</v>
      </c>
      <c r="E63" s="14" t="s">
        <v>810</v>
      </c>
      <c r="F63" s="14" t="s">
        <v>592</v>
      </c>
      <c r="G63" s="14" t="s">
        <v>811</v>
      </c>
      <c r="H63" s="14" t="s">
        <v>812</v>
      </c>
      <c r="I63" s="15" t="s">
        <v>16</v>
      </c>
      <c r="J63" s="14" t="s">
        <v>82</v>
      </c>
      <c r="K63" s="14" t="s">
        <v>335</v>
      </c>
      <c r="L63" s="14" t="s">
        <v>813</v>
      </c>
      <c r="M63" s="14" t="s">
        <v>279</v>
      </c>
      <c r="N63" s="14" t="s">
        <v>733</v>
      </c>
      <c r="O63" s="14" t="s">
        <v>195</v>
      </c>
      <c r="P63" s="14" t="s">
        <v>196</v>
      </c>
      <c r="Q63" s="14" t="s">
        <v>814</v>
      </c>
      <c r="R63" s="14" t="s">
        <v>282</v>
      </c>
    </row>
    <row r="64" spans="1:18" ht="66" customHeight="1">
      <c r="A64" s="18" t="s">
        <v>336</v>
      </c>
      <c r="B64" s="14" t="s">
        <v>321</v>
      </c>
      <c r="C64" s="14" t="s">
        <v>815</v>
      </c>
      <c r="D64" s="14" t="s">
        <v>337</v>
      </c>
      <c r="E64" s="14" t="s">
        <v>816</v>
      </c>
      <c r="F64" s="14" t="s">
        <v>817</v>
      </c>
      <c r="G64" s="14" t="s">
        <v>818</v>
      </c>
      <c r="H64" s="14" t="s">
        <v>819</v>
      </c>
      <c r="I64" s="15" t="s">
        <v>16</v>
      </c>
      <c r="J64" s="14" t="s">
        <v>82</v>
      </c>
      <c r="K64" s="14" t="s">
        <v>338</v>
      </c>
      <c r="L64" s="14" t="s">
        <v>820</v>
      </c>
      <c r="M64" s="14" t="s">
        <v>306</v>
      </c>
      <c r="N64" s="14" t="s">
        <v>687</v>
      </c>
      <c r="O64" s="14" t="s">
        <v>110</v>
      </c>
      <c r="P64" s="14" t="s">
        <v>196</v>
      </c>
      <c r="Q64" s="14" t="s">
        <v>821</v>
      </c>
      <c r="R64" s="14" t="s">
        <v>339</v>
      </c>
    </row>
    <row r="65" spans="1:18" ht="66" customHeight="1">
      <c r="A65" s="18" t="s">
        <v>340</v>
      </c>
      <c r="B65" s="14" t="s">
        <v>192</v>
      </c>
      <c r="C65" s="14" t="s">
        <v>822</v>
      </c>
      <c r="D65" s="14" t="s">
        <v>341</v>
      </c>
      <c r="E65" s="14" t="s">
        <v>823</v>
      </c>
      <c r="F65" s="14" t="s">
        <v>592</v>
      </c>
      <c r="G65" s="14" t="s">
        <v>824</v>
      </c>
      <c r="H65" s="14" t="s">
        <v>825</v>
      </c>
      <c r="I65" s="16" t="s">
        <v>19</v>
      </c>
      <c r="J65" s="14" t="s">
        <v>82</v>
      </c>
      <c r="K65" s="14" t="s">
        <v>342</v>
      </c>
      <c r="L65" s="14" t="s">
        <v>826</v>
      </c>
      <c r="M65" s="14" t="s">
        <v>204</v>
      </c>
      <c r="N65" s="14" t="s">
        <v>827</v>
      </c>
      <c r="O65" s="14" t="s">
        <v>110</v>
      </c>
      <c r="P65" s="14" t="s">
        <v>196</v>
      </c>
      <c r="Q65" s="14" t="s">
        <v>828</v>
      </c>
      <c r="R65" s="14" t="s">
        <v>20</v>
      </c>
    </row>
    <row r="66" spans="1:18" ht="66" customHeight="1">
      <c r="A66" s="18" t="s">
        <v>343</v>
      </c>
      <c r="B66" s="14" t="s">
        <v>208</v>
      </c>
      <c r="C66" s="14" t="s">
        <v>829</v>
      </c>
      <c r="D66" s="14" t="s">
        <v>344</v>
      </c>
      <c r="E66" s="14" t="s">
        <v>830</v>
      </c>
      <c r="F66" s="14" t="s">
        <v>628</v>
      </c>
      <c r="G66" s="14" t="s">
        <v>831</v>
      </c>
      <c r="H66" s="14" t="s">
        <v>832</v>
      </c>
      <c r="I66" s="16" t="s">
        <v>19</v>
      </c>
      <c r="J66" s="14" t="s">
        <v>82</v>
      </c>
      <c r="K66" s="14" t="s">
        <v>345</v>
      </c>
      <c r="L66" s="14" t="s">
        <v>833</v>
      </c>
      <c r="M66" s="14" t="s">
        <v>834</v>
      </c>
      <c r="N66" s="14" t="s">
        <v>401</v>
      </c>
      <c r="O66" s="14" t="s">
        <v>218</v>
      </c>
      <c r="P66" s="14" t="s">
        <v>91</v>
      </c>
      <c r="Q66" s="14" t="s">
        <v>835</v>
      </c>
      <c r="R66" s="14" t="s">
        <v>346</v>
      </c>
    </row>
    <row r="67" spans="1:18" ht="66" customHeight="1">
      <c r="A67" s="18" t="s">
        <v>347</v>
      </c>
      <c r="B67" s="14" t="s">
        <v>255</v>
      </c>
      <c r="C67" s="14" t="s">
        <v>836</v>
      </c>
      <c r="D67" s="14" t="s">
        <v>348</v>
      </c>
      <c r="E67" s="14" t="s">
        <v>837</v>
      </c>
      <c r="F67" s="14" t="s">
        <v>620</v>
      </c>
      <c r="G67" s="14" t="s">
        <v>838</v>
      </c>
      <c r="H67" s="14" t="s">
        <v>839</v>
      </c>
      <c r="I67" s="16" t="s">
        <v>19</v>
      </c>
      <c r="J67" s="14" t="s">
        <v>318</v>
      </c>
      <c r="K67" s="14" t="s">
        <v>349</v>
      </c>
      <c r="L67" s="14" t="s">
        <v>840</v>
      </c>
      <c r="M67" s="14" t="s">
        <v>841</v>
      </c>
      <c r="N67" s="14" t="s">
        <v>401</v>
      </c>
      <c r="O67" s="14" t="s">
        <v>227</v>
      </c>
      <c r="P67" s="14" t="s">
        <v>96</v>
      </c>
      <c r="Q67" s="14" t="s">
        <v>842</v>
      </c>
      <c r="R67" s="14" t="s">
        <v>350</v>
      </c>
    </row>
    <row r="68" spans="1:18" ht="66" customHeight="1">
      <c r="A68" s="18" t="s">
        <v>351</v>
      </c>
      <c r="B68" s="14" t="s">
        <v>255</v>
      </c>
      <c r="C68" s="14" t="s">
        <v>843</v>
      </c>
      <c r="D68" s="14" t="s">
        <v>352</v>
      </c>
      <c r="E68" s="14" t="s">
        <v>844</v>
      </c>
      <c r="F68" s="14" t="s">
        <v>440</v>
      </c>
      <c r="G68" s="14" t="s">
        <v>845</v>
      </c>
      <c r="H68" s="14" t="s">
        <v>846</v>
      </c>
      <c r="I68" s="16" t="s">
        <v>19</v>
      </c>
      <c r="J68" s="14" t="s">
        <v>82</v>
      </c>
      <c r="K68" s="14" t="s">
        <v>353</v>
      </c>
      <c r="L68" s="14" t="s">
        <v>847</v>
      </c>
      <c r="M68" s="14" t="s">
        <v>848</v>
      </c>
      <c r="N68" s="14" t="s">
        <v>419</v>
      </c>
      <c r="O68" s="14" t="s">
        <v>324</v>
      </c>
      <c r="P68" s="14" t="s">
        <v>96</v>
      </c>
      <c r="Q68" s="14" t="s">
        <v>849</v>
      </c>
      <c r="R68" s="14" t="s">
        <v>354</v>
      </c>
    </row>
    <row r="69" spans="1:18" ht="66" customHeight="1">
      <c r="A69" s="18" t="s">
        <v>355</v>
      </c>
      <c r="B69" s="14" t="s">
        <v>233</v>
      </c>
      <c r="C69" s="14" t="s">
        <v>850</v>
      </c>
      <c r="D69" s="14" t="s">
        <v>356</v>
      </c>
      <c r="E69" s="14" t="s">
        <v>851</v>
      </c>
      <c r="F69" s="14" t="s">
        <v>440</v>
      </c>
      <c r="G69" s="14" t="s">
        <v>852</v>
      </c>
      <c r="H69" s="14" t="s">
        <v>853</v>
      </c>
      <c r="I69" s="17" t="s">
        <v>22</v>
      </c>
      <c r="J69" s="14" t="s">
        <v>357</v>
      </c>
      <c r="K69" s="14" t="s">
        <v>358</v>
      </c>
      <c r="L69" s="14" t="s">
        <v>854</v>
      </c>
      <c r="M69" s="14" t="s">
        <v>855</v>
      </c>
      <c r="N69" s="14" t="s">
        <v>444</v>
      </c>
      <c r="O69" s="14" t="s">
        <v>314</v>
      </c>
      <c r="P69" s="14" t="s">
        <v>359</v>
      </c>
      <c r="Q69" s="14" t="s">
        <v>856</v>
      </c>
      <c r="R69" s="14" t="s">
        <v>23</v>
      </c>
    </row>
    <row r="70" spans="1:18" ht="66" customHeight="1">
      <c r="A70" s="18" t="s">
        <v>360</v>
      </c>
      <c r="B70" s="14" t="s">
        <v>307</v>
      </c>
      <c r="C70" s="14" t="s">
        <v>857</v>
      </c>
      <c r="D70" s="14" t="s">
        <v>361</v>
      </c>
      <c r="E70" s="14" t="s">
        <v>858</v>
      </c>
      <c r="F70" s="14" t="s">
        <v>682</v>
      </c>
      <c r="G70" s="14" t="s">
        <v>859</v>
      </c>
      <c r="H70" s="14" t="s">
        <v>860</v>
      </c>
      <c r="I70" s="17" t="s">
        <v>22</v>
      </c>
      <c r="J70" s="14" t="s">
        <v>82</v>
      </c>
      <c r="K70" s="14" t="s">
        <v>362</v>
      </c>
      <c r="L70" s="14" t="s">
        <v>861</v>
      </c>
      <c r="M70" s="14" t="s">
        <v>311</v>
      </c>
      <c r="N70" s="14" t="s">
        <v>687</v>
      </c>
      <c r="O70" s="14" t="s">
        <v>116</v>
      </c>
      <c r="P70" s="14" t="s">
        <v>359</v>
      </c>
      <c r="Q70" s="14" t="s">
        <v>362</v>
      </c>
      <c r="R70" s="14" t="s">
        <v>23</v>
      </c>
    </row>
    <row r="71" spans="1:18" ht="66" customHeight="1">
      <c r="A71" s="18" t="s">
        <v>363</v>
      </c>
      <c r="B71" s="14" t="s">
        <v>321</v>
      </c>
      <c r="C71" s="14" t="s">
        <v>862</v>
      </c>
      <c r="D71" s="14" t="s">
        <v>364</v>
      </c>
      <c r="E71" s="14" t="s">
        <v>863</v>
      </c>
      <c r="F71" s="14" t="s">
        <v>546</v>
      </c>
      <c r="G71" s="14" t="s">
        <v>864</v>
      </c>
      <c r="H71" s="14" t="s">
        <v>865</v>
      </c>
      <c r="I71" s="17" t="s">
        <v>22</v>
      </c>
      <c r="J71" s="14" t="s">
        <v>82</v>
      </c>
      <c r="K71" s="14" t="s">
        <v>365</v>
      </c>
      <c r="L71" s="14" t="s">
        <v>866</v>
      </c>
      <c r="M71" s="14" t="s">
        <v>293</v>
      </c>
      <c r="N71" s="14" t="s">
        <v>862</v>
      </c>
      <c r="O71" s="14" t="s">
        <v>366</v>
      </c>
      <c r="P71" s="14" t="s">
        <v>359</v>
      </c>
      <c r="Q71" s="14" t="s">
        <v>867</v>
      </c>
      <c r="R71" s="14" t="s">
        <v>23</v>
      </c>
    </row>
    <row r="72" spans="1:18" ht="66" customHeight="1">
      <c r="A72" s="18" t="s">
        <v>367</v>
      </c>
      <c r="B72" s="14" t="s">
        <v>368</v>
      </c>
      <c r="C72" s="14" t="s">
        <v>868</v>
      </c>
      <c r="D72" s="14" t="s">
        <v>369</v>
      </c>
      <c r="E72" s="14" t="s">
        <v>869</v>
      </c>
      <c r="F72" s="14" t="s">
        <v>682</v>
      </c>
      <c r="G72" s="14" t="s">
        <v>870</v>
      </c>
      <c r="H72" s="14" t="s">
        <v>871</v>
      </c>
      <c r="I72" s="17" t="s">
        <v>22</v>
      </c>
      <c r="J72" s="14" t="s">
        <v>82</v>
      </c>
      <c r="K72" s="14" t="s">
        <v>370</v>
      </c>
      <c r="L72" s="14" t="s">
        <v>872</v>
      </c>
      <c r="M72" s="14" t="s">
        <v>873</v>
      </c>
      <c r="N72" s="14" t="s">
        <v>874</v>
      </c>
      <c r="O72" s="14" t="s">
        <v>371</v>
      </c>
      <c r="P72" s="14" t="s">
        <v>359</v>
      </c>
      <c r="Q72" s="14" t="s">
        <v>875</v>
      </c>
      <c r="R72" s="14" t="s">
        <v>23</v>
      </c>
    </row>
    <row r="73" spans="1:18" ht="66" customHeight="1">
      <c r="A73" s="18" t="s">
        <v>372</v>
      </c>
      <c r="B73" s="14" t="s">
        <v>368</v>
      </c>
      <c r="C73" s="14" t="s">
        <v>876</v>
      </c>
      <c r="D73" s="14" t="s">
        <v>373</v>
      </c>
      <c r="E73" s="14" t="s">
        <v>877</v>
      </c>
      <c r="F73" s="14" t="s">
        <v>454</v>
      </c>
      <c r="G73" s="14" t="s">
        <v>878</v>
      </c>
      <c r="H73" s="14" t="s">
        <v>879</v>
      </c>
      <c r="I73" s="17" t="s">
        <v>22</v>
      </c>
      <c r="J73" s="14" t="s">
        <v>82</v>
      </c>
      <c r="K73" s="14" t="s">
        <v>374</v>
      </c>
      <c r="L73" s="14" t="s">
        <v>880</v>
      </c>
      <c r="M73" s="14" t="s">
        <v>873</v>
      </c>
      <c r="N73" s="14" t="s">
        <v>874</v>
      </c>
      <c r="O73" s="14" t="s">
        <v>269</v>
      </c>
      <c r="P73" s="14" t="s">
        <v>359</v>
      </c>
      <c r="Q73" s="14" t="s">
        <v>881</v>
      </c>
      <c r="R73" s="14" t="s">
        <v>23</v>
      </c>
    </row>
    <row r="74" spans="1:18" ht="66" customHeight="1">
      <c r="A74" s="18" t="s">
        <v>375</v>
      </c>
      <c r="B74" s="14" t="s">
        <v>368</v>
      </c>
      <c r="C74" s="14" t="s">
        <v>882</v>
      </c>
      <c r="D74" s="14" t="s">
        <v>376</v>
      </c>
      <c r="E74" s="14" t="s">
        <v>883</v>
      </c>
      <c r="F74" s="14" t="s">
        <v>454</v>
      </c>
      <c r="G74" s="14" t="s">
        <v>884</v>
      </c>
      <c r="H74" s="14" t="s">
        <v>885</v>
      </c>
      <c r="I74" s="17" t="s">
        <v>22</v>
      </c>
      <c r="J74" s="14" t="s">
        <v>82</v>
      </c>
      <c r="K74" s="14" t="s">
        <v>377</v>
      </c>
      <c r="L74" s="14" t="s">
        <v>886</v>
      </c>
      <c r="M74" s="14" t="s">
        <v>873</v>
      </c>
      <c r="N74" s="14" t="s">
        <v>874</v>
      </c>
      <c r="O74" s="14" t="s">
        <v>269</v>
      </c>
      <c r="P74" s="14" t="s">
        <v>359</v>
      </c>
      <c r="Q74" s="14" t="s">
        <v>887</v>
      </c>
      <c r="R74" s="14" t="s">
        <v>23</v>
      </c>
    </row>
    <row r="75" spans="1:18" ht="66" customHeight="1">
      <c r="A75" s="18" t="s">
        <v>378</v>
      </c>
      <c r="B75" s="14" t="s">
        <v>368</v>
      </c>
      <c r="C75" s="14" t="s">
        <v>888</v>
      </c>
      <c r="D75" s="14" t="s">
        <v>379</v>
      </c>
      <c r="E75" s="14" t="s">
        <v>889</v>
      </c>
      <c r="F75" s="14" t="s">
        <v>454</v>
      </c>
      <c r="G75" s="14" t="s">
        <v>890</v>
      </c>
      <c r="H75" s="14" t="s">
        <v>891</v>
      </c>
      <c r="I75" s="17" t="s">
        <v>22</v>
      </c>
      <c r="J75" s="14" t="s">
        <v>82</v>
      </c>
      <c r="K75" s="14" t="s">
        <v>380</v>
      </c>
      <c r="L75" s="14" t="s">
        <v>892</v>
      </c>
      <c r="M75" s="14" t="s">
        <v>873</v>
      </c>
      <c r="N75" s="14" t="s">
        <v>874</v>
      </c>
      <c r="O75" s="14" t="s">
        <v>371</v>
      </c>
      <c r="P75" s="14" t="s">
        <v>359</v>
      </c>
      <c r="Q75" s="14" t="s">
        <v>893</v>
      </c>
      <c r="R75" s="14" t="s">
        <v>381</v>
      </c>
    </row>
    <row r="76" spans="1:18" ht="66" customHeight="1">
      <c r="A76" s="18" t="s">
        <v>382</v>
      </c>
      <c r="B76" s="14" t="s">
        <v>368</v>
      </c>
      <c r="C76" s="14" t="s">
        <v>894</v>
      </c>
      <c r="D76" s="14" t="s">
        <v>383</v>
      </c>
      <c r="E76" s="14" t="s">
        <v>895</v>
      </c>
      <c r="F76" s="14" t="s">
        <v>896</v>
      </c>
      <c r="G76" s="14" t="s">
        <v>897</v>
      </c>
      <c r="H76" s="14" t="s">
        <v>898</v>
      </c>
      <c r="I76" s="17" t="s">
        <v>22</v>
      </c>
      <c r="J76" s="14" t="s">
        <v>82</v>
      </c>
      <c r="K76" s="14" t="s">
        <v>384</v>
      </c>
      <c r="L76" s="14" t="s">
        <v>899</v>
      </c>
      <c r="M76" s="14" t="s">
        <v>873</v>
      </c>
      <c r="N76" s="14" t="s">
        <v>874</v>
      </c>
      <c r="O76" s="14" t="s">
        <v>101</v>
      </c>
      <c r="P76" s="14" t="s">
        <v>359</v>
      </c>
      <c r="Q76" s="14" t="s">
        <v>900</v>
      </c>
      <c r="R76" s="14" t="s">
        <v>23</v>
      </c>
    </row>
  </sheetData>
  <mergeCells count="1">
    <mergeCell ref="A1:R1"/>
  </mergeCells>
  <phoneticPr fontId="6" type="noConversion"/>
  <dataValidations count="2">
    <dataValidation type="list" sqref="I3:I76">
      <formula1>"필수,선택,확장"</formula1>
    </dataValidation>
    <dataValidation type="list" sqref="J3:J76">
      <formula1>"확정,가정,미확정"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showGridLines="0" zoomScale="115" zoomScaleNormal="115" workbookViewId="0">
      <selection activeCell="B27" sqref="B27"/>
    </sheetView>
  </sheetViews>
  <sheetFormatPr defaultRowHeight="14.25"/>
  <cols>
    <col min="1" max="1" width="24" customWidth="1"/>
    <col min="2" max="2" width="18" customWidth="1"/>
    <col min="3" max="3" width="88" customWidth="1"/>
    <col min="4" max="4" width="3" customWidth="1"/>
  </cols>
  <sheetData>
    <row r="1" spans="1:4">
      <c r="A1" s="26" t="s">
        <v>901</v>
      </c>
      <c r="B1" s="29"/>
      <c r="C1" s="29"/>
      <c r="D1" s="29"/>
    </row>
    <row r="2" spans="1:4">
      <c r="A2" s="8"/>
    </row>
    <row r="3" spans="1:4" ht="24" customHeight="1">
      <c r="A3" s="25" t="s">
        <v>902</v>
      </c>
      <c r="B3" s="25" t="s">
        <v>902</v>
      </c>
      <c r="C3" s="25" t="s">
        <v>902</v>
      </c>
      <c r="D3" s="25" t="s">
        <v>902</v>
      </c>
    </row>
    <row r="4" spans="1:4" ht="15">
      <c r="A4" s="19" t="s">
        <v>903</v>
      </c>
      <c r="B4" s="19" t="s">
        <v>904</v>
      </c>
      <c r="C4" s="19" t="s">
        <v>905</v>
      </c>
    </row>
    <row r="5" spans="1:4" ht="33.950000000000003" customHeight="1">
      <c r="A5" s="10" t="s">
        <v>906</v>
      </c>
      <c r="B5" s="10" t="s">
        <v>907</v>
      </c>
      <c r="C5" s="10" t="s">
        <v>908</v>
      </c>
    </row>
    <row r="6" spans="1:4" ht="33.950000000000003" customHeight="1">
      <c r="A6" s="10" t="s">
        <v>909</v>
      </c>
      <c r="B6" s="10" t="s">
        <v>907</v>
      </c>
      <c r="C6" s="10" t="s">
        <v>910</v>
      </c>
    </row>
    <row r="7" spans="1:4" ht="33.950000000000003" customHeight="1">
      <c r="A7" s="10" t="s">
        <v>911</v>
      </c>
      <c r="B7" s="10" t="s">
        <v>907</v>
      </c>
      <c r="C7" s="10" t="s">
        <v>912</v>
      </c>
    </row>
    <row r="8" spans="1:4">
      <c r="A8" s="8"/>
    </row>
    <row r="9" spans="1:4" ht="24" customHeight="1">
      <c r="A9" s="25" t="s">
        <v>913</v>
      </c>
      <c r="B9" s="25" t="s">
        <v>913</v>
      </c>
      <c r="C9" s="25" t="s">
        <v>913</v>
      </c>
      <c r="D9" s="25" t="s">
        <v>913</v>
      </c>
    </row>
    <row r="10" spans="1:4" ht="15">
      <c r="A10" s="19" t="s">
        <v>914</v>
      </c>
      <c r="B10" s="19" t="s">
        <v>915</v>
      </c>
      <c r="C10" s="19" t="s">
        <v>916</v>
      </c>
    </row>
    <row r="11" spans="1:4" ht="38.1" customHeight="1">
      <c r="A11" s="10" t="s">
        <v>4</v>
      </c>
      <c r="B11" s="10" t="s">
        <v>917</v>
      </c>
      <c r="C11" s="10" t="s">
        <v>918</v>
      </c>
    </row>
    <row r="12" spans="1:4" ht="38.1" customHeight="1">
      <c r="A12" s="10" t="s">
        <v>919</v>
      </c>
      <c r="B12" s="10" t="s">
        <v>82</v>
      </c>
      <c r="C12" s="10" t="s">
        <v>920</v>
      </c>
    </row>
    <row r="13" spans="1:4" ht="38.1" customHeight="1">
      <c r="A13" s="10" t="s">
        <v>921</v>
      </c>
      <c r="B13" s="10" t="s">
        <v>82</v>
      </c>
      <c r="C13" s="10" t="s">
        <v>922</v>
      </c>
    </row>
    <row r="14" spans="1:4" ht="38.1" customHeight="1">
      <c r="A14" s="10" t="s">
        <v>923</v>
      </c>
      <c r="B14" s="10" t="s">
        <v>82</v>
      </c>
      <c r="C14" s="10" t="s">
        <v>924</v>
      </c>
    </row>
    <row r="15" spans="1:4" ht="38.1" customHeight="1">
      <c r="A15" s="10" t="s">
        <v>925</v>
      </c>
      <c r="B15" s="10" t="s">
        <v>82</v>
      </c>
      <c r="C15" s="10" t="s">
        <v>926</v>
      </c>
    </row>
    <row r="16" spans="1:4" ht="38.1" customHeight="1">
      <c r="A16" s="10" t="s">
        <v>927</v>
      </c>
      <c r="B16" s="10" t="s">
        <v>92</v>
      </c>
      <c r="C16" s="10" t="s">
        <v>928</v>
      </c>
    </row>
    <row r="17" spans="1:4" ht="38.1" customHeight="1">
      <c r="A17" s="10" t="s">
        <v>929</v>
      </c>
      <c r="B17" s="10" t="s">
        <v>930</v>
      </c>
      <c r="C17" s="10" t="s">
        <v>931</v>
      </c>
    </row>
    <row r="18" spans="1:4" ht="38.1" customHeight="1">
      <c r="A18" s="10" t="s">
        <v>932</v>
      </c>
      <c r="B18" s="10" t="s">
        <v>933</v>
      </c>
      <c r="C18" s="10" t="s">
        <v>934</v>
      </c>
    </row>
    <row r="19" spans="1:4">
      <c r="A19" s="8"/>
    </row>
    <row r="20" spans="1:4" ht="24" customHeight="1">
      <c r="A20" s="25" t="s">
        <v>935</v>
      </c>
      <c r="B20" s="25" t="s">
        <v>935</v>
      </c>
      <c r="C20" s="25" t="s">
        <v>935</v>
      </c>
      <c r="D20" s="25" t="s">
        <v>935</v>
      </c>
    </row>
    <row r="21" spans="1:4" ht="15">
      <c r="A21" s="19" t="s">
        <v>936</v>
      </c>
      <c r="B21" s="19" t="s">
        <v>937</v>
      </c>
      <c r="C21" s="19" t="s">
        <v>938</v>
      </c>
    </row>
    <row r="22" spans="1:4" ht="42" customHeight="1">
      <c r="A22" s="10" t="s">
        <v>343</v>
      </c>
      <c r="B22" s="10" t="s">
        <v>939</v>
      </c>
      <c r="C22" s="10" t="s">
        <v>940</v>
      </c>
    </row>
    <row r="23" spans="1:4" ht="42" customHeight="1">
      <c r="A23" s="10" t="s">
        <v>347</v>
      </c>
      <c r="B23" s="10" t="s">
        <v>941</v>
      </c>
      <c r="C23" s="10" t="s">
        <v>942</v>
      </c>
    </row>
    <row r="24" spans="1:4" ht="42" customHeight="1">
      <c r="A24" s="10" t="s">
        <v>316</v>
      </c>
      <c r="B24" s="10" t="s">
        <v>943</v>
      </c>
      <c r="C24" s="10" t="s">
        <v>944</v>
      </c>
    </row>
    <row r="25" spans="1:4" ht="42" customHeight="1">
      <c r="A25" s="10" t="s">
        <v>340</v>
      </c>
      <c r="B25" s="10" t="s">
        <v>945</v>
      </c>
      <c r="C25" s="10" t="s">
        <v>946</v>
      </c>
    </row>
    <row r="26" spans="1:4" ht="42" customHeight="1">
      <c r="A26" s="10" t="s">
        <v>947</v>
      </c>
      <c r="B26" s="10" t="s">
        <v>948</v>
      </c>
      <c r="C26" s="10" t="s">
        <v>949</v>
      </c>
    </row>
    <row r="27" spans="1:4">
      <c r="A27" s="8"/>
    </row>
    <row r="28" spans="1:4" ht="24" customHeight="1">
      <c r="A28" s="25" t="s">
        <v>950</v>
      </c>
      <c r="B28" s="25" t="s">
        <v>950</v>
      </c>
      <c r="C28" s="25" t="s">
        <v>950</v>
      </c>
      <c r="D28" s="25" t="s">
        <v>950</v>
      </c>
    </row>
    <row r="29" spans="1:4" ht="15">
      <c r="A29" s="19" t="s">
        <v>951</v>
      </c>
      <c r="B29" s="19" t="s">
        <v>952</v>
      </c>
      <c r="C29" s="19" t="s">
        <v>953</v>
      </c>
    </row>
    <row r="30" spans="1:4">
      <c r="A30" s="10" t="s">
        <v>954</v>
      </c>
      <c r="B30" s="10" t="s">
        <v>955</v>
      </c>
      <c r="C30" s="10" t="s">
        <v>956</v>
      </c>
    </row>
    <row r="31" spans="1:4">
      <c r="A31" s="10" t="s">
        <v>957</v>
      </c>
      <c r="B31" s="10" t="s">
        <v>955</v>
      </c>
      <c r="C31" s="10" t="s">
        <v>958</v>
      </c>
    </row>
    <row r="32" spans="1:4">
      <c r="A32" s="10" t="s">
        <v>959</v>
      </c>
      <c r="B32" s="10" t="s">
        <v>955</v>
      </c>
      <c r="C32" s="10" t="s">
        <v>960</v>
      </c>
    </row>
    <row r="33" spans="1:3">
      <c r="A33" s="10" t="s">
        <v>961</v>
      </c>
      <c r="B33" s="10" t="s">
        <v>962</v>
      </c>
      <c r="C33" s="10" t="s">
        <v>963</v>
      </c>
    </row>
  </sheetData>
  <mergeCells count="5">
    <mergeCell ref="A1:D1"/>
    <mergeCell ref="A3:D3"/>
    <mergeCell ref="A9:D9"/>
    <mergeCell ref="A20:D20"/>
    <mergeCell ref="A28:D28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1. 검토 요약</vt:lpstr>
      <vt:lpstr>2. 요구사항 목록</vt:lpstr>
      <vt:lpstr>3. 요구사항 정의서</vt:lpstr>
      <vt:lpstr>4. 검토·결정사항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Jaehong Kim</cp:lastModifiedBy>
  <dcterms:modified xsi:type="dcterms:W3CDTF">2026-08-13T02:45:18Z</dcterms:modified>
</cp:coreProperties>
</file>