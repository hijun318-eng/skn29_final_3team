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WBS" sheetId="1" r:id="rId4"/>
    <sheet state="visible" name="산출물 일정" sheetId="2" r:id="rId5"/>
    <sheet state="visible" name="선택목록" sheetId="3" r:id="rId6"/>
    <sheet state="visible" name="기획 WBS" sheetId="4" r:id="rId7"/>
  </sheets>
  <definedNames/>
  <calcPr/>
  <extLst>
    <ext uri="GoogleSheetsCustomDataVersion2">
      <go:sheetsCustomData xmlns:go="http://customooxmlschemas.google.com/" r:id="rId8" roundtripDataChecksum="Av31vSFW20qf8NyniibtTSuPM0IaJWDm6SiYdE0/zRY="/>
    </ext>
  </extLst>
</workbook>
</file>

<file path=xl/sharedStrings.xml><?xml version="1.0" encoding="utf-8"?>
<sst xmlns="http://schemas.openxmlformats.org/spreadsheetml/2006/main" count="1032" uniqueCount="467">
  <si>
    <t>단계</t>
  </si>
  <si>
    <t>필수 산출물 21건 제출 일정 및 내부 검토 계획</t>
  </si>
  <si>
    <t>SKN 29기 3팀 · Answervice WBS</t>
  </si>
  <si>
    <t>SK Networks Family AI Camp 29기 · 3팀 — Answervice 기획 WBS</t>
  </si>
  <si>
    <t>담당자</t>
  </si>
  <si>
    <t>진행현황</t>
  </si>
  <si>
    <t>일정</t>
  </si>
  <si>
    <r>
      <rPr>
        <rFont val="돋움"/>
        <color rgb="FF595959"/>
        <sz val="10.0"/>
      </rPr>
      <t>기준일</t>
    </r>
    <r>
      <rPr>
        <rFont val="Arial"/>
        <color rgb="FF595959"/>
        <sz val="10.0"/>
      </rPr>
      <t xml:space="preserve"> 2026-08-25</t>
    </r>
  </si>
  <si>
    <t>R1</t>
  </si>
  <si>
    <t>Answervice 기획·요구사항·실행 WBS와 공식 제출 일정 기준 · 모든 일정은 평일 기준</t>
  </si>
  <si>
    <t>대기</t>
  </si>
  <si>
    <t xml:space="preserve">기준일 2026-08-25 </t>
  </si>
  <si>
    <t>기준 정렬·통합 기반</t>
  </si>
  <si>
    <t>Task ID</t>
  </si>
  <si>
    <t>R2</t>
  </si>
  <si>
    <t>진행</t>
  </si>
  <si>
    <t>데이터 플랫폼·메타데이터·연합조회</t>
  </si>
  <si>
    <t>R3</t>
  </si>
  <si>
    <t>검토</t>
  </si>
  <si>
    <t>대공정 / 세부 업무</t>
  </si>
  <si>
    <t>AI·모델·프롬프트·ModelOps</t>
  </si>
  <si>
    <t>Answervice 대화형 데이터 분석·자동 리포팅 플랫폼·자동 Report · P0 필수/P1 선택/P2 확장 · I0~I5 통합 Gate · 2026-07-10~09-03</t>
  </si>
  <si>
    <t>R4</t>
  </si>
  <si>
    <t>담당</t>
  </si>
  <si>
    <t>차단</t>
  </si>
  <si>
    <t>계약·중간발표</t>
  </si>
  <si>
    <t>상태</t>
  </si>
  <si>
    <t>R5</t>
  </si>
  <si>
    <t>예상 시작</t>
  </si>
  <si>
    <t>완료</t>
  </si>
  <si>
    <t>예상 마감</t>
  </si>
  <si>
    <t>기준일: 2026-08-25</t>
  </si>
  <si>
    <t>백엔드 Control Plane</t>
  </si>
  <si>
    <t>산출물</t>
  </si>
  <si>
    <t>실제 시작</t>
  </si>
  <si>
    <t>전원</t>
  </si>
  <si>
    <t>공식 제출일</t>
  </si>
  <si>
    <t>실제 마감</t>
  </si>
  <si>
    <t>내부 검토일(평일)</t>
  </si>
  <si>
    <t>프론트엔드·자동 리포팅</t>
  </si>
  <si>
    <t>연결 기획 WBS</t>
  </si>
  <si>
    <t>우선순위</t>
  </si>
  <si>
    <t>R1·R2</t>
  </si>
  <si>
    <t>관련 요구사항</t>
  </si>
  <si>
    <t>통합 Gate·품질·릴리스</t>
  </si>
  <si>
    <t>일정·품질 메모</t>
  </si>
  <si>
    <t>R1·R3</t>
  </si>
  <si>
    <t>1주
07/10~16</t>
  </si>
  <si>
    <t>기획</t>
  </si>
  <si>
    <t>발표·공식 산출물</t>
  </si>
  <si>
    <t>R1·R2·R3·R4·R5</t>
  </si>
  <si>
    <t>2주
07/20~24</t>
  </si>
  <si>
    <t>요구사항 정의서</t>
  </si>
  <si>
    <t>3주
07/27~31</t>
  </si>
  <si>
    <t>4주
08/03~07</t>
  </si>
  <si>
    <t>5주
08/10~14</t>
  </si>
  <si>
    <t>6주
08/18~21</t>
  </si>
  <si>
    <t>7주
08/24~28</t>
  </si>
  <si>
    <t>1.2</t>
  </si>
  <si>
    <t>8주
08/31~09/03</t>
  </si>
  <si>
    <t>1</t>
  </si>
  <si>
    <t>기준 정렬·요구사항  ·  담당 R1</t>
  </si>
  <si>
    <t>WBS ID</t>
  </si>
  <si>
    <t>작업 항목</t>
  </si>
  <si>
    <t>시작일(평일)</t>
  </si>
  <si>
    <t>마감일(평일)</t>
  </si>
  <si>
    <t>진척률</t>
  </si>
  <si>
    <t>필수·선택·확장과 수용 기준 확인</t>
  </si>
  <si>
    <t>공식 프로젝트 평일 일정 (주말·프로젝트 휴일 제외)</t>
  </si>
  <si>
    <t>WBS</t>
  </si>
  <si>
    <t>1.1</t>
  </si>
  <si>
    <t>역할·소유권·Frontend/Backend 확정</t>
  </si>
  <si>
    <t>2026-08-25 WBS 구현 완료 기준 재판정 · 미실행 검증은 검증 산출물에서 별도 관리</t>
  </si>
  <si>
    <t>프로젝트 기획서</t>
  </si>
  <si>
    <t>07/29</t>
  </si>
  <si>
    <t>07/31</t>
  </si>
  <si>
    <t>P0</t>
  </si>
  <si>
    <t>Answervice 문제·범위·구조·R&amp;R 확인</t>
  </si>
  <si>
    <t>전체</t>
  </si>
  <si>
    <t>데이터 수집 및 저장</t>
  </si>
  <si>
    <t>수집 데이터 보고서</t>
  </si>
  <si>
    <t>역할·소유권 표</t>
  </si>
  <si>
    <t>2.1</t>
  </si>
  <si>
    <t>P0 필수·P1 선택·P2 확장과 비목표 확정</t>
  </si>
  <si>
    <t>5개 Source·합성 데이터·Version 기록</t>
  </si>
  <si>
    <t>화면설계서</t>
  </si>
  <si>
    <t>6.1</t>
  </si>
  <si>
    <t>REQ-SCP-001~003</t>
  </si>
  <si>
    <t>범위표</t>
  </si>
  <si>
    <t>승인 화면 ID·상태·오류 흐름 확인</t>
  </si>
  <si>
    <t>데이터베이스/저장소 설계 문서</t>
  </si>
  <si>
    <t>1.3</t>
  </si>
  <si>
    <t>Metric·Time·Schema·API·State 계약 동결</t>
  </si>
  <si>
    <t>2.2</t>
  </si>
  <si>
    <t>R2·R4</t>
  </si>
  <si>
    <t>08/03</t>
  </si>
  <si>
    <t>Source·Trino·App DB 책임 분리</t>
  </si>
  <si>
    <t>08/07</t>
  </si>
  <si>
    <t>데이터 전처리</t>
  </si>
  <si>
    <t>데이터 전처리 결과서</t>
  </si>
  <si>
    <t>REQ-F/D/AI/RPT</t>
  </si>
  <si>
    <t>Contract Version</t>
  </si>
  <si>
    <t>2.3</t>
  </si>
  <si>
    <t>1.4</t>
  </si>
  <si>
    <t>Compose·환경변수·Secret·CI 기반 구성</t>
  </si>
  <si>
    <t>Seed·결측·중복·Reject 재현성</t>
  </si>
  <si>
    <t>발표 및 시연</t>
  </si>
  <si>
    <t>중간 발표 PT 자료</t>
  </si>
  <si>
    <t>10.1</t>
  </si>
  <si>
    <t>REQ-S/O/NFR</t>
  </si>
  <si>
    <t>통합 Profile·CI</t>
  </si>
  <si>
    <t>역할별 진행 근거와 I1 기준</t>
  </si>
  <si>
    <t>2</t>
  </si>
  <si>
    <t>모델링 및 평가</t>
  </si>
  <si>
    <t>머신러닝/딥러닝 학습결과서</t>
  </si>
  <si>
    <t>데이터 플랫폼·메타데이터·연합조회  ·  담당 R2</t>
  </si>
  <si>
    <t>3.6</t>
  </si>
  <si>
    <t>No-show·7일 수요 모델 비교·정량 지표 구조화 · 운영 Gate 차단 명시</t>
  </si>
  <si>
    <t>학습한 ML/DL 모델</t>
  </si>
  <si>
    <t>5개 Source·4개 Engine Registry·논리 모델</t>
  </si>
  <si>
    <t>ONNX/joblib·hash·I/O·fail-closed 명세 · Registry 비활성</t>
  </si>
  <si>
    <t>벡터DB/GraphDB 구축 결과서</t>
  </si>
  <si>
    <t>7.5</t>
  </si>
  <si>
    <t>2026-08-24 재측정본 · 17문서·363 chunk · OpenAI E2E 50/50 · P2 미승인</t>
  </si>
  <si>
    <t>AI 시스템 아키텍처</t>
  </si>
  <si>
    <t>CAL-01</t>
  </si>
  <si>
    <t>기능 동결</t>
  </si>
  <si>
    <t>4.3</t>
  </si>
  <si>
    <t>REQ-D-001~002</t>
  </si>
  <si>
    <t>R1·R3·R4</t>
  </si>
  <si>
    <t>P0 기능 동결 판정</t>
  </si>
  <si>
    <t>Source Registry</t>
  </si>
  <si>
    <t>제출본 반영 · 현재 readiness 미완료 · 동일 릴리스 E2E 재검증 필요</t>
  </si>
  <si>
    <t>LLM 활용 소프트웨어</t>
  </si>
  <si>
    <t>4.4</t>
  </si>
  <si>
    <t>DDL·Seed·Identity Bridge·Event Time</t>
  </si>
  <si>
    <t>R3·R4</t>
  </si>
  <si>
    <t>제출본 반영 · 전체 사용자 E2E 재검증 필요</t>
  </si>
  <si>
    <t>자체 sLLM 인공지능</t>
  </si>
  <si>
    <t>REQ-D-001~005</t>
  </si>
  <si>
    <t>제출본 반영 · P2 승인 전 운영 비활성</t>
  </si>
  <si>
    <t>DDL·Seed Manifest</t>
  </si>
  <si>
    <t>통합 및 품질</t>
  </si>
  <si>
    <t>품질·전처리·Reject·읽기 전용 계정</t>
  </si>
  <si>
    <t>멀티 에이전트 테스트 계획 및 결과 보고서</t>
  </si>
  <si>
    <t>8.1</t>
  </si>
  <si>
    <t>07/30</t>
  </si>
  <si>
    <t>전체 정적·MCP·보안 검증 미실행</t>
  </si>
  <si>
    <t>모델 배포</t>
  </si>
  <si>
    <t>시스템 구성도</t>
  </si>
  <si>
    <t>REQ-D-003~005</t>
  </si>
  <si>
    <t>품질 결과·권한 표</t>
  </si>
  <si>
    <t>5.6</t>
  </si>
  <si>
    <t>R1·R4</t>
  </si>
  <si>
    <t>동일 릴리스 구성·readiness 반영 필요</t>
  </si>
  <si>
    <t>2.4</t>
  </si>
  <si>
    <t>DataHub Ingestion·Metadata·Lineage·Adapter</t>
  </si>
  <si>
    <t>개발된 LLM 연동 웹 애플리케이션</t>
  </si>
  <si>
    <t>6.6</t>
  </si>
  <si>
    <t>08/21</t>
  </si>
  <si>
    <t>R4·R5</t>
  </si>
  <si>
    <t>REQ-D-005~007</t>
  </si>
  <si>
    <t>URN·Lineage·Adapter</t>
  </si>
  <si>
    <t>코드 존재 · 실제 사용자 E2E 미완료</t>
  </si>
  <si>
    <t>2.5</t>
  </si>
  <si>
    <t>서비스 테스트 계획 및 결과 보고서</t>
  </si>
  <si>
    <t>Trino 5개 Catalog·Type Mapping</t>
  </si>
  <si>
    <t>8.2</t>
  </si>
  <si>
    <t>REQ-D-006~008</t>
  </si>
  <si>
    <t>Catalog·Type Mapping</t>
  </si>
  <si>
    <t>전체 테스트·복구·서비스 E2E 미실행</t>
  </si>
  <si>
    <t>2.6</t>
  </si>
  <si>
    <t>승인 JOIN·3개 Source Gold SQL·Result</t>
  </si>
  <si>
    <t>최종 발표 PT 자료</t>
  </si>
  <si>
    <t>08/10</t>
  </si>
  <si>
    <t>10.2</t>
  </si>
  <si>
    <t>REQ-D-007~010</t>
  </si>
  <si>
    <t>JOIN·Result Hash</t>
  </si>
  <si>
    <t>고정 Fixture 기준</t>
  </si>
  <si>
    <t>2.7</t>
  </si>
  <si>
    <t>프로젝트 개발 소스코드</t>
  </si>
  <si>
    <t>실행 Adapter·Watermark·5번째 Source 재현</t>
  </si>
  <si>
    <t>10.3</t>
  </si>
  <si>
    <t>08/28</t>
  </si>
  <si>
    <t>Secret 제외·실행·시험 절차</t>
  </si>
  <si>
    <t>REQ-D-010~012</t>
  </si>
  <si>
    <t>Adapter·Runbook</t>
  </si>
  <si>
    <t>시연영상</t>
  </si>
  <si>
    <t>3</t>
  </si>
  <si>
    <t>AI·모델·프롬프트·ModelOps  ·  담당 R3</t>
  </si>
  <si>
    <t>10.4</t>
  </si>
  <si>
    <t>3.1</t>
  </si>
  <si>
    <t>Node I/O Schema·Fake Model Adapter</t>
  </si>
  <si>
    <t>R1·R5</t>
  </si>
  <si>
    <t>성공·차단·Partial·Report 시연</t>
  </si>
  <si>
    <t>REQ-AI-001~002</t>
  </si>
  <si>
    <t>Schema·Fake Adapter</t>
  </si>
  <si>
    <t>역할·파일 소유권 기준 정렬</t>
  </si>
  <si>
    <t>3.2</t>
  </si>
  <si>
    <t>Node 1 질문 정규화</t>
  </si>
  <si>
    <t>REQ-AI-001~003</t>
  </si>
  <si>
    <t>구조화 요청</t>
  </si>
  <si>
    <t>3.3</t>
  </si>
  <si>
    <t>Node 2 승인 Context 제한 SQL 생성</t>
  </si>
  <si>
    <t>08/17</t>
  </si>
  <si>
    <t>REQ-AI-004~006</t>
  </si>
  <si>
    <t>Trino SQL</t>
  </si>
  <si>
    <t>3.4</t>
  </si>
  <si>
    <t>Node 2′ G2 오류 기반 1회 수정</t>
  </si>
  <si>
    <t>REQ-AI-005~006</t>
  </si>
  <si>
    <t>Corrected SQL</t>
  </si>
  <si>
    <t>3.5</t>
  </si>
  <si>
    <t>Node 3 설명·Prompt Registry</t>
  </si>
  <si>
    <t>REQ-AI-007~009</t>
  </si>
  <si>
    <t>설명·Prompt Version</t>
  </si>
  <si>
    <t>평가 Runner·Base/LoRA·Serving·Release</t>
  </si>
  <si>
    <t>09/02</t>
  </si>
  <si>
    <t>REQ-AI-010~011</t>
  </si>
  <si>
    <t>Model Manifest·ML/RAG 근거</t>
  </si>
  <si>
    <t>4</t>
  </si>
  <si>
    <t>백엔드 Control Plane 기반  ·  담당 R4</t>
  </si>
  <si>
    <t>4.1</t>
  </si>
  <si>
    <t>OpenAPI·인증·Application DB</t>
  </si>
  <si>
    <t>REQ-F-001~002</t>
  </si>
  <si>
    <t>API·Migration</t>
  </si>
  <si>
    <t>4.2</t>
  </si>
  <si>
    <t>Analysis Resolver·고정 상태 머신</t>
  </si>
  <si>
    <t>REQ-F-003~005</t>
  </si>
  <si>
    <t>Resolver·State</t>
  </si>
  <si>
    <t>Context Registry·Builder·G1</t>
  </si>
  <si>
    <t>08/14</t>
  </si>
  <si>
    <t>범위표·제외 목록</t>
  </si>
  <si>
    <t>REQ-AI-001~004</t>
  </si>
  <si>
    <t>Context·G1 Evidence</t>
  </si>
  <si>
    <t>G2·1회 Repair·Trino Lifecycle·G3</t>
  </si>
  <si>
    <t>REQ-AI-005~008</t>
  </si>
  <si>
    <t>Gate·Query Evidence</t>
  </si>
  <si>
    <t>4.5</t>
  </si>
  <si>
    <t>Result·Audit·Cache·Redaction</t>
  </si>
  <si>
    <t>REQ-F/S/O</t>
  </si>
  <si>
    <t>Analysis·Trace</t>
  </si>
  <si>
    <t>5</t>
  </si>
  <si>
    <t>Analysis·Report Backend  ·  담당 R4·R5</t>
  </si>
  <si>
    <t>5.1</t>
  </si>
  <si>
    <t>Analysis Definition·Run·Result 저장</t>
  </si>
  <si>
    <t>REQ-F-008~010</t>
  </si>
  <si>
    <t>Analysis Contract</t>
  </si>
  <si>
    <t>5.2</t>
  </si>
  <si>
    <t>Report Domain·Router·Contract Test</t>
  </si>
  <si>
    <t>08/24</t>
  </si>
  <si>
    <t>REQ-RPT-001~004</t>
  </si>
  <si>
    <t>Report Contract</t>
  </si>
  <si>
    <t>5.3</t>
  </si>
  <si>
    <t>Migration Proposal·공통 Module 등록</t>
  </si>
  <si>
    <t>REQ-RPT-003~005</t>
  </si>
  <si>
    <t>Migration·Registration</t>
  </si>
  <si>
    <t>5.4</t>
  </si>
  <si>
    <t>수동 실행·History·Partial Failure</t>
  </si>
  <si>
    <t>REQ-RPT-005~010</t>
  </si>
  <si>
    <t>Report Run Trace</t>
  </si>
  <si>
    <t>5.5</t>
  </si>
  <si>
    <t>일정 Worker·Assistant</t>
  </si>
  <si>
    <t>P1</t>
  </si>
  <si>
    <t>REQ-RPT-008~009</t>
  </si>
  <si>
    <t>Worker·Assistant</t>
  </si>
  <si>
    <t>Backup·Health·Dockerfile·Release</t>
  </si>
  <si>
    <t>Runbook·Manifest</t>
  </si>
  <si>
    <t>6</t>
  </si>
  <si>
    <t>Metric·Time·Schema·API·State·Error 계약</t>
  </si>
  <si>
    <t>Frontend·사용자 흐름  ·  담당 R5</t>
  </si>
  <si>
    <t>공통 Contract Version</t>
  </si>
  <si>
    <t>IA·Routing·Design Token·Typed Client</t>
  </si>
  <si>
    <t>REQ-UI-001~003</t>
  </si>
  <si>
    <t>Route·Client</t>
  </si>
  <si>
    <t>6.2</t>
  </si>
  <si>
    <t>Chat·실행 상태·오류 UI</t>
  </si>
  <si>
    <t>REQ-UI-001~004</t>
  </si>
  <si>
    <t>Conversation UI</t>
  </si>
  <si>
    <t>6.3</t>
  </si>
  <si>
    <t>Evidence·결과 표·차트</t>
  </si>
  <si>
    <t>REQ-UI-004~006</t>
  </si>
  <si>
    <t>Result UI</t>
  </si>
  <si>
    <t>6.4</t>
  </si>
  <si>
    <t>Chat→Analysis 저장→Report 연결</t>
  </si>
  <si>
    <t>REQ-UI/RPT</t>
  </si>
  <si>
    <t>연결 동작</t>
  </si>
  <si>
    <t>6.5</t>
  </si>
  <si>
    <t>Report Editor·수동 실행·History</t>
  </si>
  <si>
    <t>REQ-RPT/UI</t>
  </si>
  <si>
    <t>Report UI</t>
  </si>
  <si>
    <t>Catalog·Audit·접근성·API·Build·E2E</t>
  </si>
  <si>
    <t>09/03</t>
  </si>
  <si>
    <t>REQ-UI-006~010</t>
  </si>
  <si>
    <t>QA·Demo Runbook</t>
  </si>
  <si>
    <t>7</t>
  </si>
  <si>
    <t>통합 Gate·Reporting  ·  담당 전원</t>
  </si>
  <si>
    <t>7.1</t>
  </si>
  <si>
    <t>I1 Contract Freeze</t>
  </si>
  <si>
    <t>전체 P0 계약</t>
  </si>
  <si>
    <t>I1 판정서</t>
  </si>
  <si>
    <t>7.2</t>
  </si>
  <si>
    <t>I2 3개 Source 결정론적 분석</t>
  </si>
  <si>
    <t>핵심 시나리오 1</t>
  </si>
  <si>
    <t>I2 Trace</t>
  </si>
  <si>
    <t>개발·통합 Compose 기본 구성</t>
  </si>
  <si>
    <t>통합 Profile</t>
  </si>
  <si>
    <t>7.3</t>
  </si>
  <si>
    <t>I3 General LLM·보안 기준선</t>
  </si>
  <si>
    <t>핵심 시나리오 2~4</t>
  </si>
  <si>
    <t>I3 판정서</t>
  </si>
  <si>
    <t>7.4</t>
  </si>
  <si>
    <t>I4 Reporting·Partial 통합</t>
  </si>
  <si>
    <t>R1·R4·R5</t>
  </si>
  <si>
    <t>REQ-RPT-001~010</t>
  </si>
  <si>
    <t>I4 Trace</t>
  </si>
  <si>
    <t>P2 ML·RAG 로컬 PoC 근거 검토·I5 이후 운영 편입</t>
  </si>
  <si>
    <t>08/13</t>
  </si>
  <si>
    <t>P2</t>
  </si>
  <si>
    <t>09·10·11 검토본·운영 미편입</t>
  </si>
  <si>
    <t>8</t>
  </si>
  <si>
    <t>평가·품질  ·  담당 R1·R2·R3</t>
  </si>
  <si>
    <t>Coverage Matrix·Gold Dataset 평가</t>
  </si>
  <si>
    <t>R1·R2·R3</t>
  </si>
  <si>
    <t>08/31</t>
  </si>
  <si>
    <t>REQ-NFR-002/005</t>
  </si>
  <si>
    <t>평가 원장</t>
  </si>
  <si>
    <t>권한·Mask·장애·복구·성능 검증</t>
  </si>
  <si>
    <t>수용 시험 증거</t>
  </si>
  <si>
    <t>9</t>
  </si>
  <si>
    <t>Release  ·  담당 전원</t>
  </si>
  <si>
    <t>9.1</t>
  </si>
  <si>
    <t>RC1 Coverage·Release 후보 판정</t>
  </si>
  <si>
    <t>RC1 판정서</t>
  </si>
  <si>
    <t>9.2</t>
  </si>
  <si>
    <t>빈 환경 기동·재적재·전체 리허설</t>
  </si>
  <si>
    <t>09/01</t>
  </si>
  <si>
    <t>REQ-O/NFR</t>
  </si>
  <si>
    <t>리허설 기록</t>
  </si>
  <si>
    <t>9.3</t>
  </si>
  <si>
    <t>RC2·I5 Code·Data·Model·Policy 동결</t>
  </si>
  <si>
    <t>1.5</t>
  </si>
  <si>
    <t>환경변수·Secret·권한 계약</t>
  </si>
  <si>
    <t>Release Manifest</t>
  </si>
  <si>
    <t>환경변수·Secret 표</t>
  </si>
  <si>
    <t>10</t>
  </si>
  <si>
    <t>발표·공식 산출물  ·  담당 전원</t>
  </si>
  <si>
    <t>중간 발표 PT·역할별 진행 근거</t>
  </si>
  <si>
    <t>08/06</t>
  </si>
  <si>
    <t>-</t>
  </si>
  <si>
    <t>중간 발표 PT</t>
  </si>
  <si>
    <t>최종 발표 PT·Story·시간 배분</t>
  </si>
  <si>
    <t>최종 발표 PT</t>
  </si>
  <si>
    <t>README·Manifest 패키징</t>
  </si>
  <si>
    <t>소스코드</t>
  </si>
  <si>
    <t>성공·차단·Partial·Report 시연 녹화</t>
  </si>
  <si>
    <t>10.5</t>
  </si>
  <si>
    <t>리허설·최종 제출·발표</t>
  </si>
  <si>
    <t>최종 발표</t>
  </si>
  <si>
    <t>1.6</t>
  </si>
  <si>
    <t>역할별 CI·품질 Gate 구성</t>
  </si>
  <si>
    <t>CI Job·실패 기준</t>
  </si>
  <si>
    <t>1.7</t>
  </si>
  <si>
    <t>I1 Contract Freeze 판정</t>
  </si>
  <si>
    <t>I1 판정서·Fixture 증거</t>
  </si>
  <si>
    <t>5개 Source·4개 Engine Registry</t>
  </si>
  <si>
    <t>논리 모델·물리 Schema·DDL·제약</t>
  </si>
  <si>
    <t>Version DDL·ERD</t>
  </si>
  <si>
    <t>결정론적 합성 Seed·Identity·Time 이력</t>
  </si>
  <si>
    <t>Seed·Scenario Manifest</t>
  </si>
  <si>
    <t>데이터 품질·전처리·Reject 관리</t>
  </si>
  <si>
    <t>품질·전처리 결과</t>
  </si>
  <si>
    <t>Source·Application 읽기 전용 계정</t>
  </si>
  <si>
    <t>계정·권한 표</t>
  </si>
  <si>
    <t>DataHub Ingestion·Owner·Domain·Lineage</t>
  </si>
  <si>
    <t>URN·Lineage Manifest</t>
  </si>
  <si>
    <t>DataHub Typed Adapter</t>
  </si>
  <si>
    <t>Search·Graph·Health Adapter</t>
  </si>
  <si>
    <t>2.8</t>
  </si>
  <si>
    <t>2.9</t>
  </si>
  <si>
    <t>JOIN Registry·Result Hash</t>
  </si>
  <si>
    <t>2.10</t>
  </si>
  <si>
    <t>Trino 실행·Watermark·5번째 Source 재현</t>
  </si>
  <si>
    <t>Node 1·2·2′·3 I/O Schema와 Fake Adapter</t>
  </si>
  <si>
    <t>Intent·Metric·Time 후보</t>
  </si>
  <si>
    <t>Trino SQL·참조 목록</t>
  </si>
  <si>
    <t>Node 3 안전한 결과 설명</t>
  </si>
  <si>
    <t>근거·조건·주의 설명</t>
  </si>
  <si>
    <t>Prompt Registry·평가 Runner</t>
  </si>
  <si>
    <t>Model Manifest·ML/RAG 검증 근거</t>
  </si>
  <si>
    <t>3.7</t>
  </si>
  <si>
    <t>Base Model·조건부 LoRA·Serving·Release 비교</t>
  </si>
  <si>
    <t>Model Release Manifest</t>
  </si>
  <si>
    <t>Frontend OpenAPI Type·Client·Mock</t>
  </si>
  <si>
    <t>Typed Client·Fixture</t>
  </si>
  <si>
    <t>Chat·Evidence·표·차트 Prototype</t>
  </si>
  <si>
    <t>중간 발표 화면</t>
  </si>
  <si>
    <t>중간 발표 자료·역할별 근거·리허설</t>
  </si>
  <si>
    <t>I2 3개 Source 결정론적 전체 왕복</t>
  </si>
  <si>
    <t>Trace·Result Hash</t>
  </si>
  <si>
    <t>OpenAPI·인증·Application DB 기반</t>
  </si>
  <si>
    <t>API Contract·Migration</t>
  </si>
  <si>
    <t>Resolver·Transition Table</t>
  </si>
  <si>
    <t>Context Registry·Builder</t>
  </si>
  <si>
    <t>Version Context Package</t>
  </si>
  <si>
    <t>G1·G2·1회 Repair 통제</t>
  </si>
  <si>
    <t>Gate Decision·Evidence</t>
  </si>
  <si>
    <t>Trino Lifecycle·Result Shaper·G3</t>
  </si>
  <si>
    <t>Query·Result Evidence</t>
  </si>
  <si>
    <t>Analysis Result·Audit·Trace 저장</t>
  </si>
  <si>
    <t>Analysis Contract·Trace</t>
  </si>
  <si>
    <t>5.7</t>
  </si>
  <si>
    <t>Version Cache·Mask·민감정보 가림</t>
  </si>
  <si>
    <t>Cache Key·보안 증거</t>
  </si>
  <si>
    <t>5.8</t>
  </si>
  <si>
    <t>Report Module 등록·선택형 Worker</t>
  </si>
  <si>
    <t>Report Runtime</t>
  </si>
  <si>
    <t>5.9</t>
  </si>
  <si>
    <t>Backup·Health·Dockerfile·Release 동결</t>
  </si>
  <si>
    <t>복구 절차·Release Manifest</t>
  </si>
  <si>
    <t>IA·Routing·Design Token</t>
  </si>
  <si>
    <t>Route·Layout</t>
  </si>
  <si>
    <t>Chat 흐름·실행 상태·오류 UI</t>
  </si>
  <si>
    <t>Conversation·State UI</t>
  </si>
  <si>
    <t>Evidence·Result UI</t>
  </si>
  <si>
    <t>Analysis·Report 연결</t>
  </si>
  <si>
    <t>Report Domain·Router·Migration Proposal</t>
  </si>
  <si>
    <t>12열 Report Editor</t>
  </si>
  <si>
    <t>편집·배치 기능</t>
  </si>
  <si>
    <t>6.7</t>
  </si>
  <si>
    <t>수동 실행·Run History</t>
  </si>
  <si>
    <t>실행·상태·이력 UI</t>
  </si>
  <si>
    <t>6.8</t>
  </si>
  <si>
    <t>Report 일정 실행·Assistant UI</t>
  </si>
  <si>
    <t>일정·Assistant 계약</t>
  </si>
  <si>
    <t>6.9</t>
  </si>
  <si>
    <t>Data Catalog·Connection UI</t>
  </si>
  <si>
    <t>Source·Asset UI</t>
  </si>
  <si>
    <t>6.10</t>
  </si>
  <si>
    <t>기본 Trace·선택형 고급 Audit UI</t>
  </si>
  <si>
    <t>Request Trace UI</t>
  </si>
  <si>
    <t>6.11</t>
  </si>
  <si>
    <t>접근성·실제 API·Build·Demo Route</t>
  </si>
  <si>
    <t>QA·E2E·Demo Runbook</t>
  </si>
  <si>
    <t>Coverage Matrix·Gold Dataset 원장</t>
  </si>
  <si>
    <t>I2 결정론적 분석 통합·판정</t>
  </si>
  <si>
    <t>I2 판정서</t>
  </si>
  <si>
    <t>Report 왕복 Trace</t>
  </si>
  <si>
    <t>P2 ML·RAG 로컬 PoC 근거 검토 (운영 미편입)</t>
  </si>
  <si>
    <t>09·10·11 검토본·근거표</t>
  </si>
  <si>
    <t>7.6</t>
  </si>
  <si>
    <t>7.7</t>
  </si>
  <si>
    <t>RC2·I5 최종 동결</t>
  </si>
  <si>
    <t>7.8</t>
  </si>
  <si>
    <t>P2 MCP·문서 RAG·ML Tool·외부 Report 운영 편입</t>
  </si>
  <si>
    <t>I5 이후 승인 실행 묶음</t>
  </si>
  <si>
    <t>최종 발표 Story·PT·시간 배분</t>
  </si>
  <si>
    <t>역할별 근거·Q&amp;A 정리</t>
  </si>
  <si>
    <t>발표 근거 묶음</t>
  </si>
  <si>
    <t>8.3</t>
  </si>
  <si>
    <t>README·Version Manifest 패키징</t>
  </si>
  <si>
    <t>프로젝트 소스코드</t>
  </si>
  <si>
    <t>8.4</t>
  </si>
  <si>
    <t>성공·차단·Partial·Report 시연 녹화·리허설</t>
  </si>
  <si>
    <t>시연영상·리허설 기록</t>
  </si>
  <si>
    <t>8.5</t>
  </si>
  <si>
    <t>승인 환경 최종 발표·질의응답</t>
  </si>
  <si>
    <t>최종 발표 결과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</si>
</sst>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yyyy\-mm\-dd"/>
    <numFmt numFmtId="165" formatCode="m/d"/>
  </numFmts>
  <fonts count="36">
    <font>
      <sz val="10.0"/>
      <color rgb="FF000000"/>
      <name val="Calibri"/>
      <scheme val="minor"/>
    </font>
    <font>
      <b/>
      <sz val="11.0"/>
      <color rgb="FFFFFFFF"/>
      <name val="Noto Sans"/>
    </font>
    <font>
      <b/>
      <sz val="18.0"/>
      <color rgb="FFFFFFFF"/>
      <name val="Noto Sans"/>
    </font>
    <font>
      <b/>
      <sz val="10.0"/>
      <color rgb="FF1F3864"/>
      <name val="Arial"/>
    </font>
    <font>
      <b/>
      <sz val="20.0"/>
      <color rgb="FF111111"/>
      <name val="Calibri"/>
    </font>
    <font/>
    <font>
      <sz val="11.0"/>
      <color theme="1"/>
      <name val="Noto Sans"/>
    </font>
    <font>
      <sz val="10.0"/>
      <color rgb="FF595959"/>
      <name val="Arial"/>
    </font>
    <font>
      <sz val="11.0"/>
      <color theme="1"/>
      <name val="Calibri"/>
    </font>
    <font>
      <i/>
      <sz val="9.0"/>
      <color rgb="FF666666"/>
      <name val="Noto Sans"/>
    </font>
    <font>
      <b/>
      <sz val="10.0"/>
      <color rgb="FF7030A0"/>
      <name val="Noto Sans"/>
    </font>
    <font>
      <b/>
      <sz val="10.0"/>
      <color rgb="FFFFFFFF"/>
      <name val="Arial"/>
    </font>
    <font>
      <sz val="10.0"/>
      <color theme="1"/>
      <name val="Arial"/>
    </font>
    <font>
      <b/>
      <sz val="11.0"/>
      <color rgb="FF333333"/>
      <name val="Noto Sans"/>
    </font>
    <font>
      <b/>
      <sz val="11.0"/>
      <color rgb="FF1F1F1F"/>
      <name val="Noto Sans"/>
    </font>
    <font>
      <b/>
      <sz val="9.0"/>
      <color rgb="FF7030A0"/>
      <name val="Noto Sans"/>
    </font>
    <font>
      <sz val="10.0"/>
      <color rgb="FF333333"/>
      <name val="Noto Sans"/>
    </font>
    <font>
      <b/>
      <sz val="10.0"/>
      <color rgb="FFC00000"/>
      <name val="Calibri"/>
    </font>
    <font>
      <sz val="10.0"/>
      <color rgb="FF333333"/>
      <name val="Calibri"/>
    </font>
    <font>
      <b/>
      <sz val="9.0"/>
      <color rgb="FF222222"/>
      <name val="Noto Sans"/>
    </font>
    <font>
      <b/>
      <sz val="9.0"/>
      <color rgb="FF222222"/>
      <name val="Calibri"/>
    </font>
    <font>
      <sz val="10.0"/>
      <color rgb="FF000000"/>
      <name val="Arial"/>
    </font>
    <font>
      <b/>
      <sz val="10.0"/>
      <color rgb="FF808080"/>
      <name val="Arial"/>
    </font>
    <font>
      <sz val="10.0"/>
      <color rgb="FF808080"/>
      <name val="Arial"/>
    </font>
    <font>
      <b/>
      <sz val="10.0"/>
      <color rgb="FFC00000"/>
      <name val="Arial"/>
    </font>
    <font>
      <b/>
      <sz val="9.0"/>
      <color rgb="FFC00000"/>
      <name val="Calibri"/>
    </font>
    <font>
      <b/>
      <sz val="10.0"/>
      <color rgb="FFC0397F"/>
      <name val="Arial"/>
    </font>
    <font>
      <b/>
      <sz val="10.0"/>
      <color rgb="FF7030A0"/>
      <name val="Arial"/>
    </font>
    <font>
      <b/>
      <sz val="10.0"/>
      <color rgb="FFBF8F00"/>
      <name val="Arial"/>
    </font>
    <font>
      <b/>
      <sz val="9.0"/>
      <color rgb="FF7030A0"/>
      <name val="Calibri"/>
    </font>
    <font>
      <b/>
      <sz val="10.0"/>
      <color rgb="FF2E8B7B"/>
      <name val="Arial"/>
    </font>
    <font>
      <sz val="9.0"/>
      <color rgb="FF333333"/>
      <name val="Noto Sans"/>
    </font>
    <font>
      <sz val="9.0"/>
      <color rgb="FF333333"/>
      <name val="Calibri"/>
    </font>
    <font>
      <b/>
      <sz val="10.0"/>
      <color rgb="FFC55A11"/>
      <name val="Arial"/>
    </font>
    <font>
      <b/>
      <sz val="10.0"/>
      <color rgb="FF2E75B6"/>
      <name val="Arial"/>
    </font>
    <font>
      <b/>
      <sz val="10.0"/>
      <color rgb="FF7F7F7F"/>
      <name val="Arial"/>
    </font>
  </fonts>
  <fills count="31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EAC7C7"/>
        <bgColor rgb="FFEAC7C7"/>
      </patternFill>
    </fill>
    <fill>
      <patternFill patternType="solid">
        <fgColor rgb="FFF3EAF7"/>
        <bgColor rgb="FFF3EAF7"/>
      </patternFill>
    </fill>
    <fill>
      <patternFill patternType="solid">
        <fgColor rgb="FF2E5496"/>
        <bgColor rgb="FF2E5496"/>
      </patternFill>
    </fill>
    <fill>
      <patternFill patternType="solid">
        <fgColor rgb="FFD9EAF7"/>
        <bgColor rgb="FFD9EAF7"/>
      </patternFill>
    </fill>
    <fill>
      <patternFill patternType="solid">
        <fgColor rgb="FF1F3864"/>
        <bgColor rgb="FF1F3864"/>
      </patternFill>
    </fill>
    <fill>
      <patternFill patternType="solid">
        <fgColor rgb="FFFCE8E6"/>
        <bgColor rgb="FFFCE8E6"/>
      </patternFill>
    </fill>
    <fill>
      <patternFill patternType="solid">
        <fgColor rgb="FFFFF2CC"/>
        <bgColor rgb="FFFFF2CC"/>
      </patternFill>
    </fill>
    <fill>
      <patternFill patternType="solid">
        <fgColor rgb="FFE7E6E6"/>
        <bgColor rgb="FFE7E6E6"/>
      </patternFill>
    </fill>
    <fill>
      <patternFill patternType="solid">
        <fgColor rgb="FF808080"/>
        <bgColor rgb="FF808080"/>
      </patternFill>
    </fill>
    <fill>
      <patternFill patternType="solid">
        <fgColor rgb="FFF4CCCC"/>
        <bgColor rgb="FFF4CCCC"/>
      </patternFill>
    </fill>
    <fill>
      <patternFill patternType="solid">
        <fgColor rgb="FFF5D9E7"/>
        <bgColor rgb="FFF5D9E7"/>
      </patternFill>
    </fill>
    <fill>
      <patternFill patternType="solid">
        <fgColor rgb="FFE9DEF3"/>
        <bgColor rgb="FFE9DEF3"/>
      </patternFill>
    </fill>
    <fill>
      <patternFill patternType="solid">
        <fgColor rgb="FF7030A0"/>
        <bgColor rgb="FF7030A0"/>
      </patternFill>
    </fill>
    <fill>
      <patternFill patternType="solid">
        <fgColor rgb="FFD9D2E9"/>
        <bgColor rgb="FFD9D2E9"/>
      </patternFill>
    </fill>
    <fill>
      <patternFill patternType="solid">
        <fgColor rgb="FFDDEFEA"/>
        <bgColor rgb="FFDDEFEA"/>
      </patternFill>
    </fill>
    <fill>
      <patternFill patternType="solid">
        <fgColor rgb="FFD8EFE9"/>
        <bgColor rgb="FFD8EFE9"/>
      </patternFill>
    </fill>
    <fill>
      <patternFill patternType="solid">
        <fgColor rgb="FF2F8F83"/>
        <bgColor rgb="FF2F8F83"/>
      </patternFill>
    </fill>
    <fill>
      <patternFill patternType="solid">
        <fgColor rgb="FFFCE4D6"/>
        <bgColor rgb="FFFCE4D6"/>
      </patternFill>
    </fill>
    <fill>
      <patternFill patternType="solid">
        <fgColor rgb="FFFBE4D5"/>
        <bgColor rgb="FFFBE4D5"/>
      </patternFill>
    </fill>
    <fill>
      <patternFill patternType="solid">
        <fgColor rgb="FFC55A11"/>
        <bgColor rgb="FFC55A11"/>
      </patternFill>
    </fill>
    <fill>
      <patternFill patternType="solid">
        <fgColor rgb="FFE4DFEC"/>
        <bgColor rgb="FFE4DFEC"/>
      </patternFill>
    </fill>
    <fill>
      <patternFill patternType="solid">
        <fgColor rgb="FFDDEBF7"/>
        <bgColor rgb="FFDDEBF7"/>
      </patternFill>
    </fill>
    <fill>
      <patternFill patternType="solid">
        <fgColor rgb="FF2E75B6"/>
        <bgColor rgb="FF2E75B6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CFE2F3"/>
        <bgColor rgb="FFCFE2F3"/>
      </patternFill>
    </fill>
    <fill>
      <patternFill patternType="solid">
        <fgColor rgb="FFD0E0E3"/>
        <bgColor rgb="FFD0E0E3"/>
      </patternFill>
    </fill>
    <fill>
      <patternFill patternType="solid">
        <fgColor rgb="FFEAD1DC"/>
        <bgColor rgb="FFEAD1DC"/>
      </patternFill>
    </fill>
  </fills>
  <borders count="17">
    <border/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</border>
    <border>
      <left/>
      <top/>
      <bottom/>
    </border>
    <border>
      <top/>
      <bottom/>
    </border>
    <border>
      <right/>
      <top/>
      <bottom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</border>
    <border>
      <left style="thin">
        <color rgb="FFBFBFBF"/>
      </left>
      <top style="thin">
        <color rgb="FFBFBFBF"/>
      </top>
      <bottom style="thin">
        <color rgb="FFBFBFBF"/>
      </bottom>
    </border>
    <border>
      <top style="thin">
        <color rgb="FFBFBFBF"/>
      </top>
      <bottom style="thin">
        <color rgb="FFBFBFBF"/>
      </bottom>
    </border>
    <border>
      <right style="thin">
        <color rgb="FFBFBFBF"/>
      </right>
      <top style="thin">
        <color rgb="FFBFBFBF"/>
      </top>
      <bottom style="thin">
        <color rgb="FFBFBFBF"/>
      </bottom>
    </border>
    <border>
      <left/>
      <right/>
      <top/>
      <bottom/>
    </border>
    <border>
      <left style="thin">
        <color rgb="FFB7B7B7"/>
      </left>
      <top style="thin">
        <color rgb="FFB7B7B7"/>
      </top>
      <bottom style="thin">
        <color rgb="FFB7B7B7"/>
      </bottom>
    </border>
    <border>
      <top style="thin">
        <color rgb="FFB7B7B7"/>
      </top>
      <bottom style="thin">
        <color rgb="FFB7B7B7"/>
      </bottom>
    </border>
    <border>
      <right style="thin">
        <color rgb="FFB7B7B7"/>
      </right>
      <top style="thin">
        <color rgb="FFB7B7B7"/>
      </top>
      <bottom style="thin">
        <color rgb="FFB7B7B7"/>
      </bottom>
    </border>
    <border>
      <left style="thin">
        <color rgb="FFD9D9D9"/>
      </left>
      <right style="thin">
        <color rgb="FFD9D9D9"/>
      </right>
      <top style="thin">
        <color rgb="FFD9D9D9"/>
      </top>
    </border>
    <border>
      <left style="thin">
        <color rgb="FFD9D9D9"/>
      </left>
      <right style="thin">
        <color rgb="FFD9D9D9"/>
      </right>
      <top style="thin">
        <color rgb="FFD9D9D9"/>
      </top>
      <bottom/>
    </border>
  </borders>
  <cellStyleXfs count="1">
    <xf borderId="0" fillId="0" fontId="0" numFmtId="0" applyAlignment="1" applyFont="1"/>
  </cellStyleXfs>
  <cellXfs count="81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/>
    </xf>
    <xf borderId="2" fillId="2" fontId="2" numFmtId="0" xfId="0" applyAlignment="1" applyBorder="1" applyFill="1" applyFont="1">
      <alignment horizontal="center"/>
    </xf>
    <xf borderId="0" fillId="0" fontId="3" numFmtId="0" xfId="0" applyAlignment="1" applyFont="1">
      <alignment horizontal="left" shrinkToFit="0" wrapText="1"/>
    </xf>
    <xf borderId="2" fillId="3" fontId="4" numFmtId="0" xfId="0" applyAlignment="1" applyBorder="1" applyFill="1" applyFont="1">
      <alignment horizontal="center" vertical="center"/>
    </xf>
    <xf borderId="3" fillId="0" fontId="5" numFmtId="0" xfId="0" applyBorder="1" applyFont="1"/>
    <xf borderId="1" fillId="0" fontId="6" numFmtId="0" xfId="0" applyBorder="1" applyFont="1"/>
    <xf borderId="4" fillId="0" fontId="5" numFmtId="0" xfId="0" applyBorder="1" applyFont="1"/>
    <xf borderId="0" fillId="0" fontId="7" numFmtId="0" xfId="0" applyAlignment="1" applyFont="1">
      <alignment horizontal="left" shrinkToFit="0" wrapText="1"/>
    </xf>
    <xf borderId="1" fillId="0" fontId="8" numFmtId="0" xfId="0" applyBorder="1" applyFont="1"/>
    <xf borderId="0" fillId="0" fontId="9" numFmtId="0" xfId="0" applyAlignment="1" applyFont="1">
      <alignment horizontal="center"/>
    </xf>
    <xf borderId="2" fillId="4" fontId="10" numFmtId="0" xfId="0" applyAlignment="1" applyBorder="1" applyFill="1" applyFont="1">
      <alignment horizontal="center"/>
    </xf>
    <xf borderId="5" fillId="5" fontId="11" numFmtId="0" xfId="0" applyAlignment="1" applyBorder="1" applyFill="1" applyFont="1">
      <alignment horizontal="center" shrinkToFit="0" wrapText="1"/>
    </xf>
    <xf borderId="0" fillId="0" fontId="12" numFmtId="0" xfId="0" applyFont="1"/>
    <xf borderId="0" fillId="0" fontId="13" numFmtId="0" xfId="0" applyAlignment="1" applyFont="1">
      <alignment horizontal="center"/>
    </xf>
    <xf borderId="6" fillId="6" fontId="14" numFmtId="0" xfId="0" applyAlignment="1" applyBorder="1" applyFill="1" applyFont="1">
      <alignment horizontal="center" shrinkToFit="0" wrapText="1"/>
    </xf>
    <xf borderId="2" fillId="4" fontId="15" numFmtId="0" xfId="0" applyAlignment="1" applyBorder="1" applyFill="1" applyFont="1">
      <alignment horizontal="center"/>
    </xf>
    <xf borderId="5" fillId="7" fontId="11" numFmtId="0" xfId="0" applyAlignment="1" applyBorder="1" applyFill="1" applyFont="1">
      <alignment horizontal="center" shrinkToFit="0" wrapText="1"/>
    </xf>
    <xf borderId="1" fillId="0" fontId="16" numFmtId="0" xfId="0" applyAlignment="1" applyBorder="1" applyFont="1">
      <alignment vertical="center"/>
    </xf>
    <xf borderId="1" fillId="0" fontId="16" numFmtId="0" xfId="0" applyAlignment="1" applyBorder="1" applyFont="1">
      <alignment shrinkToFit="0" vertical="center" wrapText="1"/>
    </xf>
    <xf borderId="1" fillId="8" fontId="17" numFmtId="164" xfId="0" applyAlignment="1" applyBorder="1" applyFill="1" applyFont="1" applyNumberFormat="1">
      <alignment horizontal="center" vertical="center"/>
    </xf>
    <xf borderId="1" fillId="0" fontId="18" numFmtId="164" xfId="0" applyAlignment="1" applyBorder="1" applyFont="1" applyNumberFormat="1">
      <alignment horizontal="center" vertical="center"/>
    </xf>
    <xf borderId="1" fillId="0" fontId="18" numFmtId="0" xfId="0" applyAlignment="1" applyBorder="1" applyFont="1">
      <alignment horizontal="center" vertical="center"/>
    </xf>
    <xf borderId="7" fillId="9" fontId="19" numFmtId="0" xfId="0" applyAlignment="1" applyBorder="1" applyFill="1" applyFont="1">
      <alignment horizontal="center" shrinkToFit="0" vertical="center" wrapText="1"/>
    </xf>
    <xf borderId="7" fillId="9" fontId="20" numFmtId="0" xfId="0" applyAlignment="1" applyBorder="1" applyFill="1" applyFont="1">
      <alignment horizontal="center" shrinkToFit="0" vertical="center" wrapText="1"/>
    </xf>
    <xf borderId="8" fillId="7" fontId="11" numFmtId="0" xfId="0" applyAlignment="1" applyBorder="1" applyFill="1" applyFont="1">
      <alignment horizontal="left" shrinkToFit="0" wrapText="1"/>
    </xf>
    <xf borderId="9" fillId="0" fontId="5" numFmtId="0" xfId="0" applyBorder="1" applyFont="1"/>
    <xf borderId="10" fillId="0" fontId="5" numFmtId="0" xfId="0" applyBorder="1" applyFont="1"/>
    <xf borderId="1" fillId="0" fontId="16" numFmtId="0" xfId="0" applyAlignment="1" applyBorder="1" applyFont="1">
      <alignment horizontal="center" vertical="center"/>
    </xf>
    <xf borderId="11" fillId="10" fontId="12" numFmtId="0" xfId="0" applyBorder="1" applyFill="1" applyFont="1"/>
    <xf borderId="1" fillId="0" fontId="18" numFmtId="0" xfId="0" applyAlignment="1" applyBorder="1" applyFont="1">
      <alignment shrinkToFit="0" vertical="center" wrapText="1"/>
    </xf>
    <xf borderId="12" fillId="9" fontId="19" numFmtId="0" xfId="0" applyAlignment="1" applyBorder="1" applyFill="1" applyFont="1">
      <alignment horizontal="center" shrinkToFit="0" vertical="center" wrapText="1"/>
    </xf>
    <xf borderId="5" fillId="0" fontId="21" numFmtId="0" xfId="0" applyAlignment="1" applyBorder="1" applyFont="1">
      <alignment horizontal="center" shrinkToFit="0" wrapText="1"/>
    </xf>
    <xf borderId="5" fillId="0" fontId="21" numFmtId="0" xfId="0" applyAlignment="1" applyBorder="1" applyFont="1">
      <alignment horizontal="left" shrinkToFit="0" wrapText="1"/>
    </xf>
    <xf borderId="13" fillId="0" fontId="5" numFmtId="0" xfId="0" applyBorder="1" applyFont="1"/>
    <xf borderId="5" fillId="10" fontId="22" numFmtId="0" xfId="0" applyAlignment="1" applyBorder="1" applyFill="1" applyFont="1">
      <alignment horizontal="center" shrinkToFit="0" wrapText="1"/>
    </xf>
    <xf borderId="5" fillId="0" fontId="23" numFmtId="0" xfId="0" applyAlignment="1" applyBorder="1" applyFont="1">
      <alignment horizontal="center" shrinkToFit="0" wrapText="1"/>
    </xf>
    <xf borderId="5" fillId="0" fontId="24" numFmtId="0" xfId="0" applyAlignment="1" applyBorder="1" applyFont="1">
      <alignment horizontal="center" shrinkToFit="0" wrapText="1"/>
    </xf>
    <xf borderId="14" fillId="0" fontId="5" numFmtId="0" xfId="0" applyBorder="1" applyFont="1"/>
    <xf borderId="11" fillId="11" fontId="12" numFmtId="0" xfId="0" applyBorder="1" applyFill="1" applyFont="1"/>
    <xf borderId="7" fillId="9" fontId="20" numFmtId="165" xfId="0" applyAlignment="1" applyBorder="1" applyFill="1" applyFont="1" applyNumberFormat="1">
      <alignment horizontal="center" shrinkToFit="0" vertical="center" wrapText="1"/>
    </xf>
    <xf borderId="7" fillId="12" fontId="25" numFmtId="165" xfId="0" applyAlignment="1" applyBorder="1" applyFill="1" applyFont="1" applyNumberFormat="1">
      <alignment horizontal="center" shrinkToFit="0" vertical="center" wrapText="1"/>
    </xf>
    <xf borderId="5" fillId="13" fontId="26" numFmtId="0" xfId="0" applyAlignment="1" applyBorder="1" applyFill="1" applyFont="1">
      <alignment horizontal="center" shrinkToFit="0" wrapText="1"/>
    </xf>
    <xf borderId="5" fillId="14" fontId="27" numFmtId="0" xfId="0" applyAlignment="1" applyBorder="1" applyFill="1" applyFont="1">
      <alignment horizontal="center" shrinkToFit="0" wrapText="1"/>
    </xf>
    <xf borderId="5" fillId="0" fontId="28" numFmtId="0" xfId="0" applyAlignment="1" applyBorder="1" applyFont="1">
      <alignment horizontal="center" shrinkToFit="0" wrapText="1"/>
    </xf>
    <xf borderId="11" fillId="15" fontId="12" numFmtId="0" xfId="0" applyBorder="1" applyFill="1" applyFont="1"/>
    <xf borderId="7" fillId="16" fontId="29" numFmtId="165" xfId="0" applyAlignment="1" applyBorder="1" applyFill="1" applyFont="1" applyNumberFormat="1">
      <alignment horizontal="center" shrinkToFit="0" vertical="center" wrapText="1"/>
    </xf>
    <xf borderId="11" fillId="17" fontId="12" numFmtId="0" xfId="0" applyBorder="1" applyFill="1" applyFont="1"/>
    <xf borderId="5" fillId="18" fontId="30" numFmtId="0" xfId="0" applyAlignment="1" applyBorder="1" applyFill="1" applyFont="1">
      <alignment horizontal="center" shrinkToFit="0" wrapText="1"/>
    </xf>
    <xf borderId="1" fillId="16" fontId="31" numFmtId="0" xfId="0" applyAlignment="1" applyBorder="1" applyFill="1" applyFont="1">
      <alignment horizontal="center" vertical="center"/>
    </xf>
    <xf borderId="1" fillId="0" fontId="32" numFmtId="0" xfId="0" applyAlignment="1" applyBorder="1" applyFont="1">
      <alignment horizontal="center" vertical="center"/>
    </xf>
    <xf borderId="1" fillId="0" fontId="32" numFmtId="0" xfId="0" applyAlignment="1" applyBorder="1" applyFont="1">
      <alignment shrinkToFit="0" vertical="center" wrapText="1"/>
    </xf>
    <xf borderId="1" fillId="0" fontId="31" numFmtId="0" xfId="0" applyAlignment="1" applyBorder="1" applyFont="1">
      <alignment shrinkToFit="0" vertical="center" wrapText="1"/>
    </xf>
    <xf borderId="11" fillId="19" fontId="12" numFmtId="0" xfId="0" applyBorder="1" applyFill="1" applyFont="1"/>
    <xf borderId="1" fillId="0" fontId="31" numFmtId="0" xfId="0" applyAlignment="1" applyBorder="1" applyFont="1">
      <alignment horizontal="center" readingOrder="0" vertical="center"/>
    </xf>
    <xf borderId="1" fillId="0" fontId="32" numFmtId="165" xfId="0" applyAlignment="1" applyBorder="1" applyFont="1" applyNumberFormat="1">
      <alignment horizontal="center" vertical="center"/>
    </xf>
    <xf borderId="1" fillId="0" fontId="32" numFmtId="9" xfId="0" applyAlignment="1" applyBorder="1" applyFont="1" applyNumberFormat="1">
      <alignment horizontal="center" vertical="center"/>
    </xf>
    <xf borderId="1" fillId="0" fontId="32" numFmtId="0" xfId="0" applyAlignment="1" applyBorder="1" applyFont="1">
      <alignment vertical="center"/>
    </xf>
    <xf borderId="15" fillId="0" fontId="16" numFmtId="0" xfId="0" applyAlignment="1" applyBorder="1" applyFont="1">
      <alignment vertical="center"/>
    </xf>
    <xf borderId="15" fillId="0" fontId="16" numFmtId="0" xfId="0" applyAlignment="1" applyBorder="1" applyFont="1">
      <alignment shrinkToFit="0" vertical="center" wrapText="1"/>
    </xf>
    <xf borderId="16" fillId="8" fontId="17" numFmtId="164" xfId="0" applyAlignment="1" applyBorder="1" applyFill="1" applyFont="1" applyNumberFormat="1">
      <alignment horizontal="center" vertical="center"/>
    </xf>
    <xf borderId="15" fillId="0" fontId="18" numFmtId="164" xfId="0" applyAlignment="1" applyBorder="1" applyFont="1" applyNumberFormat="1">
      <alignment horizontal="center" vertical="center"/>
    </xf>
    <xf borderId="11" fillId="20" fontId="12" numFmtId="0" xfId="0" applyBorder="1" applyFill="1" applyFont="1"/>
    <xf borderId="15" fillId="0" fontId="18" numFmtId="0" xfId="0" applyAlignment="1" applyBorder="1" applyFont="1">
      <alignment horizontal="center" vertical="center"/>
    </xf>
    <xf borderId="5" fillId="21" fontId="33" numFmtId="0" xfId="0" applyAlignment="1" applyBorder="1" applyFill="1" applyFont="1">
      <alignment horizontal="center" shrinkToFit="0" wrapText="1"/>
    </xf>
    <xf borderId="15" fillId="0" fontId="18" numFmtId="0" xfId="0" applyAlignment="1" applyBorder="1" applyFont="1">
      <alignment shrinkToFit="0" vertical="center" wrapText="1"/>
    </xf>
    <xf borderId="1" fillId="12" fontId="31" numFmtId="0" xfId="0" applyAlignment="1" applyBorder="1" applyFill="1" applyFont="1">
      <alignment horizontal="center" vertical="center"/>
    </xf>
    <xf borderId="11" fillId="22" fontId="12" numFmtId="0" xfId="0" applyBorder="1" applyFill="1" applyFont="1"/>
    <xf borderId="1" fillId="0" fontId="31" numFmtId="0" xfId="0" applyAlignment="1" applyBorder="1" applyFont="1">
      <alignment horizontal="center" vertical="center"/>
    </xf>
    <xf borderId="11" fillId="23" fontId="12" numFmtId="0" xfId="0" applyBorder="1" applyFill="1" applyFont="1"/>
    <xf borderId="5" fillId="24" fontId="34" numFmtId="0" xfId="0" applyAlignment="1" applyBorder="1" applyFill="1" applyFont="1">
      <alignment horizontal="center" shrinkToFit="0" wrapText="1"/>
    </xf>
    <xf borderId="11" fillId="25" fontId="12" numFmtId="0" xfId="0" applyBorder="1" applyFill="1" applyFont="1"/>
    <xf borderId="1" fillId="8" fontId="25" numFmtId="165" xfId="0" applyAlignment="1" applyBorder="1" applyFill="1" applyFont="1" applyNumberFormat="1">
      <alignment horizontal="center" vertical="center"/>
    </xf>
    <xf borderId="5" fillId="0" fontId="35" numFmtId="0" xfId="0" applyAlignment="1" applyBorder="1" applyFont="1">
      <alignment horizontal="center" shrinkToFit="0" wrapText="1"/>
    </xf>
    <xf borderId="11" fillId="24" fontId="12" numFmtId="0" xfId="0" applyBorder="1" applyFill="1" applyFont="1"/>
    <xf borderId="1" fillId="26" fontId="31" numFmtId="0" xfId="0" applyAlignment="1" applyBorder="1" applyFill="1" applyFont="1">
      <alignment horizontal="center" vertical="center"/>
    </xf>
    <xf borderId="1" fillId="27" fontId="32" numFmtId="0" xfId="0" applyAlignment="1" applyBorder="1" applyFill="1" applyFont="1">
      <alignment horizontal="center" vertical="center"/>
    </xf>
    <xf borderId="1" fillId="28" fontId="31" numFmtId="0" xfId="0" applyAlignment="1" applyBorder="1" applyFill="1" applyFont="1">
      <alignment horizontal="center" vertical="center"/>
    </xf>
    <xf borderId="1" fillId="9" fontId="32" numFmtId="0" xfId="0" applyAlignment="1" applyBorder="1" applyFill="1" applyFont="1">
      <alignment horizontal="center" vertical="center"/>
    </xf>
    <xf borderId="1" fillId="29" fontId="31" numFmtId="0" xfId="0" applyAlignment="1" applyBorder="1" applyFill="1" applyFont="1">
      <alignment horizontal="center" vertical="center"/>
    </xf>
    <xf borderId="1" fillId="30" fontId="31" numFmtId="0" xfId="0" applyAlignment="1" applyBorder="1" applyFill="1" applyFont="1">
      <alignment horizontal="center" vertical="center"/>
    </xf>
  </cellXfs>
  <cellStyles count="1">
    <cellStyle xfId="0" name="Normal" builtinId="0"/>
  </cellStyles>
  <dxfs count="8">
    <dxf>
      <font>
        <b/>
        <color rgb="FF222222"/>
      </font>
      <fill>
        <patternFill patternType="solid">
          <fgColor rgb="FFE7E6E6"/>
          <bgColor rgb="FFE7E6E6"/>
        </patternFill>
      </fill>
      <border/>
    </dxf>
    <dxf>
      <font>
        <b/>
        <color rgb="FF222222"/>
      </font>
      <fill>
        <patternFill patternType="solid">
          <fgColor rgb="FFF6B26B"/>
          <bgColor rgb="FFF6B26B"/>
        </patternFill>
      </fill>
      <border/>
    </dxf>
    <dxf>
      <font>
        <b/>
        <color rgb="FF222222"/>
      </font>
      <fill>
        <patternFill patternType="solid">
          <fgColor rgb="FFFFD966"/>
          <bgColor rgb="FFFFD966"/>
        </patternFill>
      </fill>
      <border/>
    </dxf>
    <dxf>
      <font>
        <b/>
        <color rgb="FFFFFFFF"/>
      </font>
      <fill>
        <patternFill patternType="solid">
          <fgColor rgb="FF666666"/>
          <bgColor rgb="FF666666"/>
        </patternFill>
      </fill>
      <border/>
    </dxf>
    <dxf>
      <font>
        <b/>
        <color rgb="FFFFFFFF"/>
      </font>
      <fill>
        <patternFill patternType="solid">
          <fgColor rgb="FFE06666"/>
          <bgColor rgb="FFE06666"/>
        </patternFill>
      </fill>
      <border/>
    </dxf>
    <dxf>
      <font>
        <color rgb="FF5B9BD5"/>
      </font>
      <fill>
        <patternFill patternType="solid">
          <fgColor rgb="FF5B9BD5"/>
          <bgColor rgb="FF5B9BD5"/>
        </patternFill>
      </fill>
      <border/>
    </dxf>
    <dxf>
      <font>
        <color rgb="FFA64D79"/>
      </font>
      <fill>
        <patternFill patternType="solid">
          <fgColor rgb="FFA64D79"/>
          <bgColor rgb="FFA64D79"/>
        </patternFill>
      </fill>
      <border/>
    </dxf>
    <dxf>
      <font>
        <b/>
        <color rgb="FFFFFFFF"/>
      </font>
      <fill>
        <patternFill patternType="solid">
          <fgColor rgb="FFA64D79"/>
          <bgColor rgb="FFA64D79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3.0"/>
    <col customWidth="1" min="2" max="2" width="10.0"/>
    <col customWidth="1" min="3" max="3" width="37.0"/>
    <col customWidth="1" min="4" max="4" width="29.0"/>
    <col customWidth="1" min="5" max="5" width="25.0"/>
    <col customWidth="1" min="6" max="6" width="12.0"/>
    <col customWidth="1" min="7" max="9" width="10.0"/>
    <col customWidth="1" min="10" max="10" width="9.0"/>
    <col customWidth="1" min="11" max="48" width="5.0"/>
  </cols>
  <sheetData>
    <row r="1" ht="36.0" customHeight="1">
      <c r="A1" s="4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7"/>
    </row>
    <row r="2" ht="24.0" customHeight="1">
      <c r="A2" s="14" t="s">
        <v>21</v>
      </c>
    </row>
    <row r="3" ht="21.75" customHeight="1">
      <c r="A3" s="16" t="s">
        <v>31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7"/>
    </row>
    <row r="4" ht="25.5" customHeight="1">
      <c r="A4" s="23" t="s">
        <v>0</v>
      </c>
      <c r="B4" s="24" t="s">
        <v>62</v>
      </c>
      <c r="C4" s="23" t="s">
        <v>63</v>
      </c>
      <c r="D4" s="23" t="s">
        <v>33</v>
      </c>
      <c r="E4" s="23" t="s">
        <v>4</v>
      </c>
      <c r="F4" s="23" t="s">
        <v>5</v>
      </c>
      <c r="G4" s="23" t="s">
        <v>64</v>
      </c>
      <c r="H4" s="23" t="s">
        <v>65</v>
      </c>
      <c r="I4" s="23" t="s">
        <v>36</v>
      </c>
      <c r="J4" s="23" t="s">
        <v>66</v>
      </c>
      <c r="K4" s="31" t="s">
        <v>68</v>
      </c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8"/>
    </row>
    <row r="5" ht="25.5" customHeight="1">
      <c r="A5" s="24"/>
      <c r="B5" s="24"/>
      <c r="C5" s="24"/>
      <c r="D5" s="24"/>
      <c r="E5" s="24"/>
      <c r="F5" s="24"/>
      <c r="G5" s="24"/>
      <c r="H5" s="24"/>
      <c r="I5" s="24"/>
      <c r="J5" s="24"/>
      <c r="K5" s="40">
        <v>46213.0</v>
      </c>
      <c r="L5" s="40">
        <v>46216.0</v>
      </c>
      <c r="M5" s="40">
        <v>46217.0</v>
      </c>
      <c r="N5" s="40">
        <v>46218.0</v>
      </c>
      <c r="O5" s="41">
        <v>46219.0</v>
      </c>
      <c r="P5" s="40">
        <v>46223.0</v>
      </c>
      <c r="Q5" s="40">
        <v>46224.0</v>
      </c>
      <c r="R5" s="40">
        <v>46225.0</v>
      </c>
      <c r="S5" s="40">
        <v>46226.0</v>
      </c>
      <c r="T5" s="41">
        <v>46227.0</v>
      </c>
      <c r="U5" s="40">
        <v>46230.0</v>
      </c>
      <c r="V5" s="40">
        <v>46231.0</v>
      </c>
      <c r="W5" s="40">
        <v>46232.0</v>
      </c>
      <c r="X5" s="40">
        <v>46233.0</v>
      </c>
      <c r="Y5" s="41">
        <v>46234.0</v>
      </c>
      <c r="Z5" s="40">
        <v>46237.0</v>
      </c>
      <c r="AA5" s="40">
        <v>46238.0</v>
      </c>
      <c r="AB5" s="40">
        <v>46239.0</v>
      </c>
      <c r="AC5" s="41">
        <v>46240.0</v>
      </c>
      <c r="AD5" s="41">
        <v>46241.0</v>
      </c>
      <c r="AE5" s="40">
        <v>46244.0</v>
      </c>
      <c r="AF5" s="40">
        <v>46245.0</v>
      </c>
      <c r="AG5" s="40">
        <v>46246.0</v>
      </c>
      <c r="AH5" s="40">
        <v>46247.0</v>
      </c>
      <c r="AI5" s="41">
        <v>46248.0</v>
      </c>
      <c r="AJ5" s="40">
        <v>46252.0</v>
      </c>
      <c r="AK5" s="40">
        <v>46253.0</v>
      </c>
      <c r="AL5" s="40">
        <v>46254.0</v>
      </c>
      <c r="AM5" s="41">
        <v>46255.0</v>
      </c>
      <c r="AN5" s="46">
        <v>46258.0</v>
      </c>
      <c r="AO5" s="46">
        <v>46259.0</v>
      </c>
      <c r="AP5" s="46">
        <v>46260.0</v>
      </c>
      <c r="AQ5" s="40">
        <v>46261.0</v>
      </c>
      <c r="AR5" s="41">
        <v>46262.0</v>
      </c>
      <c r="AS5" s="40">
        <v>46265.0</v>
      </c>
      <c r="AT5" s="40">
        <v>46266.0</v>
      </c>
      <c r="AU5" s="40">
        <v>46267.0</v>
      </c>
      <c r="AV5" s="41">
        <v>46268.0</v>
      </c>
    </row>
    <row r="6" ht="30.75" customHeight="1">
      <c r="A6" s="49" t="s">
        <v>6</v>
      </c>
      <c r="B6" s="50" t="s">
        <v>125</v>
      </c>
      <c r="C6" s="51" t="s">
        <v>126</v>
      </c>
      <c r="D6" s="52" t="s">
        <v>130</v>
      </c>
      <c r="E6" s="50" t="s">
        <v>8</v>
      </c>
      <c r="F6" s="54" t="s">
        <v>29</v>
      </c>
      <c r="G6" s="55">
        <v>46262.0</v>
      </c>
      <c r="H6" s="55">
        <v>46262.0</v>
      </c>
      <c r="I6" s="55"/>
      <c r="J6" s="56">
        <v>1.0</v>
      </c>
      <c r="K6" s="57" t="str">
        <f t="shared" ref="K6:AV6" si="1">IF(AND(K$5&gt;=$G6,K$5&lt;=$H6,WEEKDAY(K$5,2)&lt;=5),"■","")</f>
        <v/>
      </c>
      <c r="L6" s="57" t="str">
        <f t="shared" si="1"/>
        <v/>
      </c>
      <c r="M6" s="57" t="str">
        <f t="shared" si="1"/>
        <v/>
      </c>
      <c r="N6" s="57" t="str">
        <f t="shared" si="1"/>
        <v/>
      </c>
      <c r="O6" s="57" t="str">
        <f t="shared" si="1"/>
        <v/>
      </c>
      <c r="P6" s="57" t="str">
        <f t="shared" si="1"/>
        <v/>
      </c>
      <c r="Q6" s="57" t="str">
        <f t="shared" si="1"/>
        <v/>
      </c>
      <c r="R6" s="57" t="str">
        <f t="shared" si="1"/>
        <v/>
      </c>
      <c r="S6" s="57" t="str">
        <f t="shared" si="1"/>
        <v/>
      </c>
      <c r="T6" s="57" t="str">
        <f t="shared" si="1"/>
        <v/>
      </c>
      <c r="U6" s="57" t="str">
        <f t="shared" si="1"/>
        <v/>
      </c>
      <c r="V6" s="57" t="str">
        <f t="shared" si="1"/>
        <v/>
      </c>
      <c r="W6" s="57" t="str">
        <f t="shared" si="1"/>
        <v/>
      </c>
      <c r="X6" s="57" t="str">
        <f t="shared" si="1"/>
        <v/>
      </c>
      <c r="Y6" s="57" t="str">
        <f t="shared" si="1"/>
        <v/>
      </c>
      <c r="Z6" s="57" t="str">
        <f t="shared" si="1"/>
        <v/>
      </c>
      <c r="AA6" s="57" t="str">
        <f t="shared" si="1"/>
        <v/>
      </c>
      <c r="AB6" s="57" t="str">
        <f t="shared" si="1"/>
        <v/>
      </c>
      <c r="AC6" s="57" t="str">
        <f t="shared" si="1"/>
        <v/>
      </c>
      <c r="AD6" s="57" t="str">
        <f t="shared" si="1"/>
        <v/>
      </c>
      <c r="AE6" s="57" t="str">
        <f t="shared" si="1"/>
        <v/>
      </c>
      <c r="AF6" s="57" t="str">
        <f t="shared" si="1"/>
        <v/>
      </c>
      <c r="AG6" s="57" t="str">
        <f t="shared" si="1"/>
        <v/>
      </c>
      <c r="AH6" s="57" t="str">
        <f t="shared" si="1"/>
        <v/>
      </c>
      <c r="AI6" s="57" t="str">
        <f t="shared" si="1"/>
        <v/>
      </c>
      <c r="AJ6" s="57" t="str">
        <f t="shared" si="1"/>
        <v/>
      </c>
      <c r="AK6" s="57" t="str">
        <f t="shared" si="1"/>
        <v/>
      </c>
      <c r="AL6" s="57" t="str">
        <f t="shared" si="1"/>
        <v/>
      </c>
      <c r="AM6" s="57" t="str">
        <f t="shared" si="1"/>
        <v/>
      </c>
      <c r="AN6" s="57" t="str">
        <f t="shared" si="1"/>
        <v/>
      </c>
      <c r="AO6" s="57" t="str">
        <f t="shared" si="1"/>
        <v/>
      </c>
      <c r="AP6" s="57" t="str">
        <f t="shared" si="1"/>
        <v/>
      </c>
      <c r="AQ6" s="57" t="str">
        <f t="shared" si="1"/>
        <v/>
      </c>
      <c r="AR6" s="57" t="str">
        <f t="shared" si="1"/>
        <v>■</v>
      </c>
      <c r="AS6" s="57" t="str">
        <f t="shared" si="1"/>
        <v/>
      </c>
      <c r="AT6" s="57" t="str">
        <f t="shared" si="1"/>
        <v/>
      </c>
      <c r="AU6" s="57" t="str">
        <f t="shared" si="1"/>
        <v/>
      </c>
      <c r="AV6" s="57" t="str">
        <f t="shared" si="1"/>
        <v/>
      </c>
    </row>
    <row r="7" ht="30.75" customHeight="1">
      <c r="A7" s="66" t="s">
        <v>12</v>
      </c>
      <c r="B7" s="50" t="s">
        <v>70</v>
      </c>
      <c r="C7" s="52" t="s">
        <v>197</v>
      </c>
      <c r="D7" s="52" t="s">
        <v>81</v>
      </c>
      <c r="E7" s="68" t="s">
        <v>8</v>
      </c>
      <c r="F7" s="68" t="s">
        <v>29</v>
      </c>
      <c r="G7" s="55">
        <v>46232.0</v>
      </c>
      <c r="H7" s="55">
        <v>46234.0</v>
      </c>
      <c r="I7" s="55"/>
      <c r="J7" s="56">
        <v>1.0</v>
      </c>
      <c r="K7" s="57" t="str">
        <f t="shared" ref="K7:AV7" si="2">IF(AND(K$5&gt;=$G7,K$5&lt;=$H7,WEEKDAY(K$5,2)&lt;=5),"■","")</f>
        <v/>
      </c>
      <c r="L7" s="57" t="str">
        <f t="shared" si="2"/>
        <v/>
      </c>
      <c r="M7" s="57" t="str">
        <f t="shared" si="2"/>
        <v/>
      </c>
      <c r="N7" s="57" t="str">
        <f t="shared" si="2"/>
        <v/>
      </c>
      <c r="O7" s="57" t="str">
        <f t="shared" si="2"/>
        <v/>
      </c>
      <c r="P7" s="57" t="str">
        <f t="shared" si="2"/>
        <v/>
      </c>
      <c r="Q7" s="57" t="str">
        <f t="shared" si="2"/>
        <v/>
      </c>
      <c r="R7" s="57" t="str">
        <f t="shared" si="2"/>
        <v/>
      </c>
      <c r="S7" s="57" t="str">
        <f t="shared" si="2"/>
        <v/>
      </c>
      <c r="T7" s="57" t="str">
        <f t="shared" si="2"/>
        <v/>
      </c>
      <c r="U7" s="57" t="str">
        <f t="shared" si="2"/>
        <v/>
      </c>
      <c r="V7" s="57" t="str">
        <f t="shared" si="2"/>
        <v/>
      </c>
      <c r="W7" s="57" t="str">
        <f t="shared" si="2"/>
        <v>■</v>
      </c>
      <c r="X7" s="57" t="str">
        <f t="shared" si="2"/>
        <v>■</v>
      </c>
      <c r="Y7" s="57" t="str">
        <f t="shared" si="2"/>
        <v>■</v>
      </c>
      <c r="Z7" s="57" t="str">
        <f t="shared" si="2"/>
        <v/>
      </c>
      <c r="AA7" s="57" t="str">
        <f t="shared" si="2"/>
        <v/>
      </c>
      <c r="AB7" s="57" t="str">
        <f t="shared" si="2"/>
        <v/>
      </c>
      <c r="AC7" s="57" t="str">
        <f t="shared" si="2"/>
        <v/>
      </c>
      <c r="AD7" s="57" t="str">
        <f t="shared" si="2"/>
        <v/>
      </c>
      <c r="AE7" s="57" t="str">
        <f t="shared" si="2"/>
        <v/>
      </c>
      <c r="AF7" s="57" t="str">
        <f t="shared" si="2"/>
        <v/>
      </c>
      <c r="AG7" s="57" t="str">
        <f t="shared" si="2"/>
        <v/>
      </c>
      <c r="AH7" s="57" t="str">
        <f t="shared" si="2"/>
        <v/>
      </c>
      <c r="AI7" s="57" t="str">
        <f t="shared" si="2"/>
        <v/>
      </c>
      <c r="AJ7" s="57" t="str">
        <f t="shared" si="2"/>
        <v/>
      </c>
      <c r="AK7" s="57" t="str">
        <f t="shared" si="2"/>
        <v/>
      </c>
      <c r="AL7" s="57" t="str">
        <f t="shared" si="2"/>
        <v/>
      </c>
      <c r="AM7" s="57" t="str">
        <f t="shared" si="2"/>
        <v/>
      </c>
      <c r="AN7" s="57" t="str">
        <f t="shared" si="2"/>
        <v/>
      </c>
      <c r="AO7" s="57" t="str">
        <f t="shared" si="2"/>
        <v/>
      </c>
      <c r="AP7" s="57" t="str">
        <f t="shared" si="2"/>
        <v/>
      </c>
      <c r="AQ7" s="57" t="str">
        <f t="shared" si="2"/>
        <v/>
      </c>
      <c r="AR7" s="57" t="str">
        <f t="shared" si="2"/>
        <v/>
      </c>
      <c r="AS7" s="57" t="str">
        <f t="shared" si="2"/>
        <v/>
      </c>
      <c r="AT7" s="57" t="str">
        <f t="shared" si="2"/>
        <v/>
      </c>
      <c r="AU7" s="57" t="str">
        <f t="shared" si="2"/>
        <v/>
      </c>
      <c r="AV7" s="57" t="str">
        <f t="shared" si="2"/>
        <v/>
      </c>
    </row>
    <row r="8" ht="30.75" customHeight="1">
      <c r="A8" s="66" t="s">
        <v>12</v>
      </c>
      <c r="B8" s="50" t="s">
        <v>58</v>
      </c>
      <c r="C8" s="52" t="s">
        <v>83</v>
      </c>
      <c r="D8" s="52" t="s">
        <v>231</v>
      </c>
      <c r="E8" s="50" t="s">
        <v>8</v>
      </c>
      <c r="F8" s="68" t="s">
        <v>29</v>
      </c>
      <c r="G8" s="55">
        <v>46232.0</v>
      </c>
      <c r="H8" s="55">
        <v>46234.0</v>
      </c>
      <c r="I8" s="55"/>
      <c r="J8" s="56">
        <v>1.0</v>
      </c>
      <c r="K8" s="57" t="str">
        <f t="shared" ref="K8:AV8" si="3">IF(AND(K$5&gt;=$G8,K$5&lt;=$H8,WEEKDAY(K$5,2)&lt;=5),"■","")</f>
        <v/>
      </c>
      <c r="L8" s="57" t="str">
        <f t="shared" si="3"/>
        <v/>
      </c>
      <c r="M8" s="57" t="str">
        <f t="shared" si="3"/>
        <v/>
      </c>
      <c r="N8" s="57" t="str">
        <f t="shared" si="3"/>
        <v/>
      </c>
      <c r="O8" s="57" t="str">
        <f t="shared" si="3"/>
        <v/>
      </c>
      <c r="P8" s="57" t="str">
        <f t="shared" si="3"/>
        <v/>
      </c>
      <c r="Q8" s="57" t="str">
        <f t="shared" si="3"/>
        <v/>
      </c>
      <c r="R8" s="57" t="str">
        <f t="shared" si="3"/>
        <v/>
      </c>
      <c r="S8" s="57" t="str">
        <f t="shared" si="3"/>
        <v/>
      </c>
      <c r="T8" s="57" t="str">
        <f t="shared" si="3"/>
        <v/>
      </c>
      <c r="U8" s="57" t="str">
        <f t="shared" si="3"/>
        <v/>
      </c>
      <c r="V8" s="57" t="str">
        <f t="shared" si="3"/>
        <v/>
      </c>
      <c r="W8" s="57" t="str">
        <f t="shared" si="3"/>
        <v>■</v>
      </c>
      <c r="X8" s="57" t="str">
        <f t="shared" si="3"/>
        <v>■</v>
      </c>
      <c r="Y8" s="57" t="str">
        <f t="shared" si="3"/>
        <v>■</v>
      </c>
      <c r="Z8" s="57" t="str">
        <f t="shared" si="3"/>
        <v/>
      </c>
      <c r="AA8" s="57" t="str">
        <f t="shared" si="3"/>
        <v/>
      </c>
      <c r="AB8" s="57" t="str">
        <f t="shared" si="3"/>
        <v/>
      </c>
      <c r="AC8" s="57" t="str">
        <f t="shared" si="3"/>
        <v/>
      </c>
      <c r="AD8" s="57" t="str">
        <f t="shared" si="3"/>
        <v/>
      </c>
      <c r="AE8" s="57" t="str">
        <f t="shared" si="3"/>
        <v/>
      </c>
      <c r="AF8" s="57" t="str">
        <f t="shared" si="3"/>
        <v/>
      </c>
      <c r="AG8" s="57" t="str">
        <f t="shared" si="3"/>
        <v/>
      </c>
      <c r="AH8" s="57" t="str">
        <f t="shared" si="3"/>
        <v/>
      </c>
      <c r="AI8" s="57" t="str">
        <f t="shared" si="3"/>
        <v/>
      </c>
      <c r="AJ8" s="57" t="str">
        <f t="shared" si="3"/>
        <v/>
      </c>
      <c r="AK8" s="57" t="str">
        <f t="shared" si="3"/>
        <v/>
      </c>
      <c r="AL8" s="57" t="str">
        <f t="shared" si="3"/>
        <v/>
      </c>
      <c r="AM8" s="57" t="str">
        <f t="shared" si="3"/>
        <v/>
      </c>
      <c r="AN8" s="57" t="str">
        <f t="shared" si="3"/>
        <v/>
      </c>
      <c r="AO8" s="57" t="str">
        <f t="shared" si="3"/>
        <v/>
      </c>
      <c r="AP8" s="57" t="str">
        <f t="shared" si="3"/>
        <v/>
      </c>
      <c r="AQ8" s="57" t="str">
        <f t="shared" si="3"/>
        <v/>
      </c>
      <c r="AR8" s="57" t="str">
        <f t="shared" si="3"/>
        <v/>
      </c>
      <c r="AS8" s="57" t="str">
        <f t="shared" si="3"/>
        <v/>
      </c>
      <c r="AT8" s="57" t="str">
        <f t="shared" si="3"/>
        <v/>
      </c>
      <c r="AU8" s="57" t="str">
        <f t="shared" si="3"/>
        <v/>
      </c>
      <c r="AV8" s="57" t="str">
        <f t="shared" si="3"/>
        <v/>
      </c>
    </row>
    <row r="9" ht="30.75" customHeight="1">
      <c r="A9" s="66" t="s">
        <v>12</v>
      </c>
      <c r="B9" s="50" t="s">
        <v>91</v>
      </c>
      <c r="C9" s="52" t="s">
        <v>268</v>
      </c>
      <c r="D9" s="52" t="s">
        <v>270</v>
      </c>
      <c r="E9" s="50" t="s">
        <v>8</v>
      </c>
      <c r="F9" s="68" t="s">
        <v>29</v>
      </c>
      <c r="G9" s="55">
        <v>46237.0</v>
      </c>
      <c r="H9" s="55">
        <v>46241.0</v>
      </c>
      <c r="I9" s="72"/>
      <c r="J9" s="56">
        <v>1.0</v>
      </c>
      <c r="K9" s="57" t="str">
        <f t="shared" ref="K9:AV9" si="4">IF(AND(K$5&gt;=$G9,K$5&lt;=$H9,WEEKDAY(K$5,2)&lt;=5),"■","")</f>
        <v/>
      </c>
      <c r="L9" s="57" t="str">
        <f t="shared" si="4"/>
        <v/>
      </c>
      <c r="M9" s="57" t="str">
        <f t="shared" si="4"/>
        <v/>
      </c>
      <c r="N9" s="57" t="str">
        <f t="shared" si="4"/>
        <v/>
      </c>
      <c r="O9" s="57" t="str">
        <f t="shared" si="4"/>
        <v/>
      </c>
      <c r="P9" s="57" t="str">
        <f t="shared" si="4"/>
        <v/>
      </c>
      <c r="Q9" s="57" t="str">
        <f t="shared" si="4"/>
        <v/>
      </c>
      <c r="R9" s="57" t="str">
        <f t="shared" si="4"/>
        <v/>
      </c>
      <c r="S9" s="57" t="str">
        <f t="shared" si="4"/>
        <v/>
      </c>
      <c r="T9" s="57" t="str">
        <f t="shared" si="4"/>
        <v/>
      </c>
      <c r="U9" s="57" t="str">
        <f t="shared" si="4"/>
        <v/>
      </c>
      <c r="V9" s="57" t="str">
        <f t="shared" si="4"/>
        <v/>
      </c>
      <c r="W9" s="57" t="str">
        <f t="shared" si="4"/>
        <v/>
      </c>
      <c r="X9" s="57" t="str">
        <f t="shared" si="4"/>
        <v/>
      </c>
      <c r="Y9" s="57" t="str">
        <f t="shared" si="4"/>
        <v/>
      </c>
      <c r="Z9" s="57" t="str">
        <f t="shared" si="4"/>
        <v>■</v>
      </c>
      <c r="AA9" s="57" t="str">
        <f t="shared" si="4"/>
        <v>■</v>
      </c>
      <c r="AB9" s="57" t="str">
        <f t="shared" si="4"/>
        <v>■</v>
      </c>
      <c r="AC9" s="57" t="str">
        <f t="shared" si="4"/>
        <v>■</v>
      </c>
      <c r="AD9" s="57" t="str">
        <f t="shared" si="4"/>
        <v>■</v>
      </c>
      <c r="AE9" s="57" t="str">
        <f t="shared" si="4"/>
        <v/>
      </c>
      <c r="AF9" s="57" t="str">
        <f t="shared" si="4"/>
        <v/>
      </c>
      <c r="AG9" s="57" t="str">
        <f t="shared" si="4"/>
        <v/>
      </c>
      <c r="AH9" s="57" t="str">
        <f t="shared" si="4"/>
        <v/>
      </c>
      <c r="AI9" s="57" t="str">
        <f t="shared" si="4"/>
        <v/>
      </c>
      <c r="AJ9" s="57" t="str">
        <f t="shared" si="4"/>
        <v/>
      </c>
      <c r="AK9" s="57" t="str">
        <f t="shared" si="4"/>
        <v/>
      </c>
      <c r="AL9" s="57" t="str">
        <f t="shared" si="4"/>
        <v/>
      </c>
      <c r="AM9" s="57" t="str">
        <f t="shared" si="4"/>
        <v/>
      </c>
      <c r="AN9" s="57" t="str">
        <f t="shared" si="4"/>
        <v/>
      </c>
      <c r="AO9" s="57" t="str">
        <f t="shared" si="4"/>
        <v/>
      </c>
      <c r="AP9" s="57" t="str">
        <f t="shared" si="4"/>
        <v/>
      </c>
      <c r="AQ9" s="57" t="str">
        <f t="shared" si="4"/>
        <v/>
      </c>
      <c r="AR9" s="57" t="str">
        <f t="shared" si="4"/>
        <v/>
      </c>
      <c r="AS9" s="57" t="str">
        <f t="shared" si="4"/>
        <v/>
      </c>
      <c r="AT9" s="57" t="str">
        <f t="shared" si="4"/>
        <v/>
      </c>
      <c r="AU9" s="57" t="str">
        <f t="shared" si="4"/>
        <v/>
      </c>
      <c r="AV9" s="57" t="str">
        <f t="shared" si="4"/>
        <v/>
      </c>
    </row>
    <row r="10" ht="30.75" customHeight="1">
      <c r="A10" s="66" t="s">
        <v>12</v>
      </c>
      <c r="B10" s="50" t="s">
        <v>103</v>
      </c>
      <c r="C10" s="51" t="s">
        <v>304</v>
      </c>
      <c r="D10" s="51" t="s">
        <v>305</v>
      </c>
      <c r="E10" s="50" t="s">
        <v>8</v>
      </c>
      <c r="F10" s="68" t="s">
        <v>29</v>
      </c>
      <c r="G10" s="55">
        <v>46237.0</v>
      </c>
      <c r="H10" s="55">
        <v>46241.0</v>
      </c>
      <c r="I10" s="72"/>
      <c r="J10" s="56">
        <v>1.0</v>
      </c>
      <c r="K10" s="57" t="str">
        <f t="shared" ref="K10:AV10" si="5">IF(AND(K$5&gt;=$G10,K$5&lt;=$H10,WEEKDAY(K$5,2)&lt;=5),"■","")</f>
        <v/>
      </c>
      <c r="L10" s="57" t="str">
        <f t="shared" si="5"/>
        <v/>
      </c>
      <c r="M10" s="57" t="str">
        <f t="shared" si="5"/>
        <v/>
      </c>
      <c r="N10" s="57" t="str">
        <f t="shared" si="5"/>
        <v/>
      </c>
      <c r="O10" s="57" t="str">
        <f t="shared" si="5"/>
        <v/>
      </c>
      <c r="P10" s="57" t="str">
        <f t="shared" si="5"/>
        <v/>
      </c>
      <c r="Q10" s="57" t="str">
        <f t="shared" si="5"/>
        <v/>
      </c>
      <c r="R10" s="57" t="str">
        <f t="shared" si="5"/>
        <v/>
      </c>
      <c r="S10" s="57" t="str">
        <f t="shared" si="5"/>
        <v/>
      </c>
      <c r="T10" s="57" t="str">
        <f t="shared" si="5"/>
        <v/>
      </c>
      <c r="U10" s="57" t="str">
        <f t="shared" si="5"/>
        <v/>
      </c>
      <c r="V10" s="57" t="str">
        <f t="shared" si="5"/>
        <v/>
      </c>
      <c r="W10" s="57" t="str">
        <f t="shared" si="5"/>
        <v/>
      </c>
      <c r="X10" s="57" t="str">
        <f t="shared" si="5"/>
        <v/>
      </c>
      <c r="Y10" s="57" t="str">
        <f t="shared" si="5"/>
        <v/>
      </c>
      <c r="Z10" s="57" t="str">
        <f t="shared" si="5"/>
        <v>■</v>
      </c>
      <c r="AA10" s="57" t="str">
        <f t="shared" si="5"/>
        <v>■</v>
      </c>
      <c r="AB10" s="57" t="str">
        <f t="shared" si="5"/>
        <v>■</v>
      </c>
      <c r="AC10" s="57" t="str">
        <f t="shared" si="5"/>
        <v>■</v>
      </c>
      <c r="AD10" s="57" t="str">
        <f t="shared" si="5"/>
        <v>■</v>
      </c>
      <c r="AE10" s="57" t="str">
        <f t="shared" si="5"/>
        <v/>
      </c>
      <c r="AF10" s="57" t="str">
        <f t="shared" si="5"/>
        <v/>
      </c>
      <c r="AG10" s="57" t="str">
        <f t="shared" si="5"/>
        <v/>
      </c>
      <c r="AH10" s="57" t="str">
        <f t="shared" si="5"/>
        <v/>
      </c>
      <c r="AI10" s="57" t="str">
        <f t="shared" si="5"/>
        <v/>
      </c>
      <c r="AJ10" s="57" t="str">
        <f t="shared" si="5"/>
        <v/>
      </c>
      <c r="AK10" s="57" t="str">
        <f t="shared" si="5"/>
        <v/>
      </c>
      <c r="AL10" s="57" t="str">
        <f t="shared" si="5"/>
        <v/>
      </c>
      <c r="AM10" s="57" t="str">
        <f t="shared" si="5"/>
        <v/>
      </c>
      <c r="AN10" s="57" t="str">
        <f t="shared" si="5"/>
        <v/>
      </c>
      <c r="AO10" s="57" t="str">
        <f t="shared" si="5"/>
        <v/>
      </c>
      <c r="AP10" s="57" t="str">
        <f t="shared" si="5"/>
        <v/>
      </c>
      <c r="AQ10" s="57" t="str">
        <f t="shared" si="5"/>
        <v/>
      </c>
      <c r="AR10" s="57" t="str">
        <f t="shared" si="5"/>
        <v/>
      </c>
      <c r="AS10" s="57" t="str">
        <f t="shared" si="5"/>
        <v/>
      </c>
      <c r="AT10" s="57" t="str">
        <f t="shared" si="5"/>
        <v/>
      </c>
      <c r="AU10" s="57" t="str">
        <f t="shared" si="5"/>
        <v/>
      </c>
      <c r="AV10" s="57" t="str">
        <f t="shared" si="5"/>
        <v/>
      </c>
    </row>
    <row r="11" ht="30.75" customHeight="1">
      <c r="A11" s="66" t="s">
        <v>12</v>
      </c>
      <c r="B11" s="50" t="s">
        <v>340</v>
      </c>
      <c r="C11" s="52" t="s">
        <v>341</v>
      </c>
      <c r="D11" s="52" t="s">
        <v>343</v>
      </c>
      <c r="E11" s="50" t="s">
        <v>8</v>
      </c>
      <c r="F11" s="68" t="s">
        <v>29</v>
      </c>
      <c r="G11" s="55">
        <v>46237.0</v>
      </c>
      <c r="H11" s="55">
        <v>46241.0</v>
      </c>
      <c r="I11" s="72"/>
      <c r="J11" s="56">
        <v>1.0</v>
      </c>
      <c r="K11" s="57" t="str">
        <f t="shared" ref="K11:AV11" si="6">IF(AND(K$5&gt;=$G11,K$5&lt;=$H11,WEEKDAY(K$5,2)&lt;=5),"■","")</f>
        <v/>
      </c>
      <c r="L11" s="57" t="str">
        <f t="shared" si="6"/>
        <v/>
      </c>
      <c r="M11" s="57" t="str">
        <f t="shared" si="6"/>
        <v/>
      </c>
      <c r="N11" s="57" t="str">
        <f t="shared" si="6"/>
        <v/>
      </c>
      <c r="O11" s="57" t="str">
        <f t="shared" si="6"/>
        <v/>
      </c>
      <c r="P11" s="57" t="str">
        <f t="shared" si="6"/>
        <v/>
      </c>
      <c r="Q11" s="57" t="str">
        <f t="shared" si="6"/>
        <v/>
      </c>
      <c r="R11" s="57" t="str">
        <f t="shared" si="6"/>
        <v/>
      </c>
      <c r="S11" s="57" t="str">
        <f t="shared" si="6"/>
        <v/>
      </c>
      <c r="T11" s="57" t="str">
        <f t="shared" si="6"/>
        <v/>
      </c>
      <c r="U11" s="57" t="str">
        <f t="shared" si="6"/>
        <v/>
      </c>
      <c r="V11" s="57" t="str">
        <f t="shared" si="6"/>
        <v/>
      </c>
      <c r="W11" s="57" t="str">
        <f t="shared" si="6"/>
        <v/>
      </c>
      <c r="X11" s="57" t="str">
        <f t="shared" si="6"/>
        <v/>
      </c>
      <c r="Y11" s="57" t="str">
        <f t="shared" si="6"/>
        <v/>
      </c>
      <c r="Z11" s="57" t="str">
        <f t="shared" si="6"/>
        <v>■</v>
      </c>
      <c r="AA11" s="57" t="str">
        <f t="shared" si="6"/>
        <v>■</v>
      </c>
      <c r="AB11" s="57" t="str">
        <f t="shared" si="6"/>
        <v>■</v>
      </c>
      <c r="AC11" s="57" t="str">
        <f t="shared" si="6"/>
        <v>■</v>
      </c>
      <c r="AD11" s="57" t="str">
        <f t="shared" si="6"/>
        <v>■</v>
      </c>
      <c r="AE11" s="57" t="str">
        <f t="shared" si="6"/>
        <v/>
      </c>
      <c r="AF11" s="57" t="str">
        <f t="shared" si="6"/>
        <v/>
      </c>
      <c r="AG11" s="57" t="str">
        <f t="shared" si="6"/>
        <v/>
      </c>
      <c r="AH11" s="57" t="str">
        <f t="shared" si="6"/>
        <v/>
      </c>
      <c r="AI11" s="57" t="str">
        <f t="shared" si="6"/>
        <v/>
      </c>
      <c r="AJ11" s="57" t="str">
        <f t="shared" si="6"/>
        <v/>
      </c>
      <c r="AK11" s="57" t="str">
        <f t="shared" si="6"/>
        <v/>
      </c>
      <c r="AL11" s="57" t="str">
        <f t="shared" si="6"/>
        <v/>
      </c>
      <c r="AM11" s="57" t="str">
        <f t="shared" si="6"/>
        <v/>
      </c>
      <c r="AN11" s="57" t="str">
        <f t="shared" si="6"/>
        <v/>
      </c>
      <c r="AO11" s="57" t="str">
        <f t="shared" si="6"/>
        <v/>
      </c>
      <c r="AP11" s="57" t="str">
        <f t="shared" si="6"/>
        <v/>
      </c>
      <c r="AQ11" s="57" t="str">
        <f t="shared" si="6"/>
        <v/>
      </c>
      <c r="AR11" s="57" t="str">
        <f t="shared" si="6"/>
        <v/>
      </c>
      <c r="AS11" s="57" t="str">
        <f t="shared" si="6"/>
        <v/>
      </c>
      <c r="AT11" s="57" t="str">
        <f t="shared" si="6"/>
        <v/>
      </c>
      <c r="AU11" s="57" t="str">
        <f t="shared" si="6"/>
        <v/>
      </c>
      <c r="AV11" s="57" t="str">
        <f t="shared" si="6"/>
        <v/>
      </c>
    </row>
    <row r="12" ht="30.75" customHeight="1">
      <c r="A12" s="66" t="s">
        <v>12</v>
      </c>
      <c r="B12" s="50" t="s">
        <v>358</v>
      </c>
      <c r="C12" s="52" t="s">
        <v>359</v>
      </c>
      <c r="D12" s="52" t="s">
        <v>360</v>
      </c>
      <c r="E12" s="50" t="s">
        <v>8</v>
      </c>
      <c r="F12" s="68" t="s">
        <v>29</v>
      </c>
      <c r="G12" s="55">
        <v>46237.0</v>
      </c>
      <c r="H12" s="55">
        <v>46241.0</v>
      </c>
      <c r="I12" s="72"/>
      <c r="J12" s="56">
        <v>1.0</v>
      </c>
      <c r="K12" s="57" t="str">
        <f t="shared" ref="K12:AV12" si="7">IF(AND(K$5&gt;=$G12,K$5&lt;=$H12,WEEKDAY(K$5,2)&lt;=5),"■","")</f>
        <v/>
      </c>
      <c r="L12" s="57" t="str">
        <f t="shared" si="7"/>
        <v/>
      </c>
      <c r="M12" s="57" t="str">
        <f t="shared" si="7"/>
        <v/>
      </c>
      <c r="N12" s="57" t="str">
        <f t="shared" si="7"/>
        <v/>
      </c>
      <c r="O12" s="57" t="str">
        <f t="shared" si="7"/>
        <v/>
      </c>
      <c r="P12" s="57" t="str">
        <f t="shared" si="7"/>
        <v/>
      </c>
      <c r="Q12" s="57" t="str">
        <f t="shared" si="7"/>
        <v/>
      </c>
      <c r="R12" s="57" t="str">
        <f t="shared" si="7"/>
        <v/>
      </c>
      <c r="S12" s="57" t="str">
        <f t="shared" si="7"/>
        <v/>
      </c>
      <c r="T12" s="57" t="str">
        <f t="shared" si="7"/>
        <v/>
      </c>
      <c r="U12" s="57" t="str">
        <f t="shared" si="7"/>
        <v/>
      </c>
      <c r="V12" s="57" t="str">
        <f t="shared" si="7"/>
        <v/>
      </c>
      <c r="W12" s="57" t="str">
        <f t="shared" si="7"/>
        <v/>
      </c>
      <c r="X12" s="57" t="str">
        <f t="shared" si="7"/>
        <v/>
      </c>
      <c r="Y12" s="57" t="str">
        <f t="shared" si="7"/>
        <v/>
      </c>
      <c r="Z12" s="57" t="str">
        <f t="shared" si="7"/>
        <v>■</v>
      </c>
      <c r="AA12" s="57" t="str">
        <f t="shared" si="7"/>
        <v>■</v>
      </c>
      <c r="AB12" s="57" t="str">
        <f t="shared" si="7"/>
        <v>■</v>
      </c>
      <c r="AC12" s="57" t="str">
        <f t="shared" si="7"/>
        <v>■</v>
      </c>
      <c r="AD12" s="57" t="str">
        <f t="shared" si="7"/>
        <v>■</v>
      </c>
      <c r="AE12" s="57" t="str">
        <f t="shared" si="7"/>
        <v/>
      </c>
      <c r="AF12" s="57" t="str">
        <f t="shared" si="7"/>
        <v/>
      </c>
      <c r="AG12" s="57" t="str">
        <f t="shared" si="7"/>
        <v/>
      </c>
      <c r="AH12" s="57" t="str">
        <f t="shared" si="7"/>
        <v/>
      </c>
      <c r="AI12" s="57" t="str">
        <f t="shared" si="7"/>
        <v/>
      </c>
      <c r="AJ12" s="57" t="str">
        <f t="shared" si="7"/>
        <v/>
      </c>
      <c r="AK12" s="57" t="str">
        <f t="shared" si="7"/>
        <v/>
      </c>
      <c r="AL12" s="57" t="str">
        <f t="shared" si="7"/>
        <v/>
      </c>
      <c r="AM12" s="57" t="str">
        <f t="shared" si="7"/>
        <v/>
      </c>
      <c r="AN12" s="57" t="str">
        <f t="shared" si="7"/>
        <v/>
      </c>
      <c r="AO12" s="57" t="str">
        <f t="shared" si="7"/>
        <v/>
      </c>
      <c r="AP12" s="57" t="str">
        <f t="shared" si="7"/>
        <v/>
      </c>
      <c r="AQ12" s="57" t="str">
        <f t="shared" si="7"/>
        <v/>
      </c>
      <c r="AR12" s="57" t="str">
        <f t="shared" si="7"/>
        <v/>
      </c>
      <c r="AS12" s="57" t="str">
        <f t="shared" si="7"/>
        <v/>
      </c>
      <c r="AT12" s="57" t="str">
        <f t="shared" si="7"/>
        <v/>
      </c>
      <c r="AU12" s="57" t="str">
        <f t="shared" si="7"/>
        <v/>
      </c>
      <c r="AV12" s="57" t="str">
        <f t="shared" si="7"/>
        <v/>
      </c>
    </row>
    <row r="13" ht="30.75" customHeight="1">
      <c r="A13" s="66" t="s">
        <v>12</v>
      </c>
      <c r="B13" s="50" t="s">
        <v>361</v>
      </c>
      <c r="C13" s="52" t="s">
        <v>362</v>
      </c>
      <c r="D13" s="52" t="s">
        <v>363</v>
      </c>
      <c r="E13" s="50" t="s">
        <v>8</v>
      </c>
      <c r="F13" s="68" t="s">
        <v>29</v>
      </c>
      <c r="G13" s="55">
        <v>46240.0</v>
      </c>
      <c r="H13" s="55">
        <v>46241.0</v>
      </c>
      <c r="I13" s="55"/>
      <c r="J13" s="56">
        <v>1.0</v>
      </c>
      <c r="K13" s="57" t="str">
        <f t="shared" ref="K13:AV13" si="8">IF(AND(K$5&gt;=$G13,K$5&lt;=$H13,WEEKDAY(K$5,2)&lt;=5),"■","")</f>
        <v/>
      </c>
      <c r="L13" s="57" t="str">
        <f t="shared" si="8"/>
        <v/>
      </c>
      <c r="M13" s="57" t="str">
        <f t="shared" si="8"/>
        <v/>
      </c>
      <c r="N13" s="57" t="str">
        <f t="shared" si="8"/>
        <v/>
      </c>
      <c r="O13" s="57" t="str">
        <f t="shared" si="8"/>
        <v/>
      </c>
      <c r="P13" s="57" t="str">
        <f t="shared" si="8"/>
        <v/>
      </c>
      <c r="Q13" s="57" t="str">
        <f t="shared" si="8"/>
        <v/>
      </c>
      <c r="R13" s="57" t="str">
        <f t="shared" si="8"/>
        <v/>
      </c>
      <c r="S13" s="57" t="str">
        <f t="shared" si="8"/>
        <v/>
      </c>
      <c r="T13" s="57" t="str">
        <f t="shared" si="8"/>
        <v/>
      </c>
      <c r="U13" s="57" t="str">
        <f t="shared" si="8"/>
        <v/>
      </c>
      <c r="V13" s="57" t="str">
        <f t="shared" si="8"/>
        <v/>
      </c>
      <c r="W13" s="57" t="str">
        <f t="shared" si="8"/>
        <v/>
      </c>
      <c r="X13" s="57" t="str">
        <f t="shared" si="8"/>
        <v/>
      </c>
      <c r="Y13" s="57" t="str">
        <f t="shared" si="8"/>
        <v/>
      </c>
      <c r="Z13" s="57" t="str">
        <f t="shared" si="8"/>
        <v/>
      </c>
      <c r="AA13" s="57" t="str">
        <f t="shared" si="8"/>
        <v/>
      </c>
      <c r="AB13" s="57" t="str">
        <f t="shared" si="8"/>
        <v/>
      </c>
      <c r="AC13" s="57" t="str">
        <f t="shared" si="8"/>
        <v>■</v>
      </c>
      <c r="AD13" s="57" t="str">
        <f t="shared" si="8"/>
        <v>■</v>
      </c>
      <c r="AE13" s="57" t="str">
        <f t="shared" si="8"/>
        <v/>
      </c>
      <c r="AF13" s="57" t="str">
        <f t="shared" si="8"/>
        <v/>
      </c>
      <c r="AG13" s="57" t="str">
        <f t="shared" si="8"/>
        <v/>
      </c>
      <c r="AH13" s="57" t="str">
        <f t="shared" si="8"/>
        <v/>
      </c>
      <c r="AI13" s="57" t="str">
        <f t="shared" si="8"/>
        <v/>
      </c>
      <c r="AJ13" s="57" t="str">
        <f t="shared" si="8"/>
        <v/>
      </c>
      <c r="AK13" s="57" t="str">
        <f t="shared" si="8"/>
        <v/>
      </c>
      <c r="AL13" s="57" t="str">
        <f t="shared" si="8"/>
        <v/>
      </c>
      <c r="AM13" s="57" t="str">
        <f t="shared" si="8"/>
        <v/>
      </c>
      <c r="AN13" s="57" t="str">
        <f t="shared" si="8"/>
        <v/>
      </c>
      <c r="AO13" s="57" t="str">
        <f t="shared" si="8"/>
        <v/>
      </c>
      <c r="AP13" s="57" t="str">
        <f t="shared" si="8"/>
        <v/>
      </c>
      <c r="AQ13" s="57" t="str">
        <f t="shared" si="8"/>
        <v/>
      </c>
      <c r="AR13" s="57" t="str">
        <f t="shared" si="8"/>
        <v/>
      </c>
      <c r="AS13" s="57" t="str">
        <f t="shared" si="8"/>
        <v/>
      </c>
      <c r="AT13" s="57" t="str">
        <f t="shared" si="8"/>
        <v/>
      </c>
      <c r="AU13" s="57" t="str">
        <f t="shared" si="8"/>
        <v/>
      </c>
      <c r="AV13" s="57" t="str">
        <f t="shared" si="8"/>
        <v/>
      </c>
    </row>
    <row r="14" ht="30.75" customHeight="1">
      <c r="A14" s="75" t="s">
        <v>16</v>
      </c>
      <c r="B14" s="50" t="s">
        <v>82</v>
      </c>
      <c r="C14" s="52" t="s">
        <v>364</v>
      </c>
      <c r="D14" s="52" t="s">
        <v>131</v>
      </c>
      <c r="E14" s="50" t="s">
        <v>14</v>
      </c>
      <c r="F14" s="68" t="s">
        <v>29</v>
      </c>
      <c r="G14" s="55">
        <v>46232.0</v>
      </c>
      <c r="H14" s="55">
        <v>46234.0</v>
      </c>
      <c r="I14" s="55">
        <v>46227.0</v>
      </c>
      <c r="J14" s="56">
        <v>1.0</v>
      </c>
      <c r="K14" s="57" t="str">
        <f t="shared" ref="K14:AV14" si="9">IF(AND(K$5&gt;=$G14,K$5&lt;=$H14,WEEKDAY(K$5,2)&lt;=5),"■","")</f>
        <v/>
      </c>
      <c r="L14" s="57" t="str">
        <f t="shared" si="9"/>
        <v/>
      </c>
      <c r="M14" s="57" t="str">
        <f t="shared" si="9"/>
        <v/>
      </c>
      <c r="N14" s="57" t="str">
        <f t="shared" si="9"/>
        <v/>
      </c>
      <c r="O14" s="57" t="str">
        <f t="shared" si="9"/>
        <v/>
      </c>
      <c r="P14" s="57" t="str">
        <f t="shared" si="9"/>
        <v/>
      </c>
      <c r="Q14" s="57" t="str">
        <f t="shared" si="9"/>
        <v/>
      </c>
      <c r="R14" s="57" t="str">
        <f t="shared" si="9"/>
        <v/>
      </c>
      <c r="S14" s="57" t="str">
        <f t="shared" si="9"/>
        <v/>
      </c>
      <c r="T14" s="57" t="str">
        <f t="shared" si="9"/>
        <v/>
      </c>
      <c r="U14" s="57" t="str">
        <f t="shared" si="9"/>
        <v/>
      </c>
      <c r="V14" s="57" t="str">
        <f t="shared" si="9"/>
        <v/>
      </c>
      <c r="W14" s="57" t="str">
        <f t="shared" si="9"/>
        <v>■</v>
      </c>
      <c r="X14" s="57" t="str">
        <f t="shared" si="9"/>
        <v>■</v>
      </c>
      <c r="Y14" s="57" t="str">
        <f t="shared" si="9"/>
        <v>■</v>
      </c>
      <c r="Z14" s="57" t="str">
        <f t="shared" si="9"/>
        <v/>
      </c>
      <c r="AA14" s="57" t="str">
        <f t="shared" si="9"/>
        <v/>
      </c>
      <c r="AB14" s="57" t="str">
        <f t="shared" si="9"/>
        <v/>
      </c>
      <c r="AC14" s="57" t="str">
        <f t="shared" si="9"/>
        <v/>
      </c>
      <c r="AD14" s="57" t="str">
        <f t="shared" si="9"/>
        <v/>
      </c>
      <c r="AE14" s="57" t="str">
        <f t="shared" si="9"/>
        <v/>
      </c>
      <c r="AF14" s="57" t="str">
        <f t="shared" si="9"/>
        <v/>
      </c>
      <c r="AG14" s="57" t="str">
        <f t="shared" si="9"/>
        <v/>
      </c>
      <c r="AH14" s="57" t="str">
        <f t="shared" si="9"/>
        <v/>
      </c>
      <c r="AI14" s="57" t="str">
        <f t="shared" si="9"/>
        <v/>
      </c>
      <c r="AJ14" s="57" t="str">
        <f t="shared" si="9"/>
        <v/>
      </c>
      <c r="AK14" s="57" t="str">
        <f t="shared" si="9"/>
        <v/>
      </c>
      <c r="AL14" s="57" t="str">
        <f t="shared" si="9"/>
        <v/>
      </c>
      <c r="AM14" s="57" t="str">
        <f t="shared" si="9"/>
        <v/>
      </c>
      <c r="AN14" s="57" t="str">
        <f t="shared" si="9"/>
        <v/>
      </c>
      <c r="AO14" s="57" t="str">
        <f t="shared" si="9"/>
        <v/>
      </c>
      <c r="AP14" s="57" t="str">
        <f t="shared" si="9"/>
        <v/>
      </c>
      <c r="AQ14" s="57" t="str">
        <f t="shared" si="9"/>
        <v/>
      </c>
      <c r="AR14" s="57" t="str">
        <f t="shared" si="9"/>
        <v/>
      </c>
      <c r="AS14" s="57" t="str">
        <f t="shared" si="9"/>
        <v/>
      </c>
      <c r="AT14" s="57" t="str">
        <f t="shared" si="9"/>
        <v/>
      </c>
      <c r="AU14" s="57" t="str">
        <f t="shared" si="9"/>
        <v/>
      </c>
      <c r="AV14" s="57" t="str">
        <f t="shared" si="9"/>
        <v/>
      </c>
    </row>
    <row r="15" ht="30.75" customHeight="1">
      <c r="A15" s="75" t="s">
        <v>16</v>
      </c>
      <c r="B15" s="50" t="s">
        <v>93</v>
      </c>
      <c r="C15" s="52" t="s">
        <v>365</v>
      </c>
      <c r="D15" s="52" t="s">
        <v>366</v>
      </c>
      <c r="E15" s="50" t="s">
        <v>14</v>
      </c>
      <c r="F15" s="68" t="s">
        <v>29</v>
      </c>
      <c r="G15" s="55">
        <v>46232.0</v>
      </c>
      <c r="H15" s="55">
        <v>46241.0</v>
      </c>
      <c r="I15" s="55">
        <v>46234.0</v>
      </c>
      <c r="J15" s="56">
        <v>1.0</v>
      </c>
      <c r="K15" s="57" t="str">
        <f t="shared" ref="K15:AV15" si="10">IF(AND(K$5&gt;=$G15,K$5&lt;=$H15,WEEKDAY(K$5,2)&lt;=5),"■","")</f>
        <v/>
      </c>
      <c r="L15" s="57" t="str">
        <f t="shared" si="10"/>
        <v/>
      </c>
      <c r="M15" s="57" t="str">
        <f t="shared" si="10"/>
        <v/>
      </c>
      <c r="N15" s="57" t="str">
        <f t="shared" si="10"/>
        <v/>
      </c>
      <c r="O15" s="57" t="str">
        <f t="shared" si="10"/>
        <v/>
      </c>
      <c r="P15" s="57" t="str">
        <f t="shared" si="10"/>
        <v/>
      </c>
      <c r="Q15" s="57" t="str">
        <f t="shared" si="10"/>
        <v/>
      </c>
      <c r="R15" s="57" t="str">
        <f t="shared" si="10"/>
        <v/>
      </c>
      <c r="S15" s="57" t="str">
        <f t="shared" si="10"/>
        <v/>
      </c>
      <c r="T15" s="57" t="str">
        <f t="shared" si="10"/>
        <v/>
      </c>
      <c r="U15" s="57" t="str">
        <f t="shared" si="10"/>
        <v/>
      </c>
      <c r="V15" s="57" t="str">
        <f t="shared" si="10"/>
        <v/>
      </c>
      <c r="W15" s="57" t="str">
        <f t="shared" si="10"/>
        <v>■</v>
      </c>
      <c r="X15" s="57" t="str">
        <f t="shared" si="10"/>
        <v>■</v>
      </c>
      <c r="Y15" s="57" t="str">
        <f t="shared" si="10"/>
        <v>■</v>
      </c>
      <c r="Z15" s="57" t="str">
        <f t="shared" si="10"/>
        <v>■</v>
      </c>
      <c r="AA15" s="57" t="str">
        <f t="shared" si="10"/>
        <v>■</v>
      </c>
      <c r="AB15" s="57" t="str">
        <f t="shared" si="10"/>
        <v>■</v>
      </c>
      <c r="AC15" s="57" t="str">
        <f t="shared" si="10"/>
        <v>■</v>
      </c>
      <c r="AD15" s="57" t="str">
        <f t="shared" si="10"/>
        <v>■</v>
      </c>
      <c r="AE15" s="57" t="str">
        <f t="shared" si="10"/>
        <v/>
      </c>
      <c r="AF15" s="57" t="str">
        <f t="shared" si="10"/>
        <v/>
      </c>
      <c r="AG15" s="57" t="str">
        <f t="shared" si="10"/>
        <v/>
      </c>
      <c r="AH15" s="57" t="str">
        <f t="shared" si="10"/>
        <v/>
      </c>
      <c r="AI15" s="57" t="str">
        <f t="shared" si="10"/>
        <v/>
      </c>
      <c r="AJ15" s="57" t="str">
        <f t="shared" si="10"/>
        <v/>
      </c>
      <c r="AK15" s="57" t="str">
        <f t="shared" si="10"/>
        <v/>
      </c>
      <c r="AL15" s="57" t="str">
        <f t="shared" si="10"/>
        <v/>
      </c>
      <c r="AM15" s="57" t="str">
        <f t="shared" si="10"/>
        <v/>
      </c>
      <c r="AN15" s="57" t="str">
        <f t="shared" si="10"/>
        <v/>
      </c>
      <c r="AO15" s="57" t="str">
        <f t="shared" si="10"/>
        <v/>
      </c>
      <c r="AP15" s="57" t="str">
        <f t="shared" si="10"/>
        <v/>
      </c>
      <c r="AQ15" s="57" t="str">
        <f t="shared" si="10"/>
        <v/>
      </c>
      <c r="AR15" s="57" t="str">
        <f t="shared" si="10"/>
        <v/>
      </c>
      <c r="AS15" s="57" t="str">
        <f t="shared" si="10"/>
        <v/>
      </c>
      <c r="AT15" s="57" t="str">
        <f t="shared" si="10"/>
        <v/>
      </c>
      <c r="AU15" s="57" t="str">
        <f t="shared" si="10"/>
        <v/>
      </c>
      <c r="AV15" s="57" t="str">
        <f t="shared" si="10"/>
        <v/>
      </c>
    </row>
    <row r="16" ht="30.75" customHeight="1">
      <c r="A16" s="75" t="s">
        <v>16</v>
      </c>
      <c r="B16" s="50" t="s">
        <v>102</v>
      </c>
      <c r="C16" s="52" t="s">
        <v>367</v>
      </c>
      <c r="D16" s="52" t="s">
        <v>368</v>
      </c>
      <c r="E16" s="50" t="s">
        <v>14</v>
      </c>
      <c r="F16" s="68" t="s">
        <v>29</v>
      </c>
      <c r="G16" s="55">
        <v>46232.0</v>
      </c>
      <c r="H16" s="55">
        <v>46241.0</v>
      </c>
      <c r="I16" s="55">
        <v>46234.0</v>
      </c>
      <c r="J16" s="56">
        <v>1.0</v>
      </c>
      <c r="K16" s="57" t="str">
        <f t="shared" ref="K16:AV16" si="11">IF(AND(K$5&gt;=$G16,K$5&lt;=$H16,WEEKDAY(K$5,2)&lt;=5),"■","")</f>
        <v/>
      </c>
      <c r="L16" s="57" t="str">
        <f t="shared" si="11"/>
        <v/>
      </c>
      <c r="M16" s="57" t="str">
        <f t="shared" si="11"/>
        <v/>
      </c>
      <c r="N16" s="57" t="str">
        <f t="shared" si="11"/>
        <v/>
      </c>
      <c r="O16" s="57" t="str">
        <f t="shared" si="11"/>
        <v/>
      </c>
      <c r="P16" s="57" t="str">
        <f t="shared" si="11"/>
        <v/>
      </c>
      <c r="Q16" s="57" t="str">
        <f t="shared" si="11"/>
        <v/>
      </c>
      <c r="R16" s="57" t="str">
        <f t="shared" si="11"/>
        <v/>
      </c>
      <c r="S16" s="57" t="str">
        <f t="shared" si="11"/>
        <v/>
      </c>
      <c r="T16" s="57" t="str">
        <f t="shared" si="11"/>
        <v/>
      </c>
      <c r="U16" s="57" t="str">
        <f t="shared" si="11"/>
        <v/>
      </c>
      <c r="V16" s="57" t="str">
        <f t="shared" si="11"/>
        <v/>
      </c>
      <c r="W16" s="57" t="str">
        <f t="shared" si="11"/>
        <v>■</v>
      </c>
      <c r="X16" s="57" t="str">
        <f t="shared" si="11"/>
        <v>■</v>
      </c>
      <c r="Y16" s="57" t="str">
        <f t="shared" si="11"/>
        <v>■</v>
      </c>
      <c r="Z16" s="57" t="str">
        <f t="shared" si="11"/>
        <v>■</v>
      </c>
      <c r="AA16" s="57" t="str">
        <f t="shared" si="11"/>
        <v>■</v>
      </c>
      <c r="AB16" s="57" t="str">
        <f t="shared" si="11"/>
        <v>■</v>
      </c>
      <c r="AC16" s="57" t="str">
        <f t="shared" si="11"/>
        <v>■</v>
      </c>
      <c r="AD16" s="57" t="str">
        <f t="shared" si="11"/>
        <v>■</v>
      </c>
      <c r="AE16" s="57" t="str">
        <f t="shared" si="11"/>
        <v/>
      </c>
      <c r="AF16" s="57" t="str">
        <f t="shared" si="11"/>
        <v/>
      </c>
      <c r="AG16" s="57" t="str">
        <f t="shared" si="11"/>
        <v/>
      </c>
      <c r="AH16" s="57" t="str">
        <f t="shared" si="11"/>
        <v/>
      </c>
      <c r="AI16" s="57" t="str">
        <f t="shared" si="11"/>
        <v/>
      </c>
      <c r="AJ16" s="57" t="str">
        <f t="shared" si="11"/>
        <v/>
      </c>
      <c r="AK16" s="57" t="str">
        <f t="shared" si="11"/>
        <v/>
      </c>
      <c r="AL16" s="57" t="str">
        <f t="shared" si="11"/>
        <v/>
      </c>
      <c r="AM16" s="57" t="str">
        <f t="shared" si="11"/>
        <v/>
      </c>
      <c r="AN16" s="57" t="str">
        <f t="shared" si="11"/>
        <v/>
      </c>
      <c r="AO16" s="57" t="str">
        <f t="shared" si="11"/>
        <v/>
      </c>
      <c r="AP16" s="57" t="str">
        <f t="shared" si="11"/>
        <v/>
      </c>
      <c r="AQ16" s="57" t="str">
        <f t="shared" si="11"/>
        <v/>
      </c>
      <c r="AR16" s="57" t="str">
        <f t="shared" si="11"/>
        <v/>
      </c>
      <c r="AS16" s="57" t="str">
        <f t="shared" si="11"/>
        <v/>
      </c>
      <c r="AT16" s="57" t="str">
        <f t="shared" si="11"/>
        <v/>
      </c>
      <c r="AU16" s="57" t="str">
        <f t="shared" si="11"/>
        <v/>
      </c>
      <c r="AV16" s="57" t="str">
        <f t="shared" si="11"/>
        <v/>
      </c>
    </row>
    <row r="17" ht="30.75" customHeight="1">
      <c r="A17" s="75" t="s">
        <v>16</v>
      </c>
      <c r="B17" s="50" t="s">
        <v>155</v>
      </c>
      <c r="C17" s="52" t="s">
        <v>369</v>
      </c>
      <c r="D17" s="52" t="s">
        <v>370</v>
      </c>
      <c r="E17" s="50" t="s">
        <v>14</v>
      </c>
      <c r="F17" s="68" t="s">
        <v>29</v>
      </c>
      <c r="G17" s="55">
        <v>46233.0</v>
      </c>
      <c r="H17" s="55">
        <v>46241.0</v>
      </c>
      <c r="I17" s="72"/>
      <c r="J17" s="56">
        <v>1.0</v>
      </c>
      <c r="K17" s="57" t="str">
        <f t="shared" ref="K17:AV17" si="12">IF(AND(K$5&gt;=$G17,K$5&lt;=$H17,WEEKDAY(K$5,2)&lt;=5),"■","")</f>
        <v/>
      </c>
      <c r="L17" s="57" t="str">
        <f t="shared" si="12"/>
        <v/>
      </c>
      <c r="M17" s="57" t="str">
        <f t="shared" si="12"/>
        <v/>
      </c>
      <c r="N17" s="57" t="str">
        <f t="shared" si="12"/>
        <v/>
      </c>
      <c r="O17" s="57" t="str">
        <f t="shared" si="12"/>
        <v/>
      </c>
      <c r="P17" s="57" t="str">
        <f t="shared" si="12"/>
        <v/>
      </c>
      <c r="Q17" s="57" t="str">
        <f t="shared" si="12"/>
        <v/>
      </c>
      <c r="R17" s="57" t="str">
        <f t="shared" si="12"/>
        <v/>
      </c>
      <c r="S17" s="57" t="str">
        <f t="shared" si="12"/>
        <v/>
      </c>
      <c r="T17" s="57" t="str">
        <f t="shared" si="12"/>
        <v/>
      </c>
      <c r="U17" s="57" t="str">
        <f t="shared" si="12"/>
        <v/>
      </c>
      <c r="V17" s="57" t="str">
        <f t="shared" si="12"/>
        <v/>
      </c>
      <c r="W17" s="57" t="str">
        <f t="shared" si="12"/>
        <v/>
      </c>
      <c r="X17" s="57" t="str">
        <f t="shared" si="12"/>
        <v>■</v>
      </c>
      <c r="Y17" s="57" t="str">
        <f t="shared" si="12"/>
        <v>■</v>
      </c>
      <c r="Z17" s="57" t="str">
        <f t="shared" si="12"/>
        <v>■</v>
      </c>
      <c r="AA17" s="57" t="str">
        <f t="shared" si="12"/>
        <v>■</v>
      </c>
      <c r="AB17" s="57" t="str">
        <f t="shared" si="12"/>
        <v>■</v>
      </c>
      <c r="AC17" s="57" t="str">
        <f t="shared" si="12"/>
        <v>■</v>
      </c>
      <c r="AD17" s="57" t="str">
        <f t="shared" si="12"/>
        <v>■</v>
      </c>
      <c r="AE17" s="57" t="str">
        <f t="shared" si="12"/>
        <v/>
      </c>
      <c r="AF17" s="57" t="str">
        <f t="shared" si="12"/>
        <v/>
      </c>
      <c r="AG17" s="57" t="str">
        <f t="shared" si="12"/>
        <v/>
      </c>
      <c r="AH17" s="57" t="str">
        <f t="shared" si="12"/>
        <v/>
      </c>
      <c r="AI17" s="57" t="str">
        <f t="shared" si="12"/>
        <v/>
      </c>
      <c r="AJ17" s="57" t="str">
        <f t="shared" si="12"/>
        <v/>
      </c>
      <c r="AK17" s="57" t="str">
        <f t="shared" si="12"/>
        <v/>
      </c>
      <c r="AL17" s="57" t="str">
        <f t="shared" si="12"/>
        <v/>
      </c>
      <c r="AM17" s="57" t="str">
        <f t="shared" si="12"/>
        <v/>
      </c>
      <c r="AN17" s="57" t="str">
        <f t="shared" si="12"/>
        <v/>
      </c>
      <c r="AO17" s="57" t="str">
        <f t="shared" si="12"/>
        <v/>
      </c>
      <c r="AP17" s="57" t="str">
        <f t="shared" si="12"/>
        <v/>
      </c>
      <c r="AQ17" s="57" t="str">
        <f t="shared" si="12"/>
        <v/>
      </c>
      <c r="AR17" s="57" t="str">
        <f t="shared" si="12"/>
        <v/>
      </c>
      <c r="AS17" s="57" t="str">
        <f t="shared" si="12"/>
        <v/>
      </c>
      <c r="AT17" s="57" t="str">
        <f t="shared" si="12"/>
        <v/>
      </c>
      <c r="AU17" s="57" t="str">
        <f t="shared" si="12"/>
        <v/>
      </c>
      <c r="AV17" s="57" t="str">
        <f t="shared" si="12"/>
        <v/>
      </c>
    </row>
    <row r="18" ht="30.75" customHeight="1">
      <c r="A18" s="75" t="s">
        <v>16</v>
      </c>
      <c r="B18" s="50" t="s">
        <v>164</v>
      </c>
      <c r="C18" s="52" t="s">
        <v>371</v>
      </c>
      <c r="D18" s="52" t="s">
        <v>372</v>
      </c>
      <c r="E18" s="50" t="s">
        <v>14</v>
      </c>
      <c r="F18" s="68" t="s">
        <v>29</v>
      </c>
      <c r="G18" s="55">
        <v>46232.0</v>
      </c>
      <c r="H18" s="55">
        <v>46241.0</v>
      </c>
      <c r="I18" s="55"/>
      <c r="J18" s="56">
        <v>1.0</v>
      </c>
      <c r="K18" s="57" t="str">
        <f t="shared" ref="K18:AV18" si="13">IF(AND(K$5&gt;=$G18,K$5&lt;=$H18,WEEKDAY(K$5,2)&lt;=5),"■","")</f>
        <v/>
      </c>
      <c r="L18" s="57" t="str">
        <f t="shared" si="13"/>
        <v/>
      </c>
      <c r="M18" s="57" t="str">
        <f t="shared" si="13"/>
        <v/>
      </c>
      <c r="N18" s="57" t="str">
        <f t="shared" si="13"/>
        <v/>
      </c>
      <c r="O18" s="57" t="str">
        <f t="shared" si="13"/>
        <v/>
      </c>
      <c r="P18" s="57" t="str">
        <f t="shared" si="13"/>
        <v/>
      </c>
      <c r="Q18" s="57" t="str">
        <f t="shared" si="13"/>
        <v/>
      </c>
      <c r="R18" s="57" t="str">
        <f t="shared" si="13"/>
        <v/>
      </c>
      <c r="S18" s="57" t="str">
        <f t="shared" si="13"/>
        <v/>
      </c>
      <c r="T18" s="57" t="str">
        <f t="shared" si="13"/>
        <v/>
      </c>
      <c r="U18" s="57" t="str">
        <f t="shared" si="13"/>
        <v/>
      </c>
      <c r="V18" s="57" t="str">
        <f t="shared" si="13"/>
        <v/>
      </c>
      <c r="W18" s="57" t="str">
        <f t="shared" si="13"/>
        <v>■</v>
      </c>
      <c r="X18" s="57" t="str">
        <f t="shared" si="13"/>
        <v>■</v>
      </c>
      <c r="Y18" s="57" t="str">
        <f t="shared" si="13"/>
        <v>■</v>
      </c>
      <c r="Z18" s="57" t="str">
        <f t="shared" si="13"/>
        <v>■</v>
      </c>
      <c r="AA18" s="57" t="str">
        <f t="shared" si="13"/>
        <v>■</v>
      </c>
      <c r="AB18" s="57" t="str">
        <f t="shared" si="13"/>
        <v>■</v>
      </c>
      <c r="AC18" s="57" t="str">
        <f t="shared" si="13"/>
        <v>■</v>
      </c>
      <c r="AD18" s="57" t="str">
        <f t="shared" si="13"/>
        <v>■</v>
      </c>
      <c r="AE18" s="57" t="str">
        <f t="shared" si="13"/>
        <v/>
      </c>
      <c r="AF18" s="57" t="str">
        <f t="shared" si="13"/>
        <v/>
      </c>
      <c r="AG18" s="57" t="str">
        <f t="shared" si="13"/>
        <v/>
      </c>
      <c r="AH18" s="57" t="str">
        <f t="shared" si="13"/>
        <v/>
      </c>
      <c r="AI18" s="57" t="str">
        <f t="shared" si="13"/>
        <v/>
      </c>
      <c r="AJ18" s="57" t="str">
        <f t="shared" si="13"/>
        <v/>
      </c>
      <c r="AK18" s="57" t="str">
        <f t="shared" si="13"/>
        <v/>
      </c>
      <c r="AL18" s="57" t="str">
        <f t="shared" si="13"/>
        <v/>
      </c>
      <c r="AM18" s="57" t="str">
        <f t="shared" si="13"/>
        <v/>
      </c>
      <c r="AN18" s="57" t="str">
        <f t="shared" si="13"/>
        <v/>
      </c>
      <c r="AO18" s="57" t="str">
        <f t="shared" si="13"/>
        <v/>
      </c>
      <c r="AP18" s="57" t="str">
        <f t="shared" si="13"/>
        <v/>
      </c>
      <c r="AQ18" s="57" t="str">
        <f t="shared" si="13"/>
        <v/>
      </c>
      <c r="AR18" s="57" t="str">
        <f t="shared" si="13"/>
        <v/>
      </c>
      <c r="AS18" s="57" t="str">
        <f t="shared" si="13"/>
        <v/>
      </c>
      <c r="AT18" s="57" t="str">
        <f t="shared" si="13"/>
        <v/>
      </c>
      <c r="AU18" s="57" t="str">
        <f t="shared" si="13"/>
        <v/>
      </c>
      <c r="AV18" s="57" t="str">
        <f t="shared" si="13"/>
        <v/>
      </c>
    </row>
    <row r="19" ht="30.75" customHeight="1">
      <c r="A19" s="75" t="s">
        <v>16</v>
      </c>
      <c r="B19" s="50" t="s">
        <v>171</v>
      </c>
      <c r="C19" s="52" t="s">
        <v>373</v>
      </c>
      <c r="D19" s="52" t="s">
        <v>374</v>
      </c>
      <c r="E19" s="50" t="s">
        <v>14</v>
      </c>
      <c r="F19" s="68" t="s">
        <v>29</v>
      </c>
      <c r="G19" s="55">
        <v>46232.0</v>
      </c>
      <c r="H19" s="55">
        <v>46255.0</v>
      </c>
      <c r="I19" s="72"/>
      <c r="J19" s="56">
        <v>1.0</v>
      </c>
      <c r="K19" s="57" t="str">
        <f t="shared" ref="K19:AV19" si="14">IF(AND(K$5&gt;=$G19,K$5&lt;=$H19,WEEKDAY(K$5,2)&lt;=5),"■","")</f>
        <v/>
      </c>
      <c r="L19" s="57" t="str">
        <f t="shared" si="14"/>
        <v/>
      </c>
      <c r="M19" s="57" t="str">
        <f t="shared" si="14"/>
        <v/>
      </c>
      <c r="N19" s="57" t="str">
        <f t="shared" si="14"/>
        <v/>
      </c>
      <c r="O19" s="57" t="str">
        <f t="shared" si="14"/>
        <v/>
      </c>
      <c r="P19" s="57" t="str">
        <f t="shared" si="14"/>
        <v/>
      </c>
      <c r="Q19" s="57" t="str">
        <f t="shared" si="14"/>
        <v/>
      </c>
      <c r="R19" s="57" t="str">
        <f t="shared" si="14"/>
        <v/>
      </c>
      <c r="S19" s="57" t="str">
        <f t="shared" si="14"/>
        <v/>
      </c>
      <c r="T19" s="57" t="str">
        <f t="shared" si="14"/>
        <v/>
      </c>
      <c r="U19" s="57" t="str">
        <f t="shared" si="14"/>
        <v/>
      </c>
      <c r="V19" s="57" t="str">
        <f t="shared" si="14"/>
        <v/>
      </c>
      <c r="W19" s="57" t="str">
        <f t="shared" si="14"/>
        <v>■</v>
      </c>
      <c r="X19" s="57" t="str">
        <f t="shared" si="14"/>
        <v>■</v>
      </c>
      <c r="Y19" s="57" t="str">
        <f t="shared" si="14"/>
        <v>■</v>
      </c>
      <c r="Z19" s="57" t="str">
        <f t="shared" si="14"/>
        <v>■</v>
      </c>
      <c r="AA19" s="57" t="str">
        <f t="shared" si="14"/>
        <v>■</v>
      </c>
      <c r="AB19" s="57" t="str">
        <f t="shared" si="14"/>
        <v>■</v>
      </c>
      <c r="AC19" s="57" t="str">
        <f t="shared" si="14"/>
        <v>■</v>
      </c>
      <c r="AD19" s="57" t="str">
        <f t="shared" si="14"/>
        <v>■</v>
      </c>
      <c r="AE19" s="57" t="str">
        <f t="shared" si="14"/>
        <v>■</v>
      </c>
      <c r="AF19" s="57" t="str">
        <f t="shared" si="14"/>
        <v>■</v>
      </c>
      <c r="AG19" s="57" t="str">
        <f t="shared" si="14"/>
        <v>■</v>
      </c>
      <c r="AH19" s="57" t="str">
        <f t="shared" si="14"/>
        <v>■</v>
      </c>
      <c r="AI19" s="57" t="str">
        <f t="shared" si="14"/>
        <v>■</v>
      </c>
      <c r="AJ19" s="57" t="str">
        <f t="shared" si="14"/>
        <v>■</v>
      </c>
      <c r="AK19" s="57" t="str">
        <f t="shared" si="14"/>
        <v>■</v>
      </c>
      <c r="AL19" s="57" t="str">
        <f t="shared" si="14"/>
        <v>■</v>
      </c>
      <c r="AM19" s="57" t="str">
        <f t="shared" si="14"/>
        <v>■</v>
      </c>
      <c r="AN19" s="57" t="str">
        <f t="shared" si="14"/>
        <v/>
      </c>
      <c r="AO19" s="57" t="str">
        <f t="shared" si="14"/>
        <v/>
      </c>
      <c r="AP19" s="57" t="str">
        <f t="shared" si="14"/>
        <v/>
      </c>
      <c r="AQ19" s="57" t="str">
        <f t="shared" si="14"/>
        <v/>
      </c>
      <c r="AR19" s="57" t="str">
        <f t="shared" si="14"/>
        <v/>
      </c>
      <c r="AS19" s="57" t="str">
        <f t="shared" si="14"/>
        <v/>
      </c>
      <c r="AT19" s="57" t="str">
        <f t="shared" si="14"/>
        <v/>
      </c>
      <c r="AU19" s="57" t="str">
        <f t="shared" si="14"/>
        <v/>
      </c>
      <c r="AV19" s="57" t="str">
        <f t="shared" si="14"/>
        <v/>
      </c>
    </row>
    <row r="20" ht="30.75" customHeight="1">
      <c r="A20" s="75" t="s">
        <v>16</v>
      </c>
      <c r="B20" s="50" t="s">
        <v>179</v>
      </c>
      <c r="C20" s="52" t="s">
        <v>375</v>
      </c>
      <c r="D20" s="51" t="s">
        <v>376</v>
      </c>
      <c r="E20" s="50" t="s">
        <v>14</v>
      </c>
      <c r="F20" s="68" t="s">
        <v>29</v>
      </c>
      <c r="G20" s="55">
        <v>46244.0</v>
      </c>
      <c r="H20" s="55">
        <v>46255.0</v>
      </c>
      <c r="I20" s="55"/>
      <c r="J20" s="56">
        <v>1.0</v>
      </c>
      <c r="K20" s="57" t="str">
        <f t="shared" ref="K20:AV20" si="15">IF(AND(K$5&gt;=$G20,K$5&lt;=$H20,WEEKDAY(K$5,2)&lt;=5),"■","")</f>
        <v/>
      </c>
      <c r="L20" s="57" t="str">
        <f t="shared" si="15"/>
        <v/>
      </c>
      <c r="M20" s="57" t="str">
        <f t="shared" si="15"/>
        <v/>
      </c>
      <c r="N20" s="57" t="str">
        <f t="shared" si="15"/>
        <v/>
      </c>
      <c r="O20" s="57" t="str">
        <f t="shared" si="15"/>
        <v/>
      </c>
      <c r="P20" s="57" t="str">
        <f t="shared" si="15"/>
        <v/>
      </c>
      <c r="Q20" s="57" t="str">
        <f t="shared" si="15"/>
        <v/>
      </c>
      <c r="R20" s="57" t="str">
        <f t="shared" si="15"/>
        <v/>
      </c>
      <c r="S20" s="57" t="str">
        <f t="shared" si="15"/>
        <v/>
      </c>
      <c r="T20" s="57" t="str">
        <f t="shared" si="15"/>
        <v/>
      </c>
      <c r="U20" s="57" t="str">
        <f t="shared" si="15"/>
        <v/>
      </c>
      <c r="V20" s="57" t="str">
        <f t="shared" si="15"/>
        <v/>
      </c>
      <c r="W20" s="57" t="str">
        <f t="shared" si="15"/>
        <v/>
      </c>
      <c r="X20" s="57" t="str">
        <f t="shared" si="15"/>
        <v/>
      </c>
      <c r="Y20" s="57" t="str">
        <f t="shared" si="15"/>
        <v/>
      </c>
      <c r="Z20" s="57" t="str">
        <f t="shared" si="15"/>
        <v/>
      </c>
      <c r="AA20" s="57" t="str">
        <f t="shared" si="15"/>
        <v/>
      </c>
      <c r="AB20" s="57" t="str">
        <f t="shared" si="15"/>
        <v/>
      </c>
      <c r="AC20" s="57" t="str">
        <f t="shared" si="15"/>
        <v/>
      </c>
      <c r="AD20" s="57" t="str">
        <f t="shared" si="15"/>
        <v/>
      </c>
      <c r="AE20" s="57" t="str">
        <f t="shared" si="15"/>
        <v>■</v>
      </c>
      <c r="AF20" s="57" t="str">
        <f t="shared" si="15"/>
        <v>■</v>
      </c>
      <c r="AG20" s="57" t="str">
        <f t="shared" si="15"/>
        <v>■</v>
      </c>
      <c r="AH20" s="57" t="str">
        <f t="shared" si="15"/>
        <v>■</v>
      </c>
      <c r="AI20" s="57" t="str">
        <f t="shared" si="15"/>
        <v>■</v>
      </c>
      <c r="AJ20" s="57" t="str">
        <f t="shared" si="15"/>
        <v>■</v>
      </c>
      <c r="AK20" s="57" t="str">
        <f t="shared" si="15"/>
        <v>■</v>
      </c>
      <c r="AL20" s="57" t="str">
        <f t="shared" si="15"/>
        <v>■</v>
      </c>
      <c r="AM20" s="57" t="str">
        <f t="shared" si="15"/>
        <v>■</v>
      </c>
      <c r="AN20" s="57" t="str">
        <f t="shared" si="15"/>
        <v/>
      </c>
      <c r="AO20" s="57" t="str">
        <f t="shared" si="15"/>
        <v/>
      </c>
      <c r="AP20" s="57" t="str">
        <f t="shared" si="15"/>
        <v/>
      </c>
      <c r="AQ20" s="57" t="str">
        <f t="shared" si="15"/>
        <v/>
      </c>
      <c r="AR20" s="57" t="str">
        <f t="shared" si="15"/>
        <v/>
      </c>
      <c r="AS20" s="57" t="str">
        <f t="shared" si="15"/>
        <v/>
      </c>
      <c r="AT20" s="57" t="str">
        <f t="shared" si="15"/>
        <v/>
      </c>
      <c r="AU20" s="57" t="str">
        <f t="shared" si="15"/>
        <v/>
      </c>
      <c r="AV20" s="57" t="str">
        <f t="shared" si="15"/>
        <v/>
      </c>
    </row>
    <row r="21" ht="30.75" customHeight="1">
      <c r="A21" s="75" t="s">
        <v>16</v>
      </c>
      <c r="B21" s="50" t="s">
        <v>377</v>
      </c>
      <c r="C21" s="51" t="s">
        <v>166</v>
      </c>
      <c r="D21" s="52" t="s">
        <v>169</v>
      </c>
      <c r="E21" s="50" t="s">
        <v>14</v>
      </c>
      <c r="F21" s="68" t="s">
        <v>29</v>
      </c>
      <c r="G21" s="55">
        <v>46232.0</v>
      </c>
      <c r="H21" s="55">
        <v>46255.0</v>
      </c>
      <c r="I21" s="72"/>
      <c r="J21" s="56">
        <v>1.0</v>
      </c>
      <c r="K21" s="57" t="str">
        <f t="shared" ref="K21:AV21" si="16">IF(AND(K$5&gt;=$G21,K$5&lt;=$H21,WEEKDAY(K$5,2)&lt;=5),"■","")</f>
        <v/>
      </c>
      <c r="L21" s="57" t="str">
        <f t="shared" si="16"/>
        <v/>
      </c>
      <c r="M21" s="57" t="str">
        <f t="shared" si="16"/>
        <v/>
      </c>
      <c r="N21" s="57" t="str">
        <f t="shared" si="16"/>
        <v/>
      </c>
      <c r="O21" s="57" t="str">
        <f t="shared" si="16"/>
        <v/>
      </c>
      <c r="P21" s="57" t="str">
        <f t="shared" si="16"/>
        <v/>
      </c>
      <c r="Q21" s="57" t="str">
        <f t="shared" si="16"/>
        <v/>
      </c>
      <c r="R21" s="57" t="str">
        <f t="shared" si="16"/>
        <v/>
      </c>
      <c r="S21" s="57" t="str">
        <f t="shared" si="16"/>
        <v/>
      </c>
      <c r="T21" s="57" t="str">
        <f t="shared" si="16"/>
        <v/>
      </c>
      <c r="U21" s="57" t="str">
        <f t="shared" si="16"/>
        <v/>
      </c>
      <c r="V21" s="57" t="str">
        <f t="shared" si="16"/>
        <v/>
      </c>
      <c r="W21" s="57" t="str">
        <f t="shared" si="16"/>
        <v>■</v>
      </c>
      <c r="X21" s="57" t="str">
        <f t="shared" si="16"/>
        <v>■</v>
      </c>
      <c r="Y21" s="57" t="str">
        <f t="shared" si="16"/>
        <v>■</v>
      </c>
      <c r="Z21" s="57" t="str">
        <f t="shared" si="16"/>
        <v>■</v>
      </c>
      <c r="AA21" s="57" t="str">
        <f t="shared" si="16"/>
        <v>■</v>
      </c>
      <c r="AB21" s="57" t="str">
        <f t="shared" si="16"/>
        <v>■</v>
      </c>
      <c r="AC21" s="57" t="str">
        <f t="shared" si="16"/>
        <v>■</v>
      </c>
      <c r="AD21" s="57" t="str">
        <f t="shared" si="16"/>
        <v>■</v>
      </c>
      <c r="AE21" s="57" t="str">
        <f t="shared" si="16"/>
        <v>■</v>
      </c>
      <c r="AF21" s="57" t="str">
        <f t="shared" si="16"/>
        <v>■</v>
      </c>
      <c r="AG21" s="57" t="str">
        <f t="shared" si="16"/>
        <v>■</v>
      </c>
      <c r="AH21" s="57" t="str">
        <f t="shared" si="16"/>
        <v>■</v>
      </c>
      <c r="AI21" s="57" t="str">
        <f t="shared" si="16"/>
        <v>■</v>
      </c>
      <c r="AJ21" s="57" t="str">
        <f t="shared" si="16"/>
        <v>■</v>
      </c>
      <c r="AK21" s="57" t="str">
        <f t="shared" si="16"/>
        <v>■</v>
      </c>
      <c r="AL21" s="57" t="str">
        <f t="shared" si="16"/>
        <v>■</v>
      </c>
      <c r="AM21" s="57" t="str">
        <f t="shared" si="16"/>
        <v>■</v>
      </c>
      <c r="AN21" s="57" t="str">
        <f t="shared" si="16"/>
        <v/>
      </c>
      <c r="AO21" s="57" t="str">
        <f t="shared" si="16"/>
        <v/>
      </c>
      <c r="AP21" s="57" t="str">
        <f t="shared" si="16"/>
        <v/>
      </c>
      <c r="AQ21" s="57" t="str">
        <f t="shared" si="16"/>
        <v/>
      </c>
      <c r="AR21" s="57" t="str">
        <f t="shared" si="16"/>
        <v/>
      </c>
      <c r="AS21" s="57" t="str">
        <f t="shared" si="16"/>
        <v/>
      </c>
      <c r="AT21" s="57" t="str">
        <f t="shared" si="16"/>
        <v/>
      </c>
      <c r="AU21" s="57" t="str">
        <f t="shared" si="16"/>
        <v/>
      </c>
      <c r="AV21" s="57" t="str">
        <f t="shared" si="16"/>
        <v/>
      </c>
    </row>
    <row r="22" ht="30.75" customHeight="1">
      <c r="A22" s="75" t="s">
        <v>16</v>
      </c>
      <c r="B22" s="50" t="s">
        <v>378</v>
      </c>
      <c r="C22" s="52" t="s">
        <v>172</v>
      </c>
      <c r="D22" s="52" t="s">
        <v>379</v>
      </c>
      <c r="E22" s="50" t="s">
        <v>14</v>
      </c>
      <c r="F22" s="68" t="s">
        <v>29</v>
      </c>
      <c r="G22" s="55">
        <v>46244.0</v>
      </c>
      <c r="H22" s="55">
        <v>46255.0</v>
      </c>
      <c r="I22" s="72"/>
      <c r="J22" s="56">
        <v>1.0</v>
      </c>
      <c r="K22" s="57" t="str">
        <f t="shared" ref="K22:AV22" si="17">IF(AND(K$5&gt;=$G22,K$5&lt;=$H22,WEEKDAY(K$5,2)&lt;=5),"■","")</f>
        <v/>
      </c>
      <c r="L22" s="57" t="str">
        <f t="shared" si="17"/>
        <v/>
      </c>
      <c r="M22" s="57" t="str">
        <f t="shared" si="17"/>
        <v/>
      </c>
      <c r="N22" s="57" t="str">
        <f t="shared" si="17"/>
        <v/>
      </c>
      <c r="O22" s="57" t="str">
        <f t="shared" si="17"/>
        <v/>
      </c>
      <c r="P22" s="57" t="str">
        <f t="shared" si="17"/>
        <v/>
      </c>
      <c r="Q22" s="57" t="str">
        <f t="shared" si="17"/>
        <v/>
      </c>
      <c r="R22" s="57" t="str">
        <f t="shared" si="17"/>
        <v/>
      </c>
      <c r="S22" s="57" t="str">
        <f t="shared" si="17"/>
        <v/>
      </c>
      <c r="T22" s="57" t="str">
        <f t="shared" si="17"/>
        <v/>
      </c>
      <c r="U22" s="57" t="str">
        <f t="shared" si="17"/>
        <v/>
      </c>
      <c r="V22" s="57" t="str">
        <f t="shared" si="17"/>
        <v/>
      </c>
      <c r="W22" s="57" t="str">
        <f t="shared" si="17"/>
        <v/>
      </c>
      <c r="X22" s="57" t="str">
        <f t="shared" si="17"/>
        <v/>
      </c>
      <c r="Y22" s="57" t="str">
        <f t="shared" si="17"/>
        <v/>
      </c>
      <c r="Z22" s="57" t="str">
        <f t="shared" si="17"/>
        <v/>
      </c>
      <c r="AA22" s="57" t="str">
        <f t="shared" si="17"/>
        <v/>
      </c>
      <c r="AB22" s="57" t="str">
        <f t="shared" si="17"/>
        <v/>
      </c>
      <c r="AC22" s="57" t="str">
        <f t="shared" si="17"/>
        <v/>
      </c>
      <c r="AD22" s="57" t="str">
        <f t="shared" si="17"/>
        <v/>
      </c>
      <c r="AE22" s="57" t="str">
        <f t="shared" si="17"/>
        <v>■</v>
      </c>
      <c r="AF22" s="57" t="str">
        <f t="shared" si="17"/>
        <v>■</v>
      </c>
      <c r="AG22" s="57" t="str">
        <f t="shared" si="17"/>
        <v>■</v>
      </c>
      <c r="AH22" s="57" t="str">
        <f t="shared" si="17"/>
        <v>■</v>
      </c>
      <c r="AI22" s="57" t="str">
        <f t="shared" si="17"/>
        <v>■</v>
      </c>
      <c r="AJ22" s="57" t="str">
        <f t="shared" si="17"/>
        <v>■</v>
      </c>
      <c r="AK22" s="57" t="str">
        <f t="shared" si="17"/>
        <v>■</v>
      </c>
      <c r="AL22" s="57" t="str">
        <f t="shared" si="17"/>
        <v>■</v>
      </c>
      <c r="AM22" s="57" t="str">
        <f t="shared" si="17"/>
        <v>■</v>
      </c>
      <c r="AN22" s="57" t="str">
        <f t="shared" si="17"/>
        <v/>
      </c>
      <c r="AO22" s="57" t="str">
        <f t="shared" si="17"/>
        <v/>
      </c>
      <c r="AP22" s="57" t="str">
        <f t="shared" si="17"/>
        <v/>
      </c>
      <c r="AQ22" s="57" t="str">
        <f t="shared" si="17"/>
        <v/>
      </c>
      <c r="AR22" s="57" t="str">
        <f t="shared" si="17"/>
        <v/>
      </c>
      <c r="AS22" s="57" t="str">
        <f t="shared" si="17"/>
        <v/>
      </c>
      <c r="AT22" s="57" t="str">
        <f t="shared" si="17"/>
        <v/>
      </c>
      <c r="AU22" s="57" t="str">
        <f t="shared" si="17"/>
        <v/>
      </c>
      <c r="AV22" s="57" t="str">
        <f t="shared" si="17"/>
        <v/>
      </c>
    </row>
    <row r="23" ht="30.75" customHeight="1">
      <c r="A23" s="75" t="s">
        <v>16</v>
      </c>
      <c r="B23" s="50" t="s">
        <v>380</v>
      </c>
      <c r="C23" s="52" t="s">
        <v>381</v>
      </c>
      <c r="D23" s="52" t="s">
        <v>186</v>
      </c>
      <c r="E23" s="50" t="s">
        <v>14</v>
      </c>
      <c r="F23" s="68" t="s">
        <v>29</v>
      </c>
      <c r="G23" s="55">
        <v>46244.0</v>
      </c>
      <c r="H23" s="55">
        <v>46262.0</v>
      </c>
      <c r="I23" s="72"/>
      <c r="J23" s="56">
        <v>1.0</v>
      </c>
      <c r="K23" s="57" t="str">
        <f t="shared" ref="K23:AV23" si="18">IF(AND(K$5&gt;=$G23,K$5&lt;=$H23,WEEKDAY(K$5,2)&lt;=5),"■","")</f>
        <v/>
      </c>
      <c r="L23" s="57" t="str">
        <f t="shared" si="18"/>
        <v/>
      </c>
      <c r="M23" s="57" t="str">
        <f t="shared" si="18"/>
        <v/>
      </c>
      <c r="N23" s="57" t="str">
        <f t="shared" si="18"/>
        <v/>
      </c>
      <c r="O23" s="57" t="str">
        <f t="shared" si="18"/>
        <v/>
      </c>
      <c r="P23" s="57" t="str">
        <f t="shared" si="18"/>
        <v/>
      </c>
      <c r="Q23" s="57" t="str">
        <f t="shared" si="18"/>
        <v/>
      </c>
      <c r="R23" s="57" t="str">
        <f t="shared" si="18"/>
        <v/>
      </c>
      <c r="S23" s="57" t="str">
        <f t="shared" si="18"/>
        <v/>
      </c>
      <c r="T23" s="57" t="str">
        <f t="shared" si="18"/>
        <v/>
      </c>
      <c r="U23" s="57" t="str">
        <f t="shared" si="18"/>
        <v/>
      </c>
      <c r="V23" s="57" t="str">
        <f t="shared" si="18"/>
        <v/>
      </c>
      <c r="W23" s="57" t="str">
        <f t="shared" si="18"/>
        <v/>
      </c>
      <c r="X23" s="57" t="str">
        <f t="shared" si="18"/>
        <v/>
      </c>
      <c r="Y23" s="57" t="str">
        <f t="shared" si="18"/>
        <v/>
      </c>
      <c r="Z23" s="57" t="str">
        <f t="shared" si="18"/>
        <v/>
      </c>
      <c r="AA23" s="57" t="str">
        <f t="shared" si="18"/>
        <v/>
      </c>
      <c r="AB23" s="57" t="str">
        <f t="shared" si="18"/>
        <v/>
      </c>
      <c r="AC23" s="57" t="str">
        <f t="shared" si="18"/>
        <v/>
      </c>
      <c r="AD23" s="57" t="str">
        <f t="shared" si="18"/>
        <v/>
      </c>
      <c r="AE23" s="57" t="str">
        <f t="shared" si="18"/>
        <v>■</v>
      </c>
      <c r="AF23" s="57" t="str">
        <f t="shared" si="18"/>
        <v>■</v>
      </c>
      <c r="AG23" s="57" t="str">
        <f t="shared" si="18"/>
        <v>■</v>
      </c>
      <c r="AH23" s="57" t="str">
        <f t="shared" si="18"/>
        <v>■</v>
      </c>
      <c r="AI23" s="57" t="str">
        <f t="shared" si="18"/>
        <v>■</v>
      </c>
      <c r="AJ23" s="57" t="str">
        <f t="shared" si="18"/>
        <v>■</v>
      </c>
      <c r="AK23" s="57" t="str">
        <f t="shared" si="18"/>
        <v>■</v>
      </c>
      <c r="AL23" s="57" t="str">
        <f t="shared" si="18"/>
        <v>■</v>
      </c>
      <c r="AM23" s="57" t="str">
        <f t="shared" si="18"/>
        <v>■</v>
      </c>
      <c r="AN23" s="57" t="str">
        <f t="shared" si="18"/>
        <v>■</v>
      </c>
      <c r="AO23" s="57" t="str">
        <f t="shared" si="18"/>
        <v>■</v>
      </c>
      <c r="AP23" s="57" t="str">
        <f t="shared" si="18"/>
        <v>■</v>
      </c>
      <c r="AQ23" s="57" t="str">
        <f t="shared" si="18"/>
        <v>■</v>
      </c>
      <c r="AR23" s="57" t="str">
        <f t="shared" si="18"/>
        <v>■</v>
      </c>
      <c r="AS23" s="57" t="str">
        <f t="shared" si="18"/>
        <v/>
      </c>
      <c r="AT23" s="57" t="str">
        <f t="shared" si="18"/>
        <v/>
      </c>
      <c r="AU23" s="57" t="str">
        <f t="shared" si="18"/>
        <v/>
      </c>
      <c r="AV23" s="57" t="str">
        <f t="shared" si="18"/>
        <v/>
      </c>
    </row>
    <row r="24" ht="30.75" customHeight="1">
      <c r="A24" s="76" t="s">
        <v>20</v>
      </c>
      <c r="B24" s="50" t="s">
        <v>191</v>
      </c>
      <c r="C24" s="52" t="s">
        <v>382</v>
      </c>
      <c r="D24" s="52" t="s">
        <v>196</v>
      </c>
      <c r="E24" s="50" t="s">
        <v>17</v>
      </c>
      <c r="F24" s="68" t="s">
        <v>29</v>
      </c>
      <c r="G24" s="55">
        <v>46237.0</v>
      </c>
      <c r="H24" s="55">
        <v>46244.0</v>
      </c>
      <c r="I24" s="55"/>
      <c r="J24" s="56">
        <v>1.0</v>
      </c>
      <c r="K24" s="57" t="str">
        <f t="shared" ref="K24:AV24" si="19">IF(AND(K$5&gt;=$G24,K$5&lt;=$H24,WEEKDAY(K$5,2)&lt;=5),"■","")</f>
        <v/>
      </c>
      <c r="L24" s="57" t="str">
        <f t="shared" si="19"/>
        <v/>
      </c>
      <c r="M24" s="57" t="str">
        <f t="shared" si="19"/>
        <v/>
      </c>
      <c r="N24" s="57" t="str">
        <f t="shared" si="19"/>
        <v/>
      </c>
      <c r="O24" s="57" t="str">
        <f t="shared" si="19"/>
        <v/>
      </c>
      <c r="P24" s="57" t="str">
        <f t="shared" si="19"/>
        <v/>
      </c>
      <c r="Q24" s="57" t="str">
        <f t="shared" si="19"/>
        <v/>
      </c>
      <c r="R24" s="57" t="str">
        <f t="shared" si="19"/>
        <v/>
      </c>
      <c r="S24" s="57" t="str">
        <f t="shared" si="19"/>
        <v/>
      </c>
      <c r="T24" s="57" t="str">
        <f t="shared" si="19"/>
        <v/>
      </c>
      <c r="U24" s="57" t="str">
        <f t="shared" si="19"/>
        <v/>
      </c>
      <c r="V24" s="57" t="str">
        <f t="shared" si="19"/>
        <v/>
      </c>
      <c r="W24" s="57" t="str">
        <f t="shared" si="19"/>
        <v/>
      </c>
      <c r="X24" s="57" t="str">
        <f t="shared" si="19"/>
        <v/>
      </c>
      <c r="Y24" s="57" t="str">
        <f t="shared" si="19"/>
        <v/>
      </c>
      <c r="Z24" s="57" t="str">
        <f t="shared" si="19"/>
        <v>■</v>
      </c>
      <c r="AA24" s="57" t="str">
        <f t="shared" si="19"/>
        <v>■</v>
      </c>
      <c r="AB24" s="57" t="str">
        <f t="shared" si="19"/>
        <v>■</v>
      </c>
      <c r="AC24" s="57" t="str">
        <f t="shared" si="19"/>
        <v>■</v>
      </c>
      <c r="AD24" s="57" t="str">
        <f t="shared" si="19"/>
        <v>■</v>
      </c>
      <c r="AE24" s="57" t="str">
        <f t="shared" si="19"/>
        <v>■</v>
      </c>
      <c r="AF24" s="57" t="str">
        <f t="shared" si="19"/>
        <v/>
      </c>
      <c r="AG24" s="57" t="str">
        <f t="shared" si="19"/>
        <v/>
      </c>
      <c r="AH24" s="57" t="str">
        <f t="shared" si="19"/>
        <v/>
      </c>
      <c r="AI24" s="57" t="str">
        <f t="shared" si="19"/>
        <v/>
      </c>
      <c r="AJ24" s="57" t="str">
        <f t="shared" si="19"/>
        <v/>
      </c>
      <c r="AK24" s="57" t="str">
        <f t="shared" si="19"/>
        <v/>
      </c>
      <c r="AL24" s="57" t="str">
        <f t="shared" si="19"/>
        <v/>
      </c>
      <c r="AM24" s="57" t="str">
        <f t="shared" si="19"/>
        <v/>
      </c>
      <c r="AN24" s="57" t="str">
        <f t="shared" si="19"/>
        <v/>
      </c>
      <c r="AO24" s="57" t="str">
        <f t="shared" si="19"/>
        <v/>
      </c>
      <c r="AP24" s="57" t="str">
        <f t="shared" si="19"/>
        <v/>
      </c>
      <c r="AQ24" s="57" t="str">
        <f t="shared" si="19"/>
        <v/>
      </c>
      <c r="AR24" s="57" t="str">
        <f t="shared" si="19"/>
        <v/>
      </c>
      <c r="AS24" s="57" t="str">
        <f t="shared" si="19"/>
        <v/>
      </c>
      <c r="AT24" s="57" t="str">
        <f t="shared" si="19"/>
        <v/>
      </c>
      <c r="AU24" s="57" t="str">
        <f t="shared" si="19"/>
        <v/>
      </c>
      <c r="AV24" s="57" t="str">
        <f t="shared" si="19"/>
        <v/>
      </c>
    </row>
    <row r="25" ht="30.75" customHeight="1">
      <c r="A25" s="76" t="s">
        <v>20</v>
      </c>
      <c r="B25" s="50" t="s">
        <v>198</v>
      </c>
      <c r="C25" s="52" t="s">
        <v>199</v>
      </c>
      <c r="D25" s="52" t="s">
        <v>383</v>
      </c>
      <c r="E25" s="50" t="s">
        <v>17</v>
      </c>
      <c r="F25" s="68" t="s">
        <v>29</v>
      </c>
      <c r="G25" s="55">
        <v>46237.0</v>
      </c>
      <c r="H25" s="55">
        <v>46255.0</v>
      </c>
      <c r="I25" s="55"/>
      <c r="J25" s="56">
        <v>1.0</v>
      </c>
      <c r="K25" s="57" t="str">
        <f t="shared" ref="K25:AV25" si="20">IF(AND(K$5&gt;=$G25,K$5&lt;=$H25,WEEKDAY(K$5,2)&lt;=5),"■","")</f>
        <v/>
      </c>
      <c r="L25" s="57" t="str">
        <f t="shared" si="20"/>
        <v/>
      </c>
      <c r="M25" s="57" t="str">
        <f t="shared" si="20"/>
        <v/>
      </c>
      <c r="N25" s="57" t="str">
        <f t="shared" si="20"/>
        <v/>
      </c>
      <c r="O25" s="57" t="str">
        <f t="shared" si="20"/>
        <v/>
      </c>
      <c r="P25" s="57" t="str">
        <f t="shared" si="20"/>
        <v/>
      </c>
      <c r="Q25" s="57" t="str">
        <f t="shared" si="20"/>
        <v/>
      </c>
      <c r="R25" s="57" t="str">
        <f t="shared" si="20"/>
        <v/>
      </c>
      <c r="S25" s="57" t="str">
        <f t="shared" si="20"/>
        <v/>
      </c>
      <c r="T25" s="57" t="str">
        <f t="shared" si="20"/>
        <v/>
      </c>
      <c r="U25" s="57" t="str">
        <f t="shared" si="20"/>
        <v/>
      </c>
      <c r="V25" s="57" t="str">
        <f t="shared" si="20"/>
        <v/>
      </c>
      <c r="W25" s="57" t="str">
        <f t="shared" si="20"/>
        <v/>
      </c>
      <c r="X25" s="57" t="str">
        <f t="shared" si="20"/>
        <v/>
      </c>
      <c r="Y25" s="57" t="str">
        <f t="shared" si="20"/>
        <v/>
      </c>
      <c r="Z25" s="57" t="str">
        <f t="shared" si="20"/>
        <v>■</v>
      </c>
      <c r="AA25" s="57" t="str">
        <f t="shared" si="20"/>
        <v>■</v>
      </c>
      <c r="AB25" s="57" t="str">
        <f t="shared" si="20"/>
        <v>■</v>
      </c>
      <c r="AC25" s="57" t="str">
        <f t="shared" si="20"/>
        <v>■</v>
      </c>
      <c r="AD25" s="57" t="str">
        <f t="shared" si="20"/>
        <v>■</v>
      </c>
      <c r="AE25" s="57" t="str">
        <f t="shared" si="20"/>
        <v>■</v>
      </c>
      <c r="AF25" s="57" t="str">
        <f t="shared" si="20"/>
        <v>■</v>
      </c>
      <c r="AG25" s="57" t="str">
        <f t="shared" si="20"/>
        <v>■</v>
      </c>
      <c r="AH25" s="57" t="str">
        <f t="shared" si="20"/>
        <v>■</v>
      </c>
      <c r="AI25" s="57" t="str">
        <f t="shared" si="20"/>
        <v>■</v>
      </c>
      <c r="AJ25" s="57" t="str">
        <f t="shared" si="20"/>
        <v>■</v>
      </c>
      <c r="AK25" s="57" t="str">
        <f t="shared" si="20"/>
        <v>■</v>
      </c>
      <c r="AL25" s="57" t="str">
        <f t="shared" si="20"/>
        <v>■</v>
      </c>
      <c r="AM25" s="57" t="str">
        <f t="shared" si="20"/>
        <v>■</v>
      </c>
      <c r="AN25" s="57" t="str">
        <f t="shared" si="20"/>
        <v/>
      </c>
      <c r="AO25" s="57" t="str">
        <f t="shared" si="20"/>
        <v/>
      </c>
      <c r="AP25" s="57" t="str">
        <f t="shared" si="20"/>
        <v/>
      </c>
      <c r="AQ25" s="57" t="str">
        <f t="shared" si="20"/>
        <v/>
      </c>
      <c r="AR25" s="57" t="str">
        <f t="shared" si="20"/>
        <v/>
      </c>
      <c r="AS25" s="57" t="str">
        <f t="shared" si="20"/>
        <v/>
      </c>
      <c r="AT25" s="57" t="str">
        <f t="shared" si="20"/>
        <v/>
      </c>
      <c r="AU25" s="57" t="str">
        <f t="shared" si="20"/>
        <v/>
      </c>
      <c r="AV25" s="57" t="str">
        <f t="shared" si="20"/>
        <v/>
      </c>
    </row>
    <row r="26" ht="30.75" customHeight="1">
      <c r="A26" s="76" t="s">
        <v>20</v>
      </c>
      <c r="B26" s="50" t="s">
        <v>202</v>
      </c>
      <c r="C26" s="52" t="s">
        <v>203</v>
      </c>
      <c r="D26" s="51" t="s">
        <v>384</v>
      </c>
      <c r="E26" s="50" t="s">
        <v>17</v>
      </c>
      <c r="F26" s="68" t="s">
        <v>29</v>
      </c>
      <c r="G26" s="55">
        <v>46251.0</v>
      </c>
      <c r="H26" s="55">
        <v>46255.0</v>
      </c>
      <c r="I26" s="55"/>
      <c r="J26" s="56">
        <v>1.0</v>
      </c>
      <c r="K26" s="57" t="str">
        <f t="shared" ref="K26:AV26" si="21">IF(AND(K$5&gt;=$G26,K$5&lt;=$H26,WEEKDAY(K$5,2)&lt;=5),"■","")</f>
        <v/>
      </c>
      <c r="L26" s="57" t="str">
        <f t="shared" si="21"/>
        <v/>
      </c>
      <c r="M26" s="57" t="str">
        <f t="shared" si="21"/>
        <v/>
      </c>
      <c r="N26" s="57" t="str">
        <f t="shared" si="21"/>
        <v/>
      </c>
      <c r="O26" s="57" t="str">
        <f t="shared" si="21"/>
        <v/>
      </c>
      <c r="P26" s="57" t="str">
        <f t="shared" si="21"/>
        <v/>
      </c>
      <c r="Q26" s="57" t="str">
        <f t="shared" si="21"/>
        <v/>
      </c>
      <c r="R26" s="57" t="str">
        <f t="shared" si="21"/>
        <v/>
      </c>
      <c r="S26" s="57" t="str">
        <f t="shared" si="21"/>
        <v/>
      </c>
      <c r="T26" s="57" t="str">
        <f t="shared" si="21"/>
        <v/>
      </c>
      <c r="U26" s="57" t="str">
        <f t="shared" si="21"/>
        <v/>
      </c>
      <c r="V26" s="57" t="str">
        <f t="shared" si="21"/>
        <v/>
      </c>
      <c r="W26" s="57" t="str">
        <f t="shared" si="21"/>
        <v/>
      </c>
      <c r="X26" s="57" t="str">
        <f t="shared" si="21"/>
        <v/>
      </c>
      <c r="Y26" s="57" t="str">
        <f t="shared" si="21"/>
        <v/>
      </c>
      <c r="Z26" s="57" t="str">
        <f t="shared" si="21"/>
        <v/>
      </c>
      <c r="AA26" s="57" t="str">
        <f t="shared" si="21"/>
        <v/>
      </c>
      <c r="AB26" s="57" t="str">
        <f t="shared" si="21"/>
        <v/>
      </c>
      <c r="AC26" s="57" t="str">
        <f t="shared" si="21"/>
        <v/>
      </c>
      <c r="AD26" s="57" t="str">
        <f t="shared" si="21"/>
        <v/>
      </c>
      <c r="AE26" s="57" t="str">
        <f t="shared" si="21"/>
        <v/>
      </c>
      <c r="AF26" s="57" t="str">
        <f t="shared" si="21"/>
        <v/>
      </c>
      <c r="AG26" s="57" t="str">
        <f t="shared" si="21"/>
        <v/>
      </c>
      <c r="AH26" s="57" t="str">
        <f t="shared" si="21"/>
        <v/>
      </c>
      <c r="AI26" s="57" t="str">
        <f t="shared" si="21"/>
        <v/>
      </c>
      <c r="AJ26" s="57" t="str">
        <f t="shared" si="21"/>
        <v>■</v>
      </c>
      <c r="AK26" s="57" t="str">
        <f t="shared" si="21"/>
        <v>■</v>
      </c>
      <c r="AL26" s="57" t="str">
        <f t="shared" si="21"/>
        <v>■</v>
      </c>
      <c r="AM26" s="57" t="str">
        <f t="shared" si="21"/>
        <v>■</v>
      </c>
      <c r="AN26" s="57" t="str">
        <f t="shared" si="21"/>
        <v/>
      </c>
      <c r="AO26" s="57" t="str">
        <f t="shared" si="21"/>
        <v/>
      </c>
      <c r="AP26" s="57" t="str">
        <f t="shared" si="21"/>
        <v/>
      </c>
      <c r="AQ26" s="57" t="str">
        <f t="shared" si="21"/>
        <v/>
      </c>
      <c r="AR26" s="57" t="str">
        <f t="shared" si="21"/>
        <v/>
      </c>
      <c r="AS26" s="57" t="str">
        <f t="shared" si="21"/>
        <v/>
      </c>
      <c r="AT26" s="57" t="str">
        <f t="shared" si="21"/>
        <v/>
      </c>
      <c r="AU26" s="57" t="str">
        <f t="shared" si="21"/>
        <v/>
      </c>
      <c r="AV26" s="57" t="str">
        <f t="shared" si="21"/>
        <v/>
      </c>
    </row>
    <row r="27" ht="30.75" customHeight="1">
      <c r="A27" s="76" t="s">
        <v>20</v>
      </c>
      <c r="B27" s="50" t="s">
        <v>207</v>
      </c>
      <c r="C27" s="51" t="s">
        <v>208</v>
      </c>
      <c r="D27" s="52" t="s">
        <v>210</v>
      </c>
      <c r="E27" s="50" t="s">
        <v>17</v>
      </c>
      <c r="F27" s="68" t="s">
        <v>29</v>
      </c>
      <c r="G27" s="55">
        <v>46251.0</v>
      </c>
      <c r="H27" s="55">
        <v>46255.0</v>
      </c>
      <c r="I27" s="72"/>
      <c r="J27" s="56">
        <v>1.0</v>
      </c>
      <c r="K27" s="57" t="str">
        <f t="shared" ref="K27:AV27" si="22">IF(AND(K$5&gt;=$G27,K$5&lt;=$H27,WEEKDAY(K$5,2)&lt;=5),"■","")</f>
        <v/>
      </c>
      <c r="L27" s="57" t="str">
        <f t="shared" si="22"/>
        <v/>
      </c>
      <c r="M27" s="57" t="str">
        <f t="shared" si="22"/>
        <v/>
      </c>
      <c r="N27" s="57" t="str">
        <f t="shared" si="22"/>
        <v/>
      </c>
      <c r="O27" s="57" t="str">
        <f t="shared" si="22"/>
        <v/>
      </c>
      <c r="P27" s="57" t="str">
        <f t="shared" si="22"/>
        <v/>
      </c>
      <c r="Q27" s="57" t="str">
        <f t="shared" si="22"/>
        <v/>
      </c>
      <c r="R27" s="57" t="str">
        <f t="shared" si="22"/>
        <v/>
      </c>
      <c r="S27" s="57" t="str">
        <f t="shared" si="22"/>
        <v/>
      </c>
      <c r="T27" s="57" t="str">
        <f t="shared" si="22"/>
        <v/>
      </c>
      <c r="U27" s="57" t="str">
        <f t="shared" si="22"/>
        <v/>
      </c>
      <c r="V27" s="57" t="str">
        <f t="shared" si="22"/>
        <v/>
      </c>
      <c r="W27" s="57" t="str">
        <f t="shared" si="22"/>
        <v/>
      </c>
      <c r="X27" s="57" t="str">
        <f t="shared" si="22"/>
        <v/>
      </c>
      <c r="Y27" s="57" t="str">
        <f t="shared" si="22"/>
        <v/>
      </c>
      <c r="Z27" s="57" t="str">
        <f t="shared" si="22"/>
        <v/>
      </c>
      <c r="AA27" s="57" t="str">
        <f t="shared" si="22"/>
        <v/>
      </c>
      <c r="AB27" s="57" t="str">
        <f t="shared" si="22"/>
        <v/>
      </c>
      <c r="AC27" s="57" t="str">
        <f t="shared" si="22"/>
        <v/>
      </c>
      <c r="AD27" s="57" t="str">
        <f t="shared" si="22"/>
        <v/>
      </c>
      <c r="AE27" s="57" t="str">
        <f t="shared" si="22"/>
        <v/>
      </c>
      <c r="AF27" s="57" t="str">
        <f t="shared" si="22"/>
        <v/>
      </c>
      <c r="AG27" s="57" t="str">
        <f t="shared" si="22"/>
        <v/>
      </c>
      <c r="AH27" s="57" t="str">
        <f t="shared" si="22"/>
        <v/>
      </c>
      <c r="AI27" s="57" t="str">
        <f t="shared" si="22"/>
        <v/>
      </c>
      <c r="AJ27" s="57" t="str">
        <f t="shared" si="22"/>
        <v>■</v>
      </c>
      <c r="AK27" s="57" t="str">
        <f t="shared" si="22"/>
        <v>■</v>
      </c>
      <c r="AL27" s="57" t="str">
        <f t="shared" si="22"/>
        <v>■</v>
      </c>
      <c r="AM27" s="57" t="str">
        <f t="shared" si="22"/>
        <v>■</v>
      </c>
      <c r="AN27" s="57" t="str">
        <f t="shared" si="22"/>
        <v/>
      </c>
      <c r="AO27" s="57" t="str">
        <f t="shared" si="22"/>
        <v/>
      </c>
      <c r="AP27" s="57" t="str">
        <f t="shared" si="22"/>
        <v/>
      </c>
      <c r="AQ27" s="57" t="str">
        <f t="shared" si="22"/>
        <v/>
      </c>
      <c r="AR27" s="57" t="str">
        <f t="shared" si="22"/>
        <v/>
      </c>
      <c r="AS27" s="57" t="str">
        <f t="shared" si="22"/>
        <v/>
      </c>
      <c r="AT27" s="57" t="str">
        <f t="shared" si="22"/>
        <v/>
      </c>
      <c r="AU27" s="57" t="str">
        <f t="shared" si="22"/>
        <v/>
      </c>
      <c r="AV27" s="57" t="str">
        <f t="shared" si="22"/>
        <v/>
      </c>
    </row>
    <row r="28" ht="30.75" customHeight="1">
      <c r="A28" s="76" t="s">
        <v>20</v>
      </c>
      <c r="B28" s="50" t="s">
        <v>211</v>
      </c>
      <c r="C28" s="52" t="s">
        <v>385</v>
      </c>
      <c r="D28" s="52" t="s">
        <v>386</v>
      </c>
      <c r="E28" s="50" t="s">
        <v>17</v>
      </c>
      <c r="F28" s="68" t="s">
        <v>29</v>
      </c>
      <c r="G28" s="55">
        <v>46244.0</v>
      </c>
      <c r="H28" s="55">
        <v>46255.0</v>
      </c>
      <c r="I28" s="72"/>
      <c r="J28" s="56">
        <v>1.0</v>
      </c>
      <c r="K28" s="57" t="str">
        <f t="shared" ref="K28:AV28" si="23">IF(AND(K$5&gt;=$G28,K$5&lt;=$H28,WEEKDAY(K$5,2)&lt;=5),"■","")</f>
        <v/>
      </c>
      <c r="L28" s="57" t="str">
        <f t="shared" si="23"/>
        <v/>
      </c>
      <c r="M28" s="57" t="str">
        <f t="shared" si="23"/>
        <v/>
      </c>
      <c r="N28" s="57" t="str">
        <f t="shared" si="23"/>
        <v/>
      </c>
      <c r="O28" s="57" t="str">
        <f t="shared" si="23"/>
        <v/>
      </c>
      <c r="P28" s="57" t="str">
        <f t="shared" si="23"/>
        <v/>
      </c>
      <c r="Q28" s="57" t="str">
        <f t="shared" si="23"/>
        <v/>
      </c>
      <c r="R28" s="57" t="str">
        <f t="shared" si="23"/>
        <v/>
      </c>
      <c r="S28" s="57" t="str">
        <f t="shared" si="23"/>
        <v/>
      </c>
      <c r="T28" s="57" t="str">
        <f t="shared" si="23"/>
        <v/>
      </c>
      <c r="U28" s="57" t="str">
        <f t="shared" si="23"/>
        <v/>
      </c>
      <c r="V28" s="57" t="str">
        <f t="shared" si="23"/>
        <v/>
      </c>
      <c r="W28" s="57" t="str">
        <f t="shared" si="23"/>
        <v/>
      </c>
      <c r="X28" s="57" t="str">
        <f t="shared" si="23"/>
        <v/>
      </c>
      <c r="Y28" s="57" t="str">
        <f t="shared" si="23"/>
        <v/>
      </c>
      <c r="Z28" s="57" t="str">
        <f t="shared" si="23"/>
        <v/>
      </c>
      <c r="AA28" s="57" t="str">
        <f t="shared" si="23"/>
        <v/>
      </c>
      <c r="AB28" s="57" t="str">
        <f t="shared" si="23"/>
        <v/>
      </c>
      <c r="AC28" s="57" t="str">
        <f t="shared" si="23"/>
        <v/>
      </c>
      <c r="AD28" s="57" t="str">
        <f t="shared" si="23"/>
        <v/>
      </c>
      <c r="AE28" s="57" t="str">
        <f t="shared" si="23"/>
        <v>■</v>
      </c>
      <c r="AF28" s="57" t="str">
        <f t="shared" si="23"/>
        <v>■</v>
      </c>
      <c r="AG28" s="57" t="str">
        <f t="shared" si="23"/>
        <v>■</v>
      </c>
      <c r="AH28" s="57" t="str">
        <f t="shared" si="23"/>
        <v>■</v>
      </c>
      <c r="AI28" s="57" t="str">
        <f t="shared" si="23"/>
        <v>■</v>
      </c>
      <c r="AJ28" s="57" t="str">
        <f t="shared" si="23"/>
        <v>■</v>
      </c>
      <c r="AK28" s="57" t="str">
        <f t="shared" si="23"/>
        <v>■</v>
      </c>
      <c r="AL28" s="57" t="str">
        <f t="shared" si="23"/>
        <v>■</v>
      </c>
      <c r="AM28" s="57" t="str">
        <f t="shared" si="23"/>
        <v>■</v>
      </c>
      <c r="AN28" s="57" t="str">
        <f t="shared" si="23"/>
        <v/>
      </c>
      <c r="AO28" s="57" t="str">
        <f t="shared" si="23"/>
        <v/>
      </c>
      <c r="AP28" s="57" t="str">
        <f t="shared" si="23"/>
        <v/>
      </c>
      <c r="AQ28" s="57" t="str">
        <f t="shared" si="23"/>
        <v/>
      </c>
      <c r="AR28" s="57" t="str">
        <f t="shared" si="23"/>
        <v/>
      </c>
      <c r="AS28" s="57" t="str">
        <f t="shared" si="23"/>
        <v/>
      </c>
      <c r="AT28" s="57" t="str">
        <f t="shared" si="23"/>
        <v/>
      </c>
      <c r="AU28" s="57" t="str">
        <f t="shared" si="23"/>
        <v/>
      </c>
      <c r="AV28" s="57" t="str">
        <f t="shared" si="23"/>
        <v/>
      </c>
    </row>
    <row r="29" ht="30.75" customHeight="1">
      <c r="A29" s="76" t="s">
        <v>20</v>
      </c>
      <c r="B29" s="50" t="s">
        <v>116</v>
      </c>
      <c r="C29" s="52" t="s">
        <v>387</v>
      </c>
      <c r="D29" s="52" t="s">
        <v>388</v>
      </c>
      <c r="E29" s="50" t="s">
        <v>17</v>
      </c>
      <c r="F29" s="68" t="s">
        <v>29</v>
      </c>
      <c r="G29" s="55">
        <v>46237.0</v>
      </c>
      <c r="H29" s="55">
        <v>46265.0</v>
      </c>
      <c r="I29" s="72">
        <v>46241.0</v>
      </c>
      <c r="J29" s="56">
        <v>1.0</v>
      </c>
      <c r="K29" s="57" t="str">
        <f t="shared" ref="K29:AV29" si="24">IF(AND(K$5&gt;=$G29,K$5&lt;=$H29,WEEKDAY(K$5,2)&lt;=5),"■","")</f>
        <v/>
      </c>
      <c r="L29" s="57" t="str">
        <f t="shared" si="24"/>
        <v/>
      </c>
      <c r="M29" s="57" t="str">
        <f t="shared" si="24"/>
        <v/>
      </c>
      <c r="N29" s="57" t="str">
        <f t="shared" si="24"/>
        <v/>
      </c>
      <c r="O29" s="57" t="str">
        <f t="shared" si="24"/>
        <v/>
      </c>
      <c r="P29" s="57" t="str">
        <f t="shared" si="24"/>
        <v/>
      </c>
      <c r="Q29" s="57" t="str">
        <f t="shared" si="24"/>
        <v/>
      </c>
      <c r="R29" s="57" t="str">
        <f t="shared" si="24"/>
        <v/>
      </c>
      <c r="S29" s="57" t="str">
        <f t="shared" si="24"/>
        <v/>
      </c>
      <c r="T29" s="57" t="str">
        <f t="shared" si="24"/>
        <v/>
      </c>
      <c r="U29" s="57" t="str">
        <f t="shared" si="24"/>
        <v/>
      </c>
      <c r="V29" s="57" t="str">
        <f t="shared" si="24"/>
        <v/>
      </c>
      <c r="W29" s="57" t="str">
        <f t="shared" si="24"/>
        <v/>
      </c>
      <c r="X29" s="57" t="str">
        <f t="shared" si="24"/>
        <v/>
      </c>
      <c r="Y29" s="57" t="str">
        <f t="shared" si="24"/>
        <v/>
      </c>
      <c r="Z29" s="57" t="str">
        <f t="shared" si="24"/>
        <v>■</v>
      </c>
      <c r="AA29" s="57" t="str">
        <f t="shared" si="24"/>
        <v>■</v>
      </c>
      <c r="AB29" s="57" t="str">
        <f t="shared" si="24"/>
        <v>■</v>
      </c>
      <c r="AC29" s="57" t="str">
        <f t="shared" si="24"/>
        <v>■</v>
      </c>
      <c r="AD29" s="57" t="str">
        <f t="shared" si="24"/>
        <v>■</v>
      </c>
      <c r="AE29" s="57" t="str">
        <f t="shared" si="24"/>
        <v>■</v>
      </c>
      <c r="AF29" s="57" t="str">
        <f t="shared" si="24"/>
        <v>■</v>
      </c>
      <c r="AG29" s="57" t="str">
        <f t="shared" si="24"/>
        <v>■</v>
      </c>
      <c r="AH29" s="57" t="str">
        <f t="shared" si="24"/>
        <v>■</v>
      </c>
      <c r="AI29" s="57" t="str">
        <f t="shared" si="24"/>
        <v>■</v>
      </c>
      <c r="AJ29" s="57" t="str">
        <f t="shared" si="24"/>
        <v>■</v>
      </c>
      <c r="AK29" s="57" t="str">
        <f t="shared" si="24"/>
        <v>■</v>
      </c>
      <c r="AL29" s="57" t="str">
        <f t="shared" si="24"/>
        <v>■</v>
      </c>
      <c r="AM29" s="57" t="str">
        <f t="shared" si="24"/>
        <v>■</v>
      </c>
      <c r="AN29" s="57" t="str">
        <f t="shared" si="24"/>
        <v>■</v>
      </c>
      <c r="AO29" s="57" t="str">
        <f t="shared" si="24"/>
        <v>■</v>
      </c>
      <c r="AP29" s="57" t="str">
        <f t="shared" si="24"/>
        <v>■</v>
      </c>
      <c r="AQ29" s="57" t="str">
        <f t="shared" si="24"/>
        <v>■</v>
      </c>
      <c r="AR29" s="57" t="str">
        <f t="shared" si="24"/>
        <v>■</v>
      </c>
      <c r="AS29" s="57" t="str">
        <f t="shared" si="24"/>
        <v>■</v>
      </c>
      <c r="AT29" s="57" t="str">
        <f t="shared" si="24"/>
        <v/>
      </c>
      <c r="AU29" s="57" t="str">
        <f t="shared" si="24"/>
        <v/>
      </c>
      <c r="AV29" s="57" t="str">
        <f t="shared" si="24"/>
        <v/>
      </c>
    </row>
    <row r="30" ht="30.75" customHeight="1">
      <c r="A30" s="76" t="s">
        <v>20</v>
      </c>
      <c r="B30" s="50" t="s">
        <v>389</v>
      </c>
      <c r="C30" s="52" t="s">
        <v>390</v>
      </c>
      <c r="D30" s="51" t="s">
        <v>391</v>
      </c>
      <c r="E30" s="50" t="s">
        <v>17</v>
      </c>
      <c r="F30" s="68" t="s">
        <v>29</v>
      </c>
      <c r="G30" s="55">
        <v>46251.0</v>
      </c>
      <c r="H30" s="55">
        <v>46267.0</v>
      </c>
      <c r="I30" s="72">
        <v>46248.0</v>
      </c>
      <c r="J30" s="56">
        <v>1.0</v>
      </c>
      <c r="K30" s="57" t="str">
        <f t="shared" ref="K30:AV30" si="25">IF(AND(K$5&gt;=$G30,K$5&lt;=$H30,WEEKDAY(K$5,2)&lt;=5),"■","")</f>
        <v/>
      </c>
      <c r="L30" s="57" t="str">
        <f t="shared" si="25"/>
        <v/>
      </c>
      <c r="M30" s="57" t="str">
        <f t="shared" si="25"/>
        <v/>
      </c>
      <c r="N30" s="57" t="str">
        <f t="shared" si="25"/>
        <v/>
      </c>
      <c r="O30" s="57" t="str">
        <f t="shared" si="25"/>
        <v/>
      </c>
      <c r="P30" s="57" t="str">
        <f t="shared" si="25"/>
        <v/>
      </c>
      <c r="Q30" s="57" t="str">
        <f t="shared" si="25"/>
        <v/>
      </c>
      <c r="R30" s="57" t="str">
        <f t="shared" si="25"/>
        <v/>
      </c>
      <c r="S30" s="57" t="str">
        <f t="shared" si="25"/>
        <v/>
      </c>
      <c r="T30" s="57" t="str">
        <f t="shared" si="25"/>
        <v/>
      </c>
      <c r="U30" s="57" t="str">
        <f t="shared" si="25"/>
        <v/>
      </c>
      <c r="V30" s="57" t="str">
        <f t="shared" si="25"/>
        <v/>
      </c>
      <c r="W30" s="57" t="str">
        <f t="shared" si="25"/>
        <v/>
      </c>
      <c r="X30" s="57" t="str">
        <f t="shared" si="25"/>
        <v/>
      </c>
      <c r="Y30" s="57" t="str">
        <f t="shared" si="25"/>
        <v/>
      </c>
      <c r="Z30" s="57" t="str">
        <f t="shared" si="25"/>
        <v/>
      </c>
      <c r="AA30" s="57" t="str">
        <f t="shared" si="25"/>
        <v/>
      </c>
      <c r="AB30" s="57" t="str">
        <f t="shared" si="25"/>
        <v/>
      </c>
      <c r="AC30" s="57" t="str">
        <f t="shared" si="25"/>
        <v/>
      </c>
      <c r="AD30" s="57" t="str">
        <f t="shared" si="25"/>
        <v/>
      </c>
      <c r="AE30" s="57" t="str">
        <f t="shared" si="25"/>
        <v/>
      </c>
      <c r="AF30" s="57" t="str">
        <f t="shared" si="25"/>
        <v/>
      </c>
      <c r="AG30" s="57" t="str">
        <f t="shared" si="25"/>
        <v/>
      </c>
      <c r="AH30" s="57" t="str">
        <f t="shared" si="25"/>
        <v/>
      </c>
      <c r="AI30" s="57" t="str">
        <f t="shared" si="25"/>
        <v/>
      </c>
      <c r="AJ30" s="57" t="str">
        <f t="shared" si="25"/>
        <v>■</v>
      </c>
      <c r="AK30" s="57" t="str">
        <f t="shared" si="25"/>
        <v>■</v>
      </c>
      <c r="AL30" s="57" t="str">
        <f t="shared" si="25"/>
        <v>■</v>
      </c>
      <c r="AM30" s="57" t="str">
        <f t="shared" si="25"/>
        <v>■</v>
      </c>
      <c r="AN30" s="57" t="str">
        <f t="shared" si="25"/>
        <v>■</v>
      </c>
      <c r="AO30" s="57" t="str">
        <f t="shared" si="25"/>
        <v>■</v>
      </c>
      <c r="AP30" s="57" t="str">
        <f t="shared" si="25"/>
        <v>■</v>
      </c>
      <c r="AQ30" s="57" t="str">
        <f t="shared" si="25"/>
        <v>■</v>
      </c>
      <c r="AR30" s="57" t="str">
        <f t="shared" si="25"/>
        <v>■</v>
      </c>
      <c r="AS30" s="57" t="str">
        <f t="shared" si="25"/>
        <v>■</v>
      </c>
      <c r="AT30" s="57" t="str">
        <f t="shared" si="25"/>
        <v>■</v>
      </c>
      <c r="AU30" s="57" t="str">
        <f t="shared" si="25"/>
        <v>■</v>
      </c>
      <c r="AV30" s="57" t="str">
        <f t="shared" si="25"/>
        <v/>
      </c>
    </row>
    <row r="31" ht="30.75" customHeight="1">
      <c r="A31" s="49" t="s">
        <v>25</v>
      </c>
      <c r="B31" s="50" t="s">
        <v>221</v>
      </c>
      <c r="C31" s="51" t="s">
        <v>392</v>
      </c>
      <c r="D31" s="51" t="s">
        <v>393</v>
      </c>
      <c r="E31" s="50" t="s">
        <v>27</v>
      </c>
      <c r="F31" s="68" t="s">
        <v>29</v>
      </c>
      <c r="G31" s="55">
        <v>46237.0</v>
      </c>
      <c r="H31" s="55">
        <v>46241.0</v>
      </c>
      <c r="I31" s="55"/>
      <c r="J31" s="56">
        <v>1.0</v>
      </c>
      <c r="K31" s="57" t="str">
        <f t="shared" ref="K31:AV31" si="26">IF(AND(K$5&gt;=$G31,K$5&lt;=$H31,WEEKDAY(K$5,2)&lt;=5),"■","")</f>
        <v/>
      </c>
      <c r="L31" s="57" t="str">
        <f t="shared" si="26"/>
        <v/>
      </c>
      <c r="M31" s="57" t="str">
        <f t="shared" si="26"/>
        <v/>
      </c>
      <c r="N31" s="57" t="str">
        <f t="shared" si="26"/>
        <v/>
      </c>
      <c r="O31" s="57" t="str">
        <f t="shared" si="26"/>
        <v/>
      </c>
      <c r="P31" s="57" t="str">
        <f t="shared" si="26"/>
        <v/>
      </c>
      <c r="Q31" s="57" t="str">
        <f t="shared" si="26"/>
        <v/>
      </c>
      <c r="R31" s="57" t="str">
        <f t="shared" si="26"/>
        <v/>
      </c>
      <c r="S31" s="57" t="str">
        <f t="shared" si="26"/>
        <v/>
      </c>
      <c r="T31" s="57" t="str">
        <f t="shared" si="26"/>
        <v/>
      </c>
      <c r="U31" s="57" t="str">
        <f t="shared" si="26"/>
        <v/>
      </c>
      <c r="V31" s="57" t="str">
        <f t="shared" si="26"/>
        <v/>
      </c>
      <c r="W31" s="57" t="str">
        <f t="shared" si="26"/>
        <v/>
      </c>
      <c r="X31" s="57" t="str">
        <f t="shared" si="26"/>
        <v/>
      </c>
      <c r="Y31" s="57" t="str">
        <f t="shared" si="26"/>
        <v/>
      </c>
      <c r="Z31" s="57" t="str">
        <f t="shared" si="26"/>
        <v>■</v>
      </c>
      <c r="AA31" s="57" t="str">
        <f t="shared" si="26"/>
        <v>■</v>
      </c>
      <c r="AB31" s="57" t="str">
        <f t="shared" si="26"/>
        <v>■</v>
      </c>
      <c r="AC31" s="57" t="str">
        <f t="shared" si="26"/>
        <v>■</v>
      </c>
      <c r="AD31" s="57" t="str">
        <f t="shared" si="26"/>
        <v>■</v>
      </c>
      <c r="AE31" s="57" t="str">
        <f t="shared" si="26"/>
        <v/>
      </c>
      <c r="AF31" s="57" t="str">
        <f t="shared" si="26"/>
        <v/>
      </c>
      <c r="AG31" s="57" t="str">
        <f t="shared" si="26"/>
        <v/>
      </c>
      <c r="AH31" s="57" t="str">
        <f t="shared" si="26"/>
        <v/>
      </c>
      <c r="AI31" s="57" t="str">
        <f t="shared" si="26"/>
        <v/>
      </c>
      <c r="AJ31" s="57" t="str">
        <f t="shared" si="26"/>
        <v/>
      </c>
      <c r="AK31" s="57" t="str">
        <f t="shared" si="26"/>
        <v/>
      </c>
      <c r="AL31" s="57" t="str">
        <f t="shared" si="26"/>
        <v/>
      </c>
      <c r="AM31" s="57" t="str">
        <f t="shared" si="26"/>
        <v/>
      </c>
      <c r="AN31" s="57" t="str">
        <f t="shared" si="26"/>
        <v/>
      </c>
      <c r="AO31" s="57" t="str">
        <f t="shared" si="26"/>
        <v/>
      </c>
      <c r="AP31" s="57" t="str">
        <f t="shared" si="26"/>
        <v/>
      </c>
      <c r="AQ31" s="57" t="str">
        <f t="shared" si="26"/>
        <v/>
      </c>
      <c r="AR31" s="57" t="str">
        <f t="shared" si="26"/>
        <v/>
      </c>
      <c r="AS31" s="57" t="str">
        <f t="shared" si="26"/>
        <v/>
      </c>
      <c r="AT31" s="57" t="str">
        <f t="shared" si="26"/>
        <v/>
      </c>
      <c r="AU31" s="57" t="str">
        <f t="shared" si="26"/>
        <v/>
      </c>
      <c r="AV31" s="57" t="str">
        <f t="shared" si="26"/>
        <v/>
      </c>
    </row>
    <row r="32" ht="30.75" customHeight="1">
      <c r="A32" s="49" t="s">
        <v>25</v>
      </c>
      <c r="B32" s="50" t="s">
        <v>225</v>
      </c>
      <c r="C32" s="51" t="s">
        <v>394</v>
      </c>
      <c r="D32" s="52" t="s">
        <v>395</v>
      </c>
      <c r="E32" s="50" t="s">
        <v>27</v>
      </c>
      <c r="F32" s="68" t="s">
        <v>29</v>
      </c>
      <c r="G32" s="55">
        <v>46237.0</v>
      </c>
      <c r="H32" s="55">
        <v>46248.0</v>
      </c>
      <c r="I32" s="55"/>
      <c r="J32" s="56">
        <v>1.0</v>
      </c>
      <c r="K32" s="57" t="str">
        <f t="shared" ref="K32:AV32" si="27">IF(AND(K$5&gt;=$G32,K$5&lt;=$H32,WEEKDAY(K$5,2)&lt;=5),"■","")</f>
        <v/>
      </c>
      <c r="L32" s="57" t="str">
        <f t="shared" si="27"/>
        <v/>
      </c>
      <c r="M32" s="57" t="str">
        <f t="shared" si="27"/>
        <v/>
      </c>
      <c r="N32" s="57" t="str">
        <f t="shared" si="27"/>
        <v/>
      </c>
      <c r="O32" s="57" t="str">
        <f t="shared" si="27"/>
        <v/>
      </c>
      <c r="P32" s="57" t="str">
        <f t="shared" si="27"/>
        <v/>
      </c>
      <c r="Q32" s="57" t="str">
        <f t="shared" si="27"/>
        <v/>
      </c>
      <c r="R32" s="57" t="str">
        <f t="shared" si="27"/>
        <v/>
      </c>
      <c r="S32" s="57" t="str">
        <f t="shared" si="27"/>
        <v/>
      </c>
      <c r="T32" s="57" t="str">
        <f t="shared" si="27"/>
        <v/>
      </c>
      <c r="U32" s="57" t="str">
        <f t="shared" si="27"/>
        <v/>
      </c>
      <c r="V32" s="57" t="str">
        <f t="shared" si="27"/>
        <v/>
      </c>
      <c r="W32" s="57" t="str">
        <f t="shared" si="27"/>
        <v/>
      </c>
      <c r="X32" s="57" t="str">
        <f t="shared" si="27"/>
        <v/>
      </c>
      <c r="Y32" s="57" t="str">
        <f t="shared" si="27"/>
        <v/>
      </c>
      <c r="Z32" s="57" t="str">
        <f t="shared" si="27"/>
        <v>■</v>
      </c>
      <c r="AA32" s="57" t="str">
        <f t="shared" si="27"/>
        <v>■</v>
      </c>
      <c r="AB32" s="57" t="str">
        <f t="shared" si="27"/>
        <v>■</v>
      </c>
      <c r="AC32" s="57" t="str">
        <f t="shared" si="27"/>
        <v>■</v>
      </c>
      <c r="AD32" s="57" t="str">
        <f t="shared" si="27"/>
        <v>■</v>
      </c>
      <c r="AE32" s="57" t="str">
        <f t="shared" si="27"/>
        <v>■</v>
      </c>
      <c r="AF32" s="57" t="str">
        <f t="shared" si="27"/>
        <v>■</v>
      </c>
      <c r="AG32" s="57" t="str">
        <f t="shared" si="27"/>
        <v>■</v>
      </c>
      <c r="AH32" s="57" t="str">
        <f t="shared" si="27"/>
        <v>■</v>
      </c>
      <c r="AI32" s="57" t="str">
        <f t="shared" si="27"/>
        <v>■</v>
      </c>
      <c r="AJ32" s="57" t="str">
        <f t="shared" si="27"/>
        <v/>
      </c>
      <c r="AK32" s="57" t="str">
        <f t="shared" si="27"/>
        <v/>
      </c>
      <c r="AL32" s="57" t="str">
        <f t="shared" si="27"/>
        <v/>
      </c>
      <c r="AM32" s="57" t="str">
        <f t="shared" si="27"/>
        <v/>
      </c>
      <c r="AN32" s="57" t="str">
        <f t="shared" si="27"/>
        <v/>
      </c>
      <c r="AO32" s="57" t="str">
        <f t="shared" si="27"/>
        <v/>
      </c>
      <c r="AP32" s="57" t="str">
        <f t="shared" si="27"/>
        <v/>
      </c>
      <c r="AQ32" s="57" t="str">
        <f t="shared" si="27"/>
        <v/>
      </c>
      <c r="AR32" s="57" t="str">
        <f t="shared" si="27"/>
        <v/>
      </c>
      <c r="AS32" s="57" t="str">
        <f t="shared" si="27"/>
        <v/>
      </c>
      <c r="AT32" s="57" t="str">
        <f t="shared" si="27"/>
        <v/>
      </c>
      <c r="AU32" s="57" t="str">
        <f t="shared" si="27"/>
        <v/>
      </c>
      <c r="AV32" s="57" t="str">
        <f t="shared" si="27"/>
        <v/>
      </c>
    </row>
    <row r="33" ht="30.75" customHeight="1">
      <c r="A33" s="49" t="s">
        <v>25</v>
      </c>
      <c r="B33" s="50" t="s">
        <v>127</v>
      </c>
      <c r="C33" s="52" t="s">
        <v>396</v>
      </c>
      <c r="D33" s="52" t="s">
        <v>349</v>
      </c>
      <c r="E33" s="50" t="s">
        <v>50</v>
      </c>
      <c r="F33" s="68" t="s">
        <v>29</v>
      </c>
      <c r="G33" s="55">
        <v>46237.0</v>
      </c>
      <c r="H33" s="55">
        <v>46240.0</v>
      </c>
      <c r="I33" s="72">
        <v>46240.0</v>
      </c>
      <c r="J33" s="56">
        <v>1.0</v>
      </c>
      <c r="K33" s="57" t="str">
        <f t="shared" ref="K33:AV33" si="28">IF(AND(K$5&gt;=$G33,K$5&lt;=$H33,WEEKDAY(K$5,2)&lt;=5),"■","")</f>
        <v/>
      </c>
      <c r="L33" s="57" t="str">
        <f t="shared" si="28"/>
        <v/>
      </c>
      <c r="M33" s="57" t="str">
        <f t="shared" si="28"/>
        <v/>
      </c>
      <c r="N33" s="57" t="str">
        <f t="shared" si="28"/>
        <v/>
      </c>
      <c r="O33" s="57" t="str">
        <f t="shared" si="28"/>
        <v/>
      </c>
      <c r="P33" s="57" t="str">
        <f t="shared" si="28"/>
        <v/>
      </c>
      <c r="Q33" s="57" t="str">
        <f t="shared" si="28"/>
        <v/>
      </c>
      <c r="R33" s="57" t="str">
        <f t="shared" si="28"/>
        <v/>
      </c>
      <c r="S33" s="57" t="str">
        <f t="shared" si="28"/>
        <v/>
      </c>
      <c r="T33" s="57" t="str">
        <f t="shared" si="28"/>
        <v/>
      </c>
      <c r="U33" s="57" t="str">
        <f t="shared" si="28"/>
        <v/>
      </c>
      <c r="V33" s="57" t="str">
        <f t="shared" si="28"/>
        <v/>
      </c>
      <c r="W33" s="57" t="str">
        <f t="shared" si="28"/>
        <v/>
      </c>
      <c r="X33" s="57" t="str">
        <f t="shared" si="28"/>
        <v/>
      </c>
      <c r="Y33" s="57" t="str">
        <f t="shared" si="28"/>
        <v/>
      </c>
      <c r="Z33" s="57" t="str">
        <f t="shared" si="28"/>
        <v>■</v>
      </c>
      <c r="AA33" s="57" t="str">
        <f t="shared" si="28"/>
        <v>■</v>
      </c>
      <c r="AB33" s="57" t="str">
        <f t="shared" si="28"/>
        <v>■</v>
      </c>
      <c r="AC33" s="57" t="str">
        <f t="shared" si="28"/>
        <v>■</v>
      </c>
      <c r="AD33" s="57" t="str">
        <f t="shared" si="28"/>
        <v/>
      </c>
      <c r="AE33" s="57" t="str">
        <f t="shared" si="28"/>
        <v/>
      </c>
      <c r="AF33" s="57" t="str">
        <f t="shared" si="28"/>
        <v/>
      </c>
      <c r="AG33" s="57" t="str">
        <f t="shared" si="28"/>
        <v/>
      </c>
      <c r="AH33" s="57" t="str">
        <f t="shared" si="28"/>
        <v/>
      </c>
      <c r="AI33" s="57" t="str">
        <f t="shared" si="28"/>
        <v/>
      </c>
      <c r="AJ33" s="57" t="str">
        <f t="shared" si="28"/>
        <v/>
      </c>
      <c r="AK33" s="57" t="str">
        <f t="shared" si="28"/>
        <v/>
      </c>
      <c r="AL33" s="57" t="str">
        <f t="shared" si="28"/>
        <v/>
      </c>
      <c r="AM33" s="57" t="str">
        <f t="shared" si="28"/>
        <v/>
      </c>
      <c r="AN33" s="57" t="str">
        <f t="shared" si="28"/>
        <v/>
      </c>
      <c r="AO33" s="57" t="str">
        <f t="shared" si="28"/>
        <v/>
      </c>
      <c r="AP33" s="57" t="str">
        <f t="shared" si="28"/>
        <v/>
      </c>
      <c r="AQ33" s="57" t="str">
        <f t="shared" si="28"/>
        <v/>
      </c>
      <c r="AR33" s="57" t="str">
        <f t="shared" si="28"/>
        <v/>
      </c>
      <c r="AS33" s="57" t="str">
        <f t="shared" si="28"/>
        <v/>
      </c>
      <c r="AT33" s="57" t="str">
        <f t="shared" si="28"/>
        <v/>
      </c>
      <c r="AU33" s="57" t="str">
        <f t="shared" si="28"/>
        <v/>
      </c>
      <c r="AV33" s="57" t="str">
        <f t="shared" si="28"/>
        <v/>
      </c>
    </row>
    <row r="34" ht="30.75" customHeight="1">
      <c r="A34" s="49" t="s">
        <v>25</v>
      </c>
      <c r="B34" s="50" t="s">
        <v>134</v>
      </c>
      <c r="C34" s="52" t="s">
        <v>397</v>
      </c>
      <c r="D34" s="52" t="s">
        <v>398</v>
      </c>
      <c r="E34" s="68" t="s">
        <v>50</v>
      </c>
      <c r="F34" s="68" t="s">
        <v>29</v>
      </c>
      <c r="G34" s="55">
        <v>46244.0</v>
      </c>
      <c r="H34" s="55">
        <v>46248.0</v>
      </c>
      <c r="I34" s="55"/>
      <c r="J34" s="56">
        <v>1.0</v>
      </c>
      <c r="K34" s="57" t="str">
        <f t="shared" ref="K34:AV34" si="29">IF(AND(K$5&gt;=$G34,K$5&lt;=$H34,WEEKDAY(K$5,2)&lt;=5),"■","")</f>
        <v/>
      </c>
      <c r="L34" s="57" t="str">
        <f t="shared" si="29"/>
        <v/>
      </c>
      <c r="M34" s="57" t="str">
        <f t="shared" si="29"/>
        <v/>
      </c>
      <c r="N34" s="57" t="str">
        <f t="shared" si="29"/>
        <v/>
      </c>
      <c r="O34" s="57" t="str">
        <f t="shared" si="29"/>
        <v/>
      </c>
      <c r="P34" s="57" t="str">
        <f t="shared" si="29"/>
        <v/>
      </c>
      <c r="Q34" s="57" t="str">
        <f t="shared" si="29"/>
        <v/>
      </c>
      <c r="R34" s="57" t="str">
        <f t="shared" si="29"/>
        <v/>
      </c>
      <c r="S34" s="57" t="str">
        <f t="shared" si="29"/>
        <v/>
      </c>
      <c r="T34" s="57" t="str">
        <f t="shared" si="29"/>
        <v/>
      </c>
      <c r="U34" s="57" t="str">
        <f t="shared" si="29"/>
        <v/>
      </c>
      <c r="V34" s="57" t="str">
        <f t="shared" si="29"/>
        <v/>
      </c>
      <c r="W34" s="57" t="str">
        <f t="shared" si="29"/>
        <v/>
      </c>
      <c r="X34" s="57" t="str">
        <f t="shared" si="29"/>
        <v/>
      </c>
      <c r="Y34" s="57" t="str">
        <f t="shared" si="29"/>
        <v/>
      </c>
      <c r="Z34" s="57" t="str">
        <f t="shared" si="29"/>
        <v/>
      </c>
      <c r="AA34" s="57" t="str">
        <f t="shared" si="29"/>
        <v/>
      </c>
      <c r="AB34" s="57" t="str">
        <f t="shared" si="29"/>
        <v/>
      </c>
      <c r="AC34" s="57" t="str">
        <f t="shared" si="29"/>
        <v/>
      </c>
      <c r="AD34" s="57" t="str">
        <f t="shared" si="29"/>
        <v/>
      </c>
      <c r="AE34" s="57" t="str">
        <f t="shared" si="29"/>
        <v>■</v>
      </c>
      <c r="AF34" s="57" t="str">
        <f t="shared" si="29"/>
        <v>■</v>
      </c>
      <c r="AG34" s="57" t="str">
        <f t="shared" si="29"/>
        <v>■</v>
      </c>
      <c r="AH34" s="57" t="str">
        <f t="shared" si="29"/>
        <v>■</v>
      </c>
      <c r="AI34" s="57" t="str">
        <f t="shared" si="29"/>
        <v>■</v>
      </c>
      <c r="AJ34" s="57" t="str">
        <f t="shared" si="29"/>
        <v/>
      </c>
      <c r="AK34" s="57" t="str">
        <f t="shared" si="29"/>
        <v/>
      </c>
      <c r="AL34" s="57" t="str">
        <f t="shared" si="29"/>
        <v/>
      </c>
      <c r="AM34" s="57" t="str">
        <f t="shared" si="29"/>
        <v/>
      </c>
      <c r="AN34" s="57" t="str">
        <f t="shared" si="29"/>
        <v/>
      </c>
      <c r="AO34" s="57" t="str">
        <f t="shared" si="29"/>
        <v/>
      </c>
      <c r="AP34" s="57" t="str">
        <f t="shared" si="29"/>
        <v/>
      </c>
      <c r="AQ34" s="57" t="str">
        <f t="shared" si="29"/>
        <v/>
      </c>
      <c r="AR34" s="57" t="str">
        <f t="shared" si="29"/>
        <v/>
      </c>
      <c r="AS34" s="57" t="str">
        <f t="shared" si="29"/>
        <v/>
      </c>
      <c r="AT34" s="57" t="str">
        <f t="shared" si="29"/>
        <v/>
      </c>
      <c r="AU34" s="57" t="str">
        <f t="shared" si="29"/>
        <v/>
      </c>
      <c r="AV34" s="57" t="str">
        <f t="shared" si="29"/>
        <v/>
      </c>
    </row>
    <row r="35" ht="30.75" customHeight="1">
      <c r="A35" s="77" t="s">
        <v>32</v>
      </c>
      <c r="B35" s="50" t="s">
        <v>243</v>
      </c>
      <c r="C35" s="52" t="s">
        <v>399</v>
      </c>
      <c r="D35" s="52" t="s">
        <v>400</v>
      </c>
      <c r="E35" s="50" t="s">
        <v>22</v>
      </c>
      <c r="F35" s="68" t="s">
        <v>29</v>
      </c>
      <c r="G35" s="55">
        <v>46232.0</v>
      </c>
      <c r="H35" s="55">
        <v>46241.0</v>
      </c>
      <c r="I35" s="55">
        <v>46248.0</v>
      </c>
      <c r="J35" s="56">
        <v>1.0</v>
      </c>
      <c r="K35" s="57" t="str">
        <f t="shared" ref="K35:AV35" si="30">IF(AND(K$5&gt;=$G35,K$5&lt;=$H35,WEEKDAY(K$5,2)&lt;=5),"■","")</f>
        <v/>
      </c>
      <c r="L35" s="57" t="str">
        <f t="shared" si="30"/>
        <v/>
      </c>
      <c r="M35" s="57" t="str">
        <f t="shared" si="30"/>
        <v/>
      </c>
      <c r="N35" s="57" t="str">
        <f t="shared" si="30"/>
        <v/>
      </c>
      <c r="O35" s="57" t="str">
        <f t="shared" si="30"/>
        <v/>
      </c>
      <c r="P35" s="57" t="str">
        <f t="shared" si="30"/>
        <v/>
      </c>
      <c r="Q35" s="57" t="str">
        <f t="shared" si="30"/>
        <v/>
      </c>
      <c r="R35" s="57" t="str">
        <f t="shared" si="30"/>
        <v/>
      </c>
      <c r="S35" s="57" t="str">
        <f t="shared" si="30"/>
        <v/>
      </c>
      <c r="T35" s="57" t="str">
        <f t="shared" si="30"/>
        <v/>
      </c>
      <c r="U35" s="57" t="str">
        <f t="shared" si="30"/>
        <v/>
      </c>
      <c r="V35" s="57" t="str">
        <f t="shared" si="30"/>
        <v/>
      </c>
      <c r="W35" s="57" t="str">
        <f t="shared" si="30"/>
        <v>■</v>
      </c>
      <c r="X35" s="57" t="str">
        <f t="shared" si="30"/>
        <v>■</v>
      </c>
      <c r="Y35" s="57" t="str">
        <f t="shared" si="30"/>
        <v>■</v>
      </c>
      <c r="Z35" s="57" t="str">
        <f t="shared" si="30"/>
        <v>■</v>
      </c>
      <c r="AA35" s="57" t="str">
        <f t="shared" si="30"/>
        <v>■</v>
      </c>
      <c r="AB35" s="57" t="str">
        <f t="shared" si="30"/>
        <v>■</v>
      </c>
      <c r="AC35" s="57" t="str">
        <f t="shared" si="30"/>
        <v>■</v>
      </c>
      <c r="AD35" s="57" t="str">
        <f t="shared" si="30"/>
        <v>■</v>
      </c>
      <c r="AE35" s="57" t="str">
        <f t="shared" si="30"/>
        <v/>
      </c>
      <c r="AF35" s="57" t="str">
        <f t="shared" si="30"/>
        <v/>
      </c>
      <c r="AG35" s="57" t="str">
        <f t="shared" si="30"/>
        <v/>
      </c>
      <c r="AH35" s="57" t="str">
        <f t="shared" si="30"/>
        <v/>
      </c>
      <c r="AI35" s="57" t="str">
        <f t="shared" si="30"/>
        <v/>
      </c>
      <c r="AJ35" s="57" t="str">
        <f t="shared" si="30"/>
        <v/>
      </c>
      <c r="AK35" s="57" t="str">
        <f t="shared" si="30"/>
        <v/>
      </c>
      <c r="AL35" s="57" t="str">
        <f t="shared" si="30"/>
        <v/>
      </c>
      <c r="AM35" s="57" t="str">
        <f t="shared" si="30"/>
        <v/>
      </c>
      <c r="AN35" s="57" t="str">
        <f t="shared" si="30"/>
        <v/>
      </c>
      <c r="AO35" s="57" t="str">
        <f t="shared" si="30"/>
        <v/>
      </c>
      <c r="AP35" s="57" t="str">
        <f t="shared" si="30"/>
        <v/>
      </c>
      <c r="AQ35" s="57" t="str">
        <f t="shared" si="30"/>
        <v/>
      </c>
      <c r="AR35" s="57" t="str">
        <f t="shared" si="30"/>
        <v/>
      </c>
      <c r="AS35" s="57" t="str">
        <f t="shared" si="30"/>
        <v/>
      </c>
      <c r="AT35" s="57" t="str">
        <f t="shared" si="30"/>
        <v/>
      </c>
      <c r="AU35" s="57" t="str">
        <f t="shared" si="30"/>
        <v/>
      </c>
      <c r="AV35" s="57" t="str">
        <f t="shared" si="30"/>
        <v/>
      </c>
    </row>
    <row r="36" ht="30.75" customHeight="1">
      <c r="A36" s="77" t="s">
        <v>32</v>
      </c>
      <c r="B36" s="50" t="s">
        <v>247</v>
      </c>
      <c r="C36" s="52" t="s">
        <v>226</v>
      </c>
      <c r="D36" s="51" t="s">
        <v>401</v>
      </c>
      <c r="E36" s="50" t="s">
        <v>22</v>
      </c>
      <c r="F36" s="68" t="s">
        <v>29</v>
      </c>
      <c r="G36" s="55">
        <v>46237.0</v>
      </c>
      <c r="H36" s="55">
        <v>46244.0</v>
      </c>
      <c r="I36" s="55"/>
      <c r="J36" s="56">
        <v>1.0</v>
      </c>
      <c r="K36" s="57" t="str">
        <f t="shared" ref="K36:AV36" si="31">IF(AND(K$5&gt;=$G36,K$5&lt;=$H36,WEEKDAY(K$5,2)&lt;=5),"■","")</f>
        <v/>
      </c>
      <c r="L36" s="57" t="str">
        <f t="shared" si="31"/>
        <v/>
      </c>
      <c r="M36" s="57" t="str">
        <f t="shared" si="31"/>
        <v/>
      </c>
      <c r="N36" s="57" t="str">
        <f t="shared" si="31"/>
        <v/>
      </c>
      <c r="O36" s="57" t="str">
        <f t="shared" si="31"/>
        <v/>
      </c>
      <c r="P36" s="57" t="str">
        <f t="shared" si="31"/>
        <v/>
      </c>
      <c r="Q36" s="57" t="str">
        <f t="shared" si="31"/>
        <v/>
      </c>
      <c r="R36" s="57" t="str">
        <f t="shared" si="31"/>
        <v/>
      </c>
      <c r="S36" s="57" t="str">
        <f t="shared" si="31"/>
        <v/>
      </c>
      <c r="T36" s="57" t="str">
        <f t="shared" si="31"/>
        <v/>
      </c>
      <c r="U36" s="57" t="str">
        <f t="shared" si="31"/>
        <v/>
      </c>
      <c r="V36" s="57" t="str">
        <f t="shared" si="31"/>
        <v/>
      </c>
      <c r="W36" s="57" t="str">
        <f t="shared" si="31"/>
        <v/>
      </c>
      <c r="X36" s="57" t="str">
        <f t="shared" si="31"/>
        <v/>
      </c>
      <c r="Y36" s="57" t="str">
        <f t="shared" si="31"/>
        <v/>
      </c>
      <c r="Z36" s="57" t="str">
        <f t="shared" si="31"/>
        <v>■</v>
      </c>
      <c r="AA36" s="57" t="str">
        <f t="shared" si="31"/>
        <v>■</v>
      </c>
      <c r="AB36" s="57" t="str">
        <f t="shared" si="31"/>
        <v>■</v>
      </c>
      <c r="AC36" s="57" t="str">
        <f t="shared" si="31"/>
        <v>■</v>
      </c>
      <c r="AD36" s="57" t="str">
        <f t="shared" si="31"/>
        <v>■</v>
      </c>
      <c r="AE36" s="57" t="str">
        <f t="shared" si="31"/>
        <v>■</v>
      </c>
      <c r="AF36" s="57" t="str">
        <f t="shared" si="31"/>
        <v/>
      </c>
      <c r="AG36" s="57" t="str">
        <f t="shared" si="31"/>
        <v/>
      </c>
      <c r="AH36" s="57" t="str">
        <f t="shared" si="31"/>
        <v/>
      </c>
      <c r="AI36" s="57" t="str">
        <f t="shared" si="31"/>
        <v/>
      </c>
      <c r="AJ36" s="57" t="str">
        <f t="shared" si="31"/>
        <v/>
      </c>
      <c r="AK36" s="57" t="str">
        <f t="shared" si="31"/>
        <v/>
      </c>
      <c r="AL36" s="57" t="str">
        <f t="shared" si="31"/>
        <v/>
      </c>
      <c r="AM36" s="57" t="str">
        <f t="shared" si="31"/>
        <v/>
      </c>
      <c r="AN36" s="57" t="str">
        <f t="shared" si="31"/>
        <v/>
      </c>
      <c r="AO36" s="57" t="str">
        <f t="shared" si="31"/>
        <v/>
      </c>
      <c r="AP36" s="57" t="str">
        <f t="shared" si="31"/>
        <v/>
      </c>
      <c r="AQ36" s="57" t="str">
        <f t="shared" si="31"/>
        <v/>
      </c>
      <c r="AR36" s="57" t="str">
        <f t="shared" si="31"/>
        <v/>
      </c>
      <c r="AS36" s="57" t="str">
        <f t="shared" si="31"/>
        <v/>
      </c>
      <c r="AT36" s="57" t="str">
        <f t="shared" si="31"/>
        <v/>
      </c>
      <c r="AU36" s="57" t="str">
        <f t="shared" si="31"/>
        <v/>
      </c>
      <c r="AV36" s="57" t="str">
        <f t="shared" si="31"/>
        <v/>
      </c>
    </row>
    <row r="37" ht="30.75" customHeight="1">
      <c r="A37" s="77" t="s">
        <v>32</v>
      </c>
      <c r="B37" s="50" t="s">
        <v>252</v>
      </c>
      <c r="C37" s="52" t="s">
        <v>402</v>
      </c>
      <c r="D37" s="52" t="s">
        <v>403</v>
      </c>
      <c r="E37" s="50" t="s">
        <v>22</v>
      </c>
      <c r="F37" s="68" t="s">
        <v>29</v>
      </c>
      <c r="G37" s="55">
        <v>46244.0</v>
      </c>
      <c r="H37" s="55">
        <v>46248.0</v>
      </c>
      <c r="I37" s="55"/>
      <c r="J37" s="56">
        <v>1.0</v>
      </c>
      <c r="K37" s="57" t="str">
        <f t="shared" ref="K37:AV37" si="32">IF(AND(K$5&gt;=$G37,K$5&lt;=$H37,WEEKDAY(K$5,2)&lt;=5),"■","")</f>
        <v/>
      </c>
      <c r="L37" s="57" t="str">
        <f t="shared" si="32"/>
        <v/>
      </c>
      <c r="M37" s="57" t="str">
        <f t="shared" si="32"/>
        <v/>
      </c>
      <c r="N37" s="57" t="str">
        <f t="shared" si="32"/>
        <v/>
      </c>
      <c r="O37" s="57" t="str">
        <f t="shared" si="32"/>
        <v/>
      </c>
      <c r="P37" s="57" t="str">
        <f t="shared" si="32"/>
        <v/>
      </c>
      <c r="Q37" s="57" t="str">
        <f t="shared" si="32"/>
        <v/>
      </c>
      <c r="R37" s="57" t="str">
        <f t="shared" si="32"/>
        <v/>
      </c>
      <c r="S37" s="57" t="str">
        <f t="shared" si="32"/>
        <v/>
      </c>
      <c r="T37" s="57" t="str">
        <f t="shared" si="32"/>
        <v/>
      </c>
      <c r="U37" s="57" t="str">
        <f t="shared" si="32"/>
        <v/>
      </c>
      <c r="V37" s="57" t="str">
        <f t="shared" si="32"/>
        <v/>
      </c>
      <c r="W37" s="57" t="str">
        <f t="shared" si="32"/>
        <v/>
      </c>
      <c r="X37" s="57" t="str">
        <f t="shared" si="32"/>
        <v/>
      </c>
      <c r="Y37" s="57" t="str">
        <f t="shared" si="32"/>
        <v/>
      </c>
      <c r="Z37" s="57" t="str">
        <f t="shared" si="32"/>
        <v/>
      </c>
      <c r="AA37" s="57" t="str">
        <f t="shared" si="32"/>
        <v/>
      </c>
      <c r="AB37" s="57" t="str">
        <f t="shared" si="32"/>
        <v/>
      </c>
      <c r="AC37" s="57" t="str">
        <f t="shared" si="32"/>
        <v/>
      </c>
      <c r="AD37" s="57" t="str">
        <f t="shared" si="32"/>
        <v/>
      </c>
      <c r="AE37" s="57" t="str">
        <f t="shared" si="32"/>
        <v>■</v>
      </c>
      <c r="AF37" s="57" t="str">
        <f t="shared" si="32"/>
        <v>■</v>
      </c>
      <c r="AG37" s="57" t="str">
        <f t="shared" si="32"/>
        <v>■</v>
      </c>
      <c r="AH37" s="57" t="str">
        <f t="shared" si="32"/>
        <v>■</v>
      </c>
      <c r="AI37" s="57" t="str">
        <f t="shared" si="32"/>
        <v>■</v>
      </c>
      <c r="AJ37" s="57" t="str">
        <f t="shared" si="32"/>
        <v/>
      </c>
      <c r="AK37" s="57" t="str">
        <f t="shared" si="32"/>
        <v/>
      </c>
      <c r="AL37" s="57" t="str">
        <f t="shared" si="32"/>
        <v/>
      </c>
      <c r="AM37" s="57" t="str">
        <f t="shared" si="32"/>
        <v/>
      </c>
      <c r="AN37" s="57" t="str">
        <f t="shared" si="32"/>
        <v/>
      </c>
      <c r="AO37" s="57" t="str">
        <f t="shared" si="32"/>
        <v/>
      </c>
      <c r="AP37" s="57" t="str">
        <f t="shared" si="32"/>
        <v/>
      </c>
      <c r="AQ37" s="57" t="str">
        <f t="shared" si="32"/>
        <v/>
      </c>
      <c r="AR37" s="57" t="str">
        <f t="shared" si="32"/>
        <v/>
      </c>
      <c r="AS37" s="57" t="str">
        <f t="shared" si="32"/>
        <v/>
      </c>
      <c r="AT37" s="57" t="str">
        <f t="shared" si="32"/>
        <v/>
      </c>
      <c r="AU37" s="57" t="str">
        <f t="shared" si="32"/>
        <v/>
      </c>
      <c r="AV37" s="57" t="str">
        <f t="shared" si="32"/>
        <v/>
      </c>
    </row>
    <row r="38" ht="30.75" customHeight="1">
      <c r="A38" s="77" t="s">
        <v>32</v>
      </c>
      <c r="B38" s="50" t="s">
        <v>256</v>
      </c>
      <c r="C38" s="51" t="s">
        <v>404</v>
      </c>
      <c r="D38" s="52" t="s">
        <v>405</v>
      </c>
      <c r="E38" s="50" t="s">
        <v>22</v>
      </c>
      <c r="F38" s="68" t="s">
        <v>29</v>
      </c>
      <c r="G38" s="55">
        <v>46244.0</v>
      </c>
      <c r="H38" s="55">
        <v>46248.0</v>
      </c>
      <c r="I38" s="55">
        <v>46248.0</v>
      </c>
      <c r="J38" s="56">
        <v>1.0</v>
      </c>
      <c r="K38" s="57" t="str">
        <f t="shared" ref="K38:AV38" si="33">IF(AND(K$5&gt;=$G38,K$5&lt;=$H38,WEEKDAY(K$5,2)&lt;=5),"■","")</f>
        <v/>
      </c>
      <c r="L38" s="57" t="str">
        <f t="shared" si="33"/>
        <v/>
      </c>
      <c r="M38" s="57" t="str">
        <f t="shared" si="33"/>
        <v/>
      </c>
      <c r="N38" s="57" t="str">
        <f t="shared" si="33"/>
        <v/>
      </c>
      <c r="O38" s="57" t="str">
        <f t="shared" si="33"/>
        <v/>
      </c>
      <c r="P38" s="57" t="str">
        <f t="shared" si="33"/>
        <v/>
      </c>
      <c r="Q38" s="57" t="str">
        <f t="shared" si="33"/>
        <v/>
      </c>
      <c r="R38" s="57" t="str">
        <f t="shared" si="33"/>
        <v/>
      </c>
      <c r="S38" s="57" t="str">
        <f t="shared" si="33"/>
        <v/>
      </c>
      <c r="T38" s="57" t="str">
        <f t="shared" si="33"/>
        <v/>
      </c>
      <c r="U38" s="57" t="str">
        <f t="shared" si="33"/>
        <v/>
      </c>
      <c r="V38" s="57" t="str">
        <f t="shared" si="33"/>
        <v/>
      </c>
      <c r="W38" s="57" t="str">
        <f t="shared" si="33"/>
        <v/>
      </c>
      <c r="X38" s="57" t="str">
        <f t="shared" si="33"/>
        <v/>
      </c>
      <c r="Y38" s="57" t="str">
        <f t="shared" si="33"/>
        <v/>
      </c>
      <c r="Z38" s="57" t="str">
        <f t="shared" si="33"/>
        <v/>
      </c>
      <c r="AA38" s="57" t="str">
        <f t="shared" si="33"/>
        <v/>
      </c>
      <c r="AB38" s="57" t="str">
        <f t="shared" si="33"/>
        <v/>
      </c>
      <c r="AC38" s="57" t="str">
        <f t="shared" si="33"/>
        <v/>
      </c>
      <c r="AD38" s="57" t="str">
        <f t="shared" si="33"/>
        <v/>
      </c>
      <c r="AE38" s="57" t="str">
        <f t="shared" si="33"/>
        <v>■</v>
      </c>
      <c r="AF38" s="57" t="str">
        <f t="shared" si="33"/>
        <v>■</v>
      </c>
      <c r="AG38" s="57" t="str">
        <f t="shared" si="33"/>
        <v>■</v>
      </c>
      <c r="AH38" s="57" t="str">
        <f t="shared" si="33"/>
        <v>■</v>
      </c>
      <c r="AI38" s="57" t="str">
        <f t="shared" si="33"/>
        <v>■</v>
      </c>
      <c r="AJ38" s="57" t="str">
        <f t="shared" si="33"/>
        <v/>
      </c>
      <c r="AK38" s="57" t="str">
        <f t="shared" si="33"/>
        <v/>
      </c>
      <c r="AL38" s="57" t="str">
        <f t="shared" si="33"/>
        <v/>
      </c>
      <c r="AM38" s="57" t="str">
        <f t="shared" si="33"/>
        <v/>
      </c>
      <c r="AN38" s="57" t="str">
        <f t="shared" si="33"/>
        <v/>
      </c>
      <c r="AO38" s="57" t="str">
        <f t="shared" si="33"/>
        <v/>
      </c>
      <c r="AP38" s="57" t="str">
        <f t="shared" si="33"/>
        <v/>
      </c>
      <c r="AQ38" s="57" t="str">
        <f t="shared" si="33"/>
        <v/>
      </c>
      <c r="AR38" s="57" t="str">
        <f t="shared" si="33"/>
        <v/>
      </c>
      <c r="AS38" s="57" t="str">
        <f t="shared" si="33"/>
        <v/>
      </c>
      <c r="AT38" s="57" t="str">
        <f t="shared" si="33"/>
        <v/>
      </c>
      <c r="AU38" s="57" t="str">
        <f t="shared" si="33"/>
        <v/>
      </c>
      <c r="AV38" s="57" t="str">
        <f t="shared" si="33"/>
        <v/>
      </c>
    </row>
    <row r="39" ht="30.75" customHeight="1">
      <c r="A39" s="77" t="s">
        <v>32</v>
      </c>
      <c r="B39" s="50" t="s">
        <v>260</v>
      </c>
      <c r="C39" s="52" t="s">
        <v>406</v>
      </c>
      <c r="D39" s="52" t="s">
        <v>407</v>
      </c>
      <c r="E39" s="50" t="s">
        <v>22</v>
      </c>
      <c r="F39" s="68" t="s">
        <v>29</v>
      </c>
      <c r="G39" s="55">
        <v>46244.0</v>
      </c>
      <c r="H39" s="55">
        <v>46248.0</v>
      </c>
      <c r="I39" s="55"/>
      <c r="J39" s="56">
        <v>1.0</v>
      </c>
      <c r="K39" s="57" t="str">
        <f t="shared" ref="K39:AV39" si="34">IF(AND(K$5&gt;=$G39,K$5&lt;=$H39,WEEKDAY(K$5,2)&lt;=5),"■","")</f>
        <v/>
      </c>
      <c r="L39" s="57" t="str">
        <f t="shared" si="34"/>
        <v/>
      </c>
      <c r="M39" s="57" t="str">
        <f t="shared" si="34"/>
        <v/>
      </c>
      <c r="N39" s="57" t="str">
        <f t="shared" si="34"/>
        <v/>
      </c>
      <c r="O39" s="57" t="str">
        <f t="shared" si="34"/>
        <v/>
      </c>
      <c r="P39" s="57" t="str">
        <f t="shared" si="34"/>
        <v/>
      </c>
      <c r="Q39" s="57" t="str">
        <f t="shared" si="34"/>
        <v/>
      </c>
      <c r="R39" s="57" t="str">
        <f t="shared" si="34"/>
        <v/>
      </c>
      <c r="S39" s="57" t="str">
        <f t="shared" si="34"/>
        <v/>
      </c>
      <c r="T39" s="57" t="str">
        <f t="shared" si="34"/>
        <v/>
      </c>
      <c r="U39" s="57" t="str">
        <f t="shared" si="34"/>
        <v/>
      </c>
      <c r="V39" s="57" t="str">
        <f t="shared" si="34"/>
        <v/>
      </c>
      <c r="W39" s="57" t="str">
        <f t="shared" si="34"/>
        <v/>
      </c>
      <c r="X39" s="57" t="str">
        <f t="shared" si="34"/>
        <v/>
      </c>
      <c r="Y39" s="57" t="str">
        <f t="shared" si="34"/>
        <v/>
      </c>
      <c r="Z39" s="57" t="str">
        <f t="shared" si="34"/>
        <v/>
      </c>
      <c r="AA39" s="57" t="str">
        <f t="shared" si="34"/>
        <v/>
      </c>
      <c r="AB39" s="57" t="str">
        <f t="shared" si="34"/>
        <v/>
      </c>
      <c r="AC39" s="57" t="str">
        <f t="shared" si="34"/>
        <v/>
      </c>
      <c r="AD39" s="57" t="str">
        <f t="shared" si="34"/>
        <v/>
      </c>
      <c r="AE39" s="57" t="str">
        <f t="shared" si="34"/>
        <v>■</v>
      </c>
      <c r="AF39" s="57" t="str">
        <f t="shared" si="34"/>
        <v>■</v>
      </c>
      <c r="AG39" s="57" t="str">
        <f t="shared" si="34"/>
        <v>■</v>
      </c>
      <c r="AH39" s="57" t="str">
        <f t="shared" si="34"/>
        <v>■</v>
      </c>
      <c r="AI39" s="57" t="str">
        <f t="shared" si="34"/>
        <v>■</v>
      </c>
      <c r="AJ39" s="57" t="str">
        <f t="shared" si="34"/>
        <v/>
      </c>
      <c r="AK39" s="57" t="str">
        <f t="shared" si="34"/>
        <v/>
      </c>
      <c r="AL39" s="57" t="str">
        <f t="shared" si="34"/>
        <v/>
      </c>
      <c r="AM39" s="57" t="str">
        <f t="shared" si="34"/>
        <v/>
      </c>
      <c r="AN39" s="57" t="str">
        <f t="shared" si="34"/>
        <v/>
      </c>
      <c r="AO39" s="57" t="str">
        <f t="shared" si="34"/>
        <v/>
      </c>
      <c r="AP39" s="57" t="str">
        <f t="shared" si="34"/>
        <v/>
      </c>
      <c r="AQ39" s="57" t="str">
        <f t="shared" si="34"/>
        <v/>
      </c>
      <c r="AR39" s="57" t="str">
        <f t="shared" si="34"/>
        <v/>
      </c>
      <c r="AS39" s="57" t="str">
        <f t="shared" si="34"/>
        <v/>
      </c>
      <c r="AT39" s="57" t="str">
        <f t="shared" si="34"/>
        <v/>
      </c>
      <c r="AU39" s="57" t="str">
        <f t="shared" si="34"/>
        <v/>
      </c>
      <c r="AV39" s="57" t="str">
        <f t="shared" si="34"/>
        <v/>
      </c>
    </row>
    <row r="40" ht="30.75" customHeight="1">
      <c r="A40" s="77" t="s">
        <v>32</v>
      </c>
      <c r="B40" s="50" t="s">
        <v>152</v>
      </c>
      <c r="C40" s="52" t="s">
        <v>408</v>
      </c>
      <c r="D40" s="51" t="s">
        <v>409</v>
      </c>
      <c r="E40" s="50" t="s">
        <v>22</v>
      </c>
      <c r="F40" s="68" t="s">
        <v>29</v>
      </c>
      <c r="G40" s="55">
        <v>46244.0</v>
      </c>
      <c r="H40" s="55">
        <v>46255.0</v>
      </c>
      <c r="I40" s="72"/>
      <c r="J40" s="56">
        <v>1.0</v>
      </c>
      <c r="K40" s="57" t="str">
        <f t="shared" ref="K40:AV40" si="35">IF(AND(K$5&gt;=$G40,K$5&lt;=$H40,WEEKDAY(K$5,2)&lt;=5),"■","")</f>
        <v/>
      </c>
      <c r="L40" s="57" t="str">
        <f t="shared" si="35"/>
        <v/>
      </c>
      <c r="M40" s="57" t="str">
        <f t="shared" si="35"/>
        <v/>
      </c>
      <c r="N40" s="57" t="str">
        <f t="shared" si="35"/>
        <v/>
      </c>
      <c r="O40" s="57" t="str">
        <f t="shared" si="35"/>
        <v/>
      </c>
      <c r="P40" s="57" t="str">
        <f t="shared" si="35"/>
        <v/>
      </c>
      <c r="Q40" s="57" t="str">
        <f t="shared" si="35"/>
        <v/>
      </c>
      <c r="R40" s="57" t="str">
        <f t="shared" si="35"/>
        <v/>
      </c>
      <c r="S40" s="57" t="str">
        <f t="shared" si="35"/>
        <v/>
      </c>
      <c r="T40" s="57" t="str">
        <f t="shared" si="35"/>
        <v/>
      </c>
      <c r="U40" s="57" t="str">
        <f t="shared" si="35"/>
        <v/>
      </c>
      <c r="V40" s="57" t="str">
        <f t="shared" si="35"/>
        <v/>
      </c>
      <c r="W40" s="57" t="str">
        <f t="shared" si="35"/>
        <v/>
      </c>
      <c r="X40" s="57" t="str">
        <f t="shared" si="35"/>
        <v/>
      </c>
      <c r="Y40" s="57" t="str">
        <f t="shared" si="35"/>
        <v/>
      </c>
      <c r="Z40" s="57" t="str">
        <f t="shared" si="35"/>
        <v/>
      </c>
      <c r="AA40" s="57" t="str">
        <f t="shared" si="35"/>
        <v/>
      </c>
      <c r="AB40" s="57" t="str">
        <f t="shared" si="35"/>
        <v/>
      </c>
      <c r="AC40" s="57" t="str">
        <f t="shared" si="35"/>
        <v/>
      </c>
      <c r="AD40" s="57" t="str">
        <f t="shared" si="35"/>
        <v/>
      </c>
      <c r="AE40" s="57" t="str">
        <f t="shared" si="35"/>
        <v>■</v>
      </c>
      <c r="AF40" s="57" t="str">
        <f t="shared" si="35"/>
        <v>■</v>
      </c>
      <c r="AG40" s="57" t="str">
        <f t="shared" si="35"/>
        <v>■</v>
      </c>
      <c r="AH40" s="57" t="str">
        <f t="shared" si="35"/>
        <v>■</v>
      </c>
      <c r="AI40" s="57" t="str">
        <f t="shared" si="35"/>
        <v>■</v>
      </c>
      <c r="AJ40" s="57" t="str">
        <f t="shared" si="35"/>
        <v>■</v>
      </c>
      <c r="AK40" s="57" t="str">
        <f t="shared" si="35"/>
        <v>■</v>
      </c>
      <c r="AL40" s="57" t="str">
        <f t="shared" si="35"/>
        <v>■</v>
      </c>
      <c r="AM40" s="57" t="str">
        <f t="shared" si="35"/>
        <v>■</v>
      </c>
      <c r="AN40" s="57" t="str">
        <f t="shared" si="35"/>
        <v/>
      </c>
      <c r="AO40" s="57" t="str">
        <f t="shared" si="35"/>
        <v/>
      </c>
      <c r="AP40" s="57" t="str">
        <f t="shared" si="35"/>
        <v/>
      </c>
      <c r="AQ40" s="57" t="str">
        <f t="shared" si="35"/>
        <v/>
      </c>
      <c r="AR40" s="57" t="str">
        <f t="shared" si="35"/>
        <v/>
      </c>
      <c r="AS40" s="57" t="str">
        <f t="shared" si="35"/>
        <v/>
      </c>
      <c r="AT40" s="57" t="str">
        <f t="shared" si="35"/>
        <v/>
      </c>
      <c r="AU40" s="57" t="str">
        <f t="shared" si="35"/>
        <v/>
      </c>
      <c r="AV40" s="57" t="str">
        <f t="shared" si="35"/>
        <v/>
      </c>
    </row>
    <row r="41" ht="30.75" customHeight="1">
      <c r="A41" s="77" t="s">
        <v>32</v>
      </c>
      <c r="B41" s="50" t="s">
        <v>410</v>
      </c>
      <c r="C41" s="51" t="s">
        <v>411</v>
      </c>
      <c r="D41" s="51" t="s">
        <v>412</v>
      </c>
      <c r="E41" s="50" t="s">
        <v>22</v>
      </c>
      <c r="F41" s="68" t="s">
        <v>29</v>
      </c>
      <c r="G41" s="55">
        <v>46251.0</v>
      </c>
      <c r="H41" s="55">
        <v>46262.0</v>
      </c>
      <c r="I41" s="72"/>
      <c r="J41" s="56">
        <v>1.0</v>
      </c>
      <c r="K41" s="57" t="str">
        <f t="shared" ref="K41:AV41" si="36">IF(AND(K$5&gt;=$G41,K$5&lt;=$H41,WEEKDAY(K$5,2)&lt;=5),"■","")</f>
        <v/>
      </c>
      <c r="L41" s="57" t="str">
        <f t="shared" si="36"/>
        <v/>
      </c>
      <c r="M41" s="57" t="str">
        <f t="shared" si="36"/>
        <v/>
      </c>
      <c r="N41" s="57" t="str">
        <f t="shared" si="36"/>
        <v/>
      </c>
      <c r="O41" s="57" t="str">
        <f t="shared" si="36"/>
        <v/>
      </c>
      <c r="P41" s="57" t="str">
        <f t="shared" si="36"/>
        <v/>
      </c>
      <c r="Q41" s="57" t="str">
        <f t="shared" si="36"/>
        <v/>
      </c>
      <c r="R41" s="57" t="str">
        <f t="shared" si="36"/>
        <v/>
      </c>
      <c r="S41" s="57" t="str">
        <f t="shared" si="36"/>
        <v/>
      </c>
      <c r="T41" s="57" t="str">
        <f t="shared" si="36"/>
        <v/>
      </c>
      <c r="U41" s="57" t="str">
        <f t="shared" si="36"/>
        <v/>
      </c>
      <c r="V41" s="57" t="str">
        <f t="shared" si="36"/>
        <v/>
      </c>
      <c r="W41" s="57" t="str">
        <f t="shared" si="36"/>
        <v/>
      </c>
      <c r="X41" s="57" t="str">
        <f t="shared" si="36"/>
        <v/>
      </c>
      <c r="Y41" s="57" t="str">
        <f t="shared" si="36"/>
        <v/>
      </c>
      <c r="Z41" s="57" t="str">
        <f t="shared" si="36"/>
        <v/>
      </c>
      <c r="AA41" s="57" t="str">
        <f t="shared" si="36"/>
        <v/>
      </c>
      <c r="AB41" s="57" t="str">
        <f t="shared" si="36"/>
        <v/>
      </c>
      <c r="AC41" s="57" t="str">
        <f t="shared" si="36"/>
        <v/>
      </c>
      <c r="AD41" s="57" t="str">
        <f t="shared" si="36"/>
        <v/>
      </c>
      <c r="AE41" s="57" t="str">
        <f t="shared" si="36"/>
        <v/>
      </c>
      <c r="AF41" s="57" t="str">
        <f t="shared" si="36"/>
        <v/>
      </c>
      <c r="AG41" s="57" t="str">
        <f t="shared" si="36"/>
        <v/>
      </c>
      <c r="AH41" s="57" t="str">
        <f t="shared" si="36"/>
        <v/>
      </c>
      <c r="AI41" s="57" t="str">
        <f t="shared" si="36"/>
        <v/>
      </c>
      <c r="AJ41" s="57" t="str">
        <f t="shared" si="36"/>
        <v>■</v>
      </c>
      <c r="AK41" s="57" t="str">
        <f t="shared" si="36"/>
        <v>■</v>
      </c>
      <c r="AL41" s="57" t="str">
        <f t="shared" si="36"/>
        <v>■</v>
      </c>
      <c r="AM41" s="57" t="str">
        <f t="shared" si="36"/>
        <v>■</v>
      </c>
      <c r="AN41" s="57" t="str">
        <f t="shared" si="36"/>
        <v>■</v>
      </c>
      <c r="AO41" s="57" t="str">
        <f t="shared" si="36"/>
        <v>■</v>
      </c>
      <c r="AP41" s="57" t="str">
        <f t="shared" si="36"/>
        <v>■</v>
      </c>
      <c r="AQ41" s="57" t="str">
        <f t="shared" si="36"/>
        <v>■</v>
      </c>
      <c r="AR41" s="57" t="str">
        <f t="shared" si="36"/>
        <v>■</v>
      </c>
      <c r="AS41" s="57" t="str">
        <f t="shared" si="36"/>
        <v/>
      </c>
      <c r="AT41" s="57" t="str">
        <f t="shared" si="36"/>
        <v/>
      </c>
      <c r="AU41" s="57" t="str">
        <f t="shared" si="36"/>
        <v/>
      </c>
      <c r="AV41" s="57" t="str">
        <f t="shared" si="36"/>
        <v/>
      </c>
    </row>
    <row r="42" ht="30.75" customHeight="1">
      <c r="A42" s="77" t="s">
        <v>32</v>
      </c>
      <c r="B42" s="50" t="s">
        <v>413</v>
      </c>
      <c r="C42" s="51" t="s">
        <v>414</v>
      </c>
      <c r="D42" s="52" t="s">
        <v>415</v>
      </c>
      <c r="E42" s="50" t="s">
        <v>22</v>
      </c>
      <c r="F42" s="68" t="s">
        <v>29</v>
      </c>
      <c r="G42" s="55">
        <v>46258.0</v>
      </c>
      <c r="H42" s="55">
        <v>46262.0</v>
      </c>
      <c r="I42" s="72"/>
      <c r="J42" s="56">
        <v>1.0</v>
      </c>
      <c r="K42" s="57" t="str">
        <f t="shared" ref="K42:AV42" si="37">IF(AND(K$5&gt;=$G42,K$5&lt;=$H42,WEEKDAY(K$5,2)&lt;=5),"■","")</f>
        <v/>
      </c>
      <c r="L42" s="57" t="str">
        <f t="shared" si="37"/>
        <v/>
      </c>
      <c r="M42" s="57" t="str">
        <f t="shared" si="37"/>
        <v/>
      </c>
      <c r="N42" s="57" t="str">
        <f t="shared" si="37"/>
        <v/>
      </c>
      <c r="O42" s="57" t="str">
        <f t="shared" si="37"/>
        <v/>
      </c>
      <c r="P42" s="57" t="str">
        <f t="shared" si="37"/>
        <v/>
      </c>
      <c r="Q42" s="57" t="str">
        <f t="shared" si="37"/>
        <v/>
      </c>
      <c r="R42" s="57" t="str">
        <f t="shared" si="37"/>
        <v/>
      </c>
      <c r="S42" s="57" t="str">
        <f t="shared" si="37"/>
        <v/>
      </c>
      <c r="T42" s="57" t="str">
        <f t="shared" si="37"/>
        <v/>
      </c>
      <c r="U42" s="57" t="str">
        <f t="shared" si="37"/>
        <v/>
      </c>
      <c r="V42" s="57" t="str">
        <f t="shared" si="37"/>
        <v/>
      </c>
      <c r="W42" s="57" t="str">
        <f t="shared" si="37"/>
        <v/>
      </c>
      <c r="X42" s="57" t="str">
        <f t="shared" si="37"/>
        <v/>
      </c>
      <c r="Y42" s="57" t="str">
        <f t="shared" si="37"/>
        <v/>
      </c>
      <c r="Z42" s="57" t="str">
        <f t="shared" si="37"/>
        <v/>
      </c>
      <c r="AA42" s="57" t="str">
        <f t="shared" si="37"/>
        <v/>
      </c>
      <c r="AB42" s="57" t="str">
        <f t="shared" si="37"/>
        <v/>
      </c>
      <c r="AC42" s="57" t="str">
        <f t="shared" si="37"/>
        <v/>
      </c>
      <c r="AD42" s="57" t="str">
        <f t="shared" si="37"/>
        <v/>
      </c>
      <c r="AE42" s="57" t="str">
        <f t="shared" si="37"/>
        <v/>
      </c>
      <c r="AF42" s="57" t="str">
        <f t="shared" si="37"/>
        <v/>
      </c>
      <c r="AG42" s="57" t="str">
        <f t="shared" si="37"/>
        <v/>
      </c>
      <c r="AH42" s="57" t="str">
        <f t="shared" si="37"/>
        <v/>
      </c>
      <c r="AI42" s="57" t="str">
        <f t="shared" si="37"/>
        <v/>
      </c>
      <c r="AJ42" s="57" t="str">
        <f t="shared" si="37"/>
        <v/>
      </c>
      <c r="AK42" s="57" t="str">
        <f t="shared" si="37"/>
        <v/>
      </c>
      <c r="AL42" s="57" t="str">
        <f t="shared" si="37"/>
        <v/>
      </c>
      <c r="AM42" s="57" t="str">
        <f t="shared" si="37"/>
        <v/>
      </c>
      <c r="AN42" s="57" t="str">
        <f t="shared" si="37"/>
        <v>■</v>
      </c>
      <c r="AO42" s="57" t="str">
        <f t="shared" si="37"/>
        <v>■</v>
      </c>
      <c r="AP42" s="57" t="str">
        <f t="shared" si="37"/>
        <v>■</v>
      </c>
      <c r="AQ42" s="57" t="str">
        <f t="shared" si="37"/>
        <v>■</v>
      </c>
      <c r="AR42" s="57" t="str">
        <f t="shared" si="37"/>
        <v>■</v>
      </c>
      <c r="AS42" s="57" t="str">
        <f t="shared" si="37"/>
        <v/>
      </c>
      <c r="AT42" s="57" t="str">
        <f t="shared" si="37"/>
        <v/>
      </c>
      <c r="AU42" s="57" t="str">
        <f t="shared" si="37"/>
        <v/>
      </c>
      <c r="AV42" s="57" t="str">
        <f t="shared" si="37"/>
        <v/>
      </c>
    </row>
    <row r="43" ht="30.75" customHeight="1">
      <c r="A43" s="77" t="s">
        <v>32</v>
      </c>
      <c r="B43" s="50" t="s">
        <v>416</v>
      </c>
      <c r="C43" s="52" t="s">
        <v>417</v>
      </c>
      <c r="D43" s="52" t="s">
        <v>418</v>
      </c>
      <c r="E43" s="50" t="s">
        <v>22</v>
      </c>
      <c r="F43" s="68" t="s">
        <v>29</v>
      </c>
      <c r="G43" s="55">
        <v>46258.0</v>
      </c>
      <c r="H43" s="55">
        <v>46267.0</v>
      </c>
      <c r="I43" s="72"/>
      <c r="J43" s="56">
        <v>1.0</v>
      </c>
      <c r="K43" s="57" t="str">
        <f t="shared" ref="K43:AV43" si="38">IF(AND(K$5&gt;=$G43,K$5&lt;=$H43,WEEKDAY(K$5,2)&lt;=5),"■","")</f>
        <v/>
      </c>
      <c r="L43" s="57" t="str">
        <f t="shared" si="38"/>
        <v/>
      </c>
      <c r="M43" s="57" t="str">
        <f t="shared" si="38"/>
        <v/>
      </c>
      <c r="N43" s="57" t="str">
        <f t="shared" si="38"/>
        <v/>
      </c>
      <c r="O43" s="57" t="str">
        <f t="shared" si="38"/>
        <v/>
      </c>
      <c r="P43" s="57" t="str">
        <f t="shared" si="38"/>
        <v/>
      </c>
      <c r="Q43" s="57" t="str">
        <f t="shared" si="38"/>
        <v/>
      </c>
      <c r="R43" s="57" t="str">
        <f t="shared" si="38"/>
        <v/>
      </c>
      <c r="S43" s="57" t="str">
        <f t="shared" si="38"/>
        <v/>
      </c>
      <c r="T43" s="57" t="str">
        <f t="shared" si="38"/>
        <v/>
      </c>
      <c r="U43" s="57" t="str">
        <f t="shared" si="38"/>
        <v/>
      </c>
      <c r="V43" s="57" t="str">
        <f t="shared" si="38"/>
        <v/>
      </c>
      <c r="W43" s="57" t="str">
        <f t="shared" si="38"/>
        <v/>
      </c>
      <c r="X43" s="57" t="str">
        <f t="shared" si="38"/>
        <v/>
      </c>
      <c r="Y43" s="57" t="str">
        <f t="shared" si="38"/>
        <v/>
      </c>
      <c r="Z43" s="57" t="str">
        <f t="shared" si="38"/>
        <v/>
      </c>
      <c r="AA43" s="57" t="str">
        <f t="shared" si="38"/>
        <v/>
      </c>
      <c r="AB43" s="57" t="str">
        <f t="shared" si="38"/>
        <v/>
      </c>
      <c r="AC43" s="57" t="str">
        <f t="shared" si="38"/>
        <v/>
      </c>
      <c r="AD43" s="57" t="str">
        <f t="shared" si="38"/>
        <v/>
      </c>
      <c r="AE43" s="57" t="str">
        <f t="shared" si="38"/>
        <v/>
      </c>
      <c r="AF43" s="57" t="str">
        <f t="shared" si="38"/>
        <v/>
      </c>
      <c r="AG43" s="57" t="str">
        <f t="shared" si="38"/>
        <v/>
      </c>
      <c r="AH43" s="57" t="str">
        <f t="shared" si="38"/>
        <v/>
      </c>
      <c r="AI43" s="57" t="str">
        <f t="shared" si="38"/>
        <v/>
      </c>
      <c r="AJ43" s="57" t="str">
        <f t="shared" si="38"/>
        <v/>
      </c>
      <c r="AK43" s="57" t="str">
        <f t="shared" si="38"/>
        <v/>
      </c>
      <c r="AL43" s="57" t="str">
        <f t="shared" si="38"/>
        <v/>
      </c>
      <c r="AM43" s="57" t="str">
        <f t="shared" si="38"/>
        <v/>
      </c>
      <c r="AN43" s="57" t="str">
        <f t="shared" si="38"/>
        <v>■</v>
      </c>
      <c r="AO43" s="57" t="str">
        <f t="shared" si="38"/>
        <v>■</v>
      </c>
      <c r="AP43" s="57" t="str">
        <f t="shared" si="38"/>
        <v>■</v>
      </c>
      <c r="AQ43" s="57" t="str">
        <f t="shared" si="38"/>
        <v>■</v>
      </c>
      <c r="AR43" s="57" t="str">
        <f t="shared" si="38"/>
        <v>■</v>
      </c>
      <c r="AS43" s="57" t="str">
        <f t="shared" si="38"/>
        <v>■</v>
      </c>
      <c r="AT43" s="57" t="str">
        <f t="shared" si="38"/>
        <v>■</v>
      </c>
      <c r="AU43" s="57" t="str">
        <f t="shared" si="38"/>
        <v>■</v>
      </c>
      <c r="AV43" s="57" t="str">
        <f t="shared" si="38"/>
        <v/>
      </c>
    </row>
    <row r="44" ht="30.75" customHeight="1">
      <c r="A44" s="78" t="s">
        <v>39</v>
      </c>
      <c r="B44" s="50" t="s">
        <v>86</v>
      </c>
      <c r="C44" s="51" t="s">
        <v>419</v>
      </c>
      <c r="D44" s="51" t="s">
        <v>420</v>
      </c>
      <c r="E44" s="50" t="s">
        <v>27</v>
      </c>
      <c r="F44" s="68" t="s">
        <v>29</v>
      </c>
      <c r="G44" s="55">
        <v>46232.0</v>
      </c>
      <c r="H44" s="55">
        <v>46234.0</v>
      </c>
      <c r="I44" s="55">
        <v>46227.0</v>
      </c>
      <c r="J44" s="56">
        <v>1.0</v>
      </c>
      <c r="K44" s="57" t="str">
        <f t="shared" ref="K44:AV44" si="39">IF(AND(K$5&gt;=$G44,K$5&lt;=$H44,WEEKDAY(K$5,2)&lt;=5),"■","")</f>
        <v/>
      </c>
      <c r="L44" s="57" t="str">
        <f t="shared" si="39"/>
        <v/>
      </c>
      <c r="M44" s="57" t="str">
        <f t="shared" si="39"/>
        <v/>
      </c>
      <c r="N44" s="57" t="str">
        <f t="shared" si="39"/>
        <v/>
      </c>
      <c r="O44" s="57" t="str">
        <f t="shared" si="39"/>
        <v/>
      </c>
      <c r="P44" s="57" t="str">
        <f t="shared" si="39"/>
        <v/>
      </c>
      <c r="Q44" s="57" t="str">
        <f t="shared" si="39"/>
        <v/>
      </c>
      <c r="R44" s="57" t="str">
        <f t="shared" si="39"/>
        <v/>
      </c>
      <c r="S44" s="57" t="str">
        <f t="shared" si="39"/>
        <v/>
      </c>
      <c r="T44" s="57" t="str">
        <f t="shared" si="39"/>
        <v/>
      </c>
      <c r="U44" s="57" t="str">
        <f t="shared" si="39"/>
        <v/>
      </c>
      <c r="V44" s="57" t="str">
        <f t="shared" si="39"/>
        <v/>
      </c>
      <c r="W44" s="57" t="str">
        <f t="shared" si="39"/>
        <v>■</v>
      </c>
      <c r="X44" s="57" t="str">
        <f t="shared" si="39"/>
        <v>■</v>
      </c>
      <c r="Y44" s="57" t="str">
        <f t="shared" si="39"/>
        <v>■</v>
      </c>
      <c r="Z44" s="57" t="str">
        <f t="shared" si="39"/>
        <v/>
      </c>
      <c r="AA44" s="57" t="str">
        <f t="shared" si="39"/>
        <v/>
      </c>
      <c r="AB44" s="57" t="str">
        <f t="shared" si="39"/>
        <v/>
      </c>
      <c r="AC44" s="57" t="str">
        <f t="shared" si="39"/>
        <v/>
      </c>
      <c r="AD44" s="57" t="str">
        <f t="shared" si="39"/>
        <v/>
      </c>
      <c r="AE44" s="57" t="str">
        <f t="shared" si="39"/>
        <v/>
      </c>
      <c r="AF44" s="57" t="str">
        <f t="shared" si="39"/>
        <v/>
      </c>
      <c r="AG44" s="57" t="str">
        <f t="shared" si="39"/>
        <v/>
      </c>
      <c r="AH44" s="57" t="str">
        <f t="shared" si="39"/>
        <v/>
      </c>
      <c r="AI44" s="57" t="str">
        <f t="shared" si="39"/>
        <v/>
      </c>
      <c r="AJ44" s="57" t="str">
        <f t="shared" si="39"/>
        <v/>
      </c>
      <c r="AK44" s="57" t="str">
        <f t="shared" si="39"/>
        <v/>
      </c>
      <c r="AL44" s="57" t="str">
        <f t="shared" si="39"/>
        <v/>
      </c>
      <c r="AM44" s="57" t="str">
        <f t="shared" si="39"/>
        <v/>
      </c>
      <c r="AN44" s="57" t="str">
        <f t="shared" si="39"/>
        <v/>
      </c>
      <c r="AO44" s="57" t="str">
        <f t="shared" si="39"/>
        <v/>
      </c>
      <c r="AP44" s="57" t="str">
        <f t="shared" si="39"/>
        <v/>
      </c>
      <c r="AQ44" s="57" t="str">
        <f t="shared" si="39"/>
        <v/>
      </c>
      <c r="AR44" s="57" t="str">
        <f t="shared" si="39"/>
        <v/>
      </c>
      <c r="AS44" s="57" t="str">
        <f t="shared" si="39"/>
        <v/>
      </c>
      <c r="AT44" s="57" t="str">
        <f t="shared" si="39"/>
        <v/>
      </c>
      <c r="AU44" s="57" t="str">
        <f t="shared" si="39"/>
        <v/>
      </c>
      <c r="AV44" s="57" t="str">
        <f t="shared" si="39"/>
        <v/>
      </c>
    </row>
    <row r="45" ht="30.75" customHeight="1">
      <c r="A45" s="78" t="s">
        <v>39</v>
      </c>
      <c r="B45" s="50" t="s">
        <v>274</v>
      </c>
      <c r="C45" s="52" t="s">
        <v>421</v>
      </c>
      <c r="D45" s="52" t="s">
        <v>422</v>
      </c>
      <c r="E45" s="50" t="s">
        <v>27</v>
      </c>
      <c r="F45" s="68" t="s">
        <v>29</v>
      </c>
      <c r="G45" s="55">
        <v>46237.0</v>
      </c>
      <c r="H45" s="55">
        <v>46255.0</v>
      </c>
      <c r="I45" s="55"/>
      <c r="J45" s="56">
        <v>1.0</v>
      </c>
      <c r="K45" s="57" t="str">
        <f t="shared" ref="K45:AV45" si="40">IF(AND(K$5&gt;=$G45,K$5&lt;=$H45,WEEKDAY(K$5,2)&lt;=5),"■","")</f>
        <v/>
      </c>
      <c r="L45" s="57" t="str">
        <f t="shared" si="40"/>
        <v/>
      </c>
      <c r="M45" s="57" t="str">
        <f t="shared" si="40"/>
        <v/>
      </c>
      <c r="N45" s="57" t="str">
        <f t="shared" si="40"/>
        <v/>
      </c>
      <c r="O45" s="57" t="str">
        <f t="shared" si="40"/>
        <v/>
      </c>
      <c r="P45" s="57" t="str">
        <f t="shared" si="40"/>
        <v/>
      </c>
      <c r="Q45" s="57" t="str">
        <f t="shared" si="40"/>
        <v/>
      </c>
      <c r="R45" s="57" t="str">
        <f t="shared" si="40"/>
        <v/>
      </c>
      <c r="S45" s="57" t="str">
        <f t="shared" si="40"/>
        <v/>
      </c>
      <c r="T45" s="57" t="str">
        <f t="shared" si="40"/>
        <v/>
      </c>
      <c r="U45" s="57" t="str">
        <f t="shared" si="40"/>
        <v/>
      </c>
      <c r="V45" s="57" t="str">
        <f t="shared" si="40"/>
        <v/>
      </c>
      <c r="W45" s="57" t="str">
        <f t="shared" si="40"/>
        <v/>
      </c>
      <c r="X45" s="57" t="str">
        <f t="shared" si="40"/>
        <v/>
      </c>
      <c r="Y45" s="57" t="str">
        <f t="shared" si="40"/>
        <v/>
      </c>
      <c r="Z45" s="57" t="str">
        <f t="shared" si="40"/>
        <v>■</v>
      </c>
      <c r="AA45" s="57" t="str">
        <f t="shared" si="40"/>
        <v>■</v>
      </c>
      <c r="AB45" s="57" t="str">
        <f t="shared" si="40"/>
        <v>■</v>
      </c>
      <c r="AC45" s="57" t="str">
        <f t="shared" si="40"/>
        <v>■</v>
      </c>
      <c r="AD45" s="57" t="str">
        <f t="shared" si="40"/>
        <v>■</v>
      </c>
      <c r="AE45" s="57" t="str">
        <f t="shared" si="40"/>
        <v>■</v>
      </c>
      <c r="AF45" s="57" t="str">
        <f t="shared" si="40"/>
        <v>■</v>
      </c>
      <c r="AG45" s="57" t="str">
        <f t="shared" si="40"/>
        <v>■</v>
      </c>
      <c r="AH45" s="57" t="str">
        <f t="shared" si="40"/>
        <v>■</v>
      </c>
      <c r="AI45" s="57" t="str">
        <f t="shared" si="40"/>
        <v>■</v>
      </c>
      <c r="AJ45" s="57" t="str">
        <f t="shared" si="40"/>
        <v>■</v>
      </c>
      <c r="AK45" s="57" t="str">
        <f t="shared" si="40"/>
        <v>■</v>
      </c>
      <c r="AL45" s="57" t="str">
        <f t="shared" si="40"/>
        <v>■</v>
      </c>
      <c r="AM45" s="57" t="str">
        <f t="shared" si="40"/>
        <v>■</v>
      </c>
      <c r="AN45" s="57" t="str">
        <f t="shared" si="40"/>
        <v/>
      </c>
      <c r="AO45" s="57" t="str">
        <f t="shared" si="40"/>
        <v/>
      </c>
      <c r="AP45" s="57" t="str">
        <f t="shared" si="40"/>
        <v/>
      </c>
      <c r="AQ45" s="57" t="str">
        <f t="shared" si="40"/>
        <v/>
      </c>
      <c r="AR45" s="57" t="str">
        <f t="shared" si="40"/>
        <v/>
      </c>
      <c r="AS45" s="57" t="str">
        <f t="shared" si="40"/>
        <v/>
      </c>
      <c r="AT45" s="57" t="str">
        <f t="shared" si="40"/>
        <v/>
      </c>
      <c r="AU45" s="57" t="str">
        <f t="shared" si="40"/>
        <v/>
      </c>
      <c r="AV45" s="57" t="str">
        <f t="shared" si="40"/>
        <v/>
      </c>
    </row>
    <row r="46" ht="30.75" customHeight="1">
      <c r="A46" s="78" t="s">
        <v>39</v>
      </c>
      <c r="B46" s="50" t="s">
        <v>278</v>
      </c>
      <c r="C46" s="51" t="s">
        <v>279</v>
      </c>
      <c r="D46" s="51" t="s">
        <v>423</v>
      </c>
      <c r="E46" s="50" t="s">
        <v>27</v>
      </c>
      <c r="F46" s="68" t="s">
        <v>29</v>
      </c>
      <c r="G46" s="55">
        <v>46244.0</v>
      </c>
      <c r="H46" s="55">
        <v>46248.0</v>
      </c>
      <c r="I46" s="55"/>
      <c r="J46" s="56">
        <v>1.0</v>
      </c>
      <c r="K46" s="57" t="str">
        <f t="shared" ref="K46:AV46" si="41">IF(AND(K$5&gt;=$G46,K$5&lt;=$H46,WEEKDAY(K$5,2)&lt;=5),"■","")</f>
        <v/>
      </c>
      <c r="L46" s="57" t="str">
        <f t="shared" si="41"/>
        <v/>
      </c>
      <c r="M46" s="57" t="str">
        <f t="shared" si="41"/>
        <v/>
      </c>
      <c r="N46" s="57" t="str">
        <f t="shared" si="41"/>
        <v/>
      </c>
      <c r="O46" s="57" t="str">
        <f t="shared" si="41"/>
        <v/>
      </c>
      <c r="P46" s="57" t="str">
        <f t="shared" si="41"/>
        <v/>
      </c>
      <c r="Q46" s="57" t="str">
        <f t="shared" si="41"/>
        <v/>
      </c>
      <c r="R46" s="57" t="str">
        <f t="shared" si="41"/>
        <v/>
      </c>
      <c r="S46" s="57" t="str">
        <f t="shared" si="41"/>
        <v/>
      </c>
      <c r="T46" s="57" t="str">
        <f t="shared" si="41"/>
        <v/>
      </c>
      <c r="U46" s="57" t="str">
        <f t="shared" si="41"/>
        <v/>
      </c>
      <c r="V46" s="57" t="str">
        <f t="shared" si="41"/>
        <v/>
      </c>
      <c r="W46" s="57" t="str">
        <f t="shared" si="41"/>
        <v/>
      </c>
      <c r="X46" s="57" t="str">
        <f t="shared" si="41"/>
        <v/>
      </c>
      <c r="Y46" s="57" t="str">
        <f t="shared" si="41"/>
        <v/>
      </c>
      <c r="Z46" s="57" t="str">
        <f t="shared" si="41"/>
        <v/>
      </c>
      <c r="AA46" s="57" t="str">
        <f t="shared" si="41"/>
        <v/>
      </c>
      <c r="AB46" s="57" t="str">
        <f t="shared" si="41"/>
        <v/>
      </c>
      <c r="AC46" s="57" t="str">
        <f t="shared" si="41"/>
        <v/>
      </c>
      <c r="AD46" s="57" t="str">
        <f t="shared" si="41"/>
        <v/>
      </c>
      <c r="AE46" s="57" t="str">
        <f t="shared" si="41"/>
        <v>■</v>
      </c>
      <c r="AF46" s="57" t="str">
        <f t="shared" si="41"/>
        <v>■</v>
      </c>
      <c r="AG46" s="57" t="str">
        <f t="shared" si="41"/>
        <v>■</v>
      </c>
      <c r="AH46" s="57" t="str">
        <f t="shared" si="41"/>
        <v>■</v>
      </c>
      <c r="AI46" s="57" t="str">
        <f t="shared" si="41"/>
        <v>■</v>
      </c>
      <c r="AJ46" s="57" t="str">
        <f t="shared" si="41"/>
        <v/>
      </c>
      <c r="AK46" s="57" t="str">
        <f t="shared" si="41"/>
        <v/>
      </c>
      <c r="AL46" s="57" t="str">
        <f t="shared" si="41"/>
        <v/>
      </c>
      <c r="AM46" s="57" t="str">
        <f t="shared" si="41"/>
        <v/>
      </c>
      <c r="AN46" s="57" t="str">
        <f t="shared" si="41"/>
        <v/>
      </c>
      <c r="AO46" s="57" t="str">
        <f t="shared" si="41"/>
        <v/>
      </c>
      <c r="AP46" s="57" t="str">
        <f t="shared" si="41"/>
        <v/>
      </c>
      <c r="AQ46" s="57" t="str">
        <f t="shared" si="41"/>
        <v/>
      </c>
      <c r="AR46" s="57" t="str">
        <f t="shared" si="41"/>
        <v/>
      </c>
      <c r="AS46" s="57" t="str">
        <f t="shared" si="41"/>
        <v/>
      </c>
      <c r="AT46" s="57" t="str">
        <f t="shared" si="41"/>
        <v/>
      </c>
      <c r="AU46" s="57" t="str">
        <f t="shared" si="41"/>
        <v/>
      </c>
      <c r="AV46" s="57" t="str">
        <f t="shared" si="41"/>
        <v/>
      </c>
    </row>
    <row r="47" ht="30.75" customHeight="1">
      <c r="A47" s="78" t="s">
        <v>39</v>
      </c>
      <c r="B47" s="50" t="s">
        <v>282</v>
      </c>
      <c r="C47" s="51" t="s">
        <v>283</v>
      </c>
      <c r="D47" s="51" t="s">
        <v>424</v>
      </c>
      <c r="E47" s="50" t="s">
        <v>27</v>
      </c>
      <c r="F47" s="68" t="s">
        <v>29</v>
      </c>
      <c r="G47" s="55">
        <v>46244.0</v>
      </c>
      <c r="H47" s="55">
        <v>46248.0</v>
      </c>
      <c r="I47" s="55"/>
      <c r="J47" s="56">
        <v>1.0</v>
      </c>
      <c r="K47" s="57" t="str">
        <f t="shared" ref="K47:AV47" si="42">IF(AND(K$5&gt;=$G47,K$5&lt;=$H47,WEEKDAY(K$5,2)&lt;=5),"■","")</f>
        <v/>
      </c>
      <c r="L47" s="57" t="str">
        <f t="shared" si="42"/>
        <v/>
      </c>
      <c r="M47" s="57" t="str">
        <f t="shared" si="42"/>
        <v/>
      </c>
      <c r="N47" s="57" t="str">
        <f t="shared" si="42"/>
        <v/>
      </c>
      <c r="O47" s="57" t="str">
        <f t="shared" si="42"/>
        <v/>
      </c>
      <c r="P47" s="57" t="str">
        <f t="shared" si="42"/>
        <v/>
      </c>
      <c r="Q47" s="57" t="str">
        <f t="shared" si="42"/>
        <v/>
      </c>
      <c r="R47" s="57" t="str">
        <f t="shared" si="42"/>
        <v/>
      </c>
      <c r="S47" s="57" t="str">
        <f t="shared" si="42"/>
        <v/>
      </c>
      <c r="T47" s="57" t="str">
        <f t="shared" si="42"/>
        <v/>
      </c>
      <c r="U47" s="57" t="str">
        <f t="shared" si="42"/>
        <v/>
      </c>
      <c r="V47" s="57" t="str">
        <f t="shared" si="42"/>
        <v/>
      </c>
      <c r="W47" s="57" t="str">
        <f t="shared" si="42"/>
        <v/>
      </c>
      <c r="X47" s="57" t="str">
        <f t="shared" si="42"/>
        <v/>
      </c>
      <c r="Y47" s="57" t="str">
        <f t="shared" si="42"/>
        <v/>
      </c>
      <c r="Z47" s="57" t="str">
        <f t="shared" si="42"/>
        <v/>
      </c>
      <c r="AA47" s="57" t="str">
        <f t="shared" si="42"/>
        <v/>
      </c>
      <c r="AB47" s="57" t="str">
        <f t="shared" si="42"/>
        <v/>
      </c>
      <c r="AC47" s="57" t="str">
        <f t="shared" si="42"/>
        <v/>
      </c>
      <c r="AD47" s="57" t="str">
        <f t="shared" si="42"/>
        <v/>
      </c>
      <c r="AE47" s="57" t="str">
        <f t="shared" si="42"/>
        <v>■</v>
      </c>
      <c r="AF47" s="57" t="str">
        <f t="shared" si="42"/>
        <v>■</v>
      </c>
      <c r="AG47" s="57" t="str">
        <f t="shared" si="42"/>
        <v>■</v>
      </c>
      <c r="AH47" s="57" t="str">
        <f t="shared" si="42"/>
        <v>■</v>
      </c>
      <c r="AI47" s="57" t="str">
        <f t="shared" si="42"/>
        <v>■</v>
      </c>
      <c r="AJ47" s="57" t="str">
        <f t="shared" si="42"/>
        <v/>
      </c>
      <c r="AK47" s="57" t="str">
        <f t="shared" si="42"/>
        <v/>
      </c>
      <c r="AL47" s="57" t="str">
        <f t="shared" si="42"/>
        <v/>
      </c>
      <c r="AM47" s="57" t="str">
        <f t="shared" si="42"/>
        <v/>
      </c>
      <c r="AN47" s="57" t="str">
        <f t="shared" si="42"/>
        <v/>
      </c>
      <c r="AO47" s="57" t="str">
        <f t="shared" si="42"/>
        <v/>
      </c>
      <c r="AP47" s="57" t="str">
        <f t="shared" si="42"/>
        <v/>
      </c>
      <c r="AQ47" s="57" t="str">
        <f t="shared" si="42"/>
        <v/>
      </c>
      <c r="AR47" s="57" t="str">
        <f t="shared" si="42"/>
        <v/>
      </c>
      <c r="AS47" s="57" t="str">
        <f t="shared" si="42"/>
        <v/>
      </c>
      <c r="AT47" s="57" t="str">
        <f t="shared" si="42"/>
        <v/>
      </c>
      <c r="AU47" s="57" t="str">
        <f t="shared" si="42"/>
        <v/>
      </c>
      <c r="AV47" s="57" t="str">
        <f t="shared" si="42"/>
        <v/>
      </c>
    </row>
    <row r="48" ht="30.75" customHeight="1">
      <c r="A48" s="78" t="s">
        <v>39</v>
      </c>
      <c r="B48" s="50" t="s">
        <v>286</v>
      </c>
      <c r="C48" s="52" t="s">
        <v>425</v>
      </c>
      <c r="D48" s="52" t="s">
        <v>251</v>
      </c>
      <c r="E48" s="50" t="s">
        <v>27</v>
      </c>
      <c r="F48" s="68" t="s">
        <v>29</v>
      </c>
      <c r="G48" s="55">
        <v>46237.0</v>
      </c>
      <c r="H48" s="55">
        <v>46258.0</v>
      </c>
      <c r="I48" s="55"/>
      <c r="J48" s="56">
        <v>1.0</v>
      </c>
      <c r="K48" s="57" t="str">
        <f t="shared" ref="K48:AV48" si="43">IF(AND(K$5&gt;=$G48,K$5&lt;=$H48,WEEKDAY(K$5,2)&lt;=5),"■","")</f>
        <v/>
      </c>
      <c r="L48" s="57" t="str">
        <f t="shared" si="43"/>
        <v/>
      </c>
      <c r="M48" s="57" t="str">
        <f t="shared" si="43"/>
        <v/>
      </c>
      <c r="N48" s="57" t="str">
        <f t="shared" si="43"/>
        <v/>
      </c>
      <c r="O48" s="57" t="str">
        <f t="shared" si="43"/>
        <v/>
      </c>
      <c r="P48" s="57" t="str">
        <f t="shared" si="43"/>
        <v/>
      </c>
      <c r="Q48" s="57" t="str">
        <f t="shared" si="43"/>
        <v/>
      </c>
      <c r="R48" s="57" t="str">
        <f t="shared" si="43"/>
        <v/>
      </c>
      <c r="S48" s="57" t="str">
        <f t="shared" si="43"/>
        <v/>
      </c>
      <c r="T48" s="57" t="str">
        <f t="shared" si="43"/>
        <v/>
      </c>
      <c r="U48" s="57" t="str">
        <f t="shared" si="43"/>
        <v/>
      </c>
      <c r="V48" s="57" t="str">
        <f t="shared" si="43"/>
        <v/>
      </c>
      <c r="W48" s="57" t="str">
        <f t="shared" si="43"/>
        <v/>
      </c>
      <c r="X48" s="57" t="str">
        <f t="shared" si="43"/>
        <v/>
      </c>
      <c r="Y48" s="57" t="str">
        <f t="shared" si="43"/>
        <v/>
      </c>
      <c r="Z48" s="57" t="str">
        <f t="shared" si="43"/>
        <v>■</v>
      </c>
      <c r="AA48" s="57" t="str">
        <f t="shared" si="43"/>
        <v>■</v>
      </c>
      <c r="AB48" s="57" t="str">
        <f t="shared" si="43"/>
        <v>■</v>
      </c>
      <c r="AC48" s="57" t="str">
        <f t="shared" si="43"/>
        <v>■</v>
      </c>
      <c r="AD48" s="57" t="str">
        <f t="shared" si="43"/>
        <v>■</v>
      </c>
      <c r="AE48" s="57" t="str">
        <f t="shared" si="43"/>
        <v>■</v>
      </c>
      <c r="AF48" s="57" t="str">
        <f t="shared" si="43"/>
        <v>■</v>
      </c>
      <c r="AG48" s="57" t="str">
        <f t="shared" si="43"/>
        <v>■</v>
      </c>
      <c r="AH48" s="57" t="str">
        <f t="shared" si="43"/>
        <v>■</v>
      </c>
      <c r="AI48" s="57" t="str">
        <f t="shared" si="43"/>
        <v>■</v>
      </c>
      <c r="AJ48" s="57" t="str">
        <f t="shared" si="43"/>
        <v>■</v>
      </c>
      <c r="AK48" s="57" t="str">
        <f t="shared" si="43"/>
        <v>■</v>
      </c>
      <c r="AL48" s="57" t="str">
        <f t="shared" si="43"/>
        <v>■</v>
      </c>
      <c r="AM48" s="57" t="str">
        <f t="shared" si="43"/>
        <v>■</v>
      </c>
      <c r="AN48" s="57" t="str">
        <f t="shared" si="43"/>
        <v>■</v>
      </c>
      <c r="AO48" s="57" t="str">
        <f t="shared" si="43"/>
        <v/>
      </c>
      <c r="AP48" s="57" t="str">
        <f t="shared" si="43"/>
        <v/>
      </c>
      <c r="AQ48" s="57" t="str">
        <f t="shared" si="43"/>
        <v/>
      </c>
      <c r="AR48" s="57" t="str">
        <f t="shared" si="43"/>
        <v/>
      </c>
      <c r="AS48" s="57" t="str">
        <f t="shared" si="43"/>
        <v/>
      </c>
      <c r="AT48" s="57" t="str">
        <f t="shared" si="43"/>
        <v/>
      </c>
      <c r="AU48" s="57" t="str">
        <f t="shared" si="43"/>
        <v/>
      </c>
      <c r="AV48" s="57" t="str">
        <f t="shared" si="43"/>
        <v/>
      </c>
    </row>
    <row r="49" ht="30.75" customHeight="1">
      <c r="A49" s="78" t="s">
        <v>39</v>
      </c>
      <c r="B49" s="50" t="s">
        <v>158</v>
      </c>
      <c r="C49" s="52" t="s">
        <v>426</v>
      </c>
      <c r="D49" s="51" t="s">
        <v>427</v>
      </c>
      <c r="E49" s="50" t="s">
        <v>27</v>
      </c>
      <c r="F49" s="68" t="s">
        <v>29</v>
      </c>
      <c r="G49" s="55">
        <v>46258.0</v>
      </c>
      <c r="H49" s="55">
        <v>46262.0</v>
      </c>
      <c r="I49" s="55">
        <v>46262.0</v>
      </c>
      <c r="J49" s="56">
        <v>1.0</v>
      </c>
      <c r="K49" s="57" t="str">
        <f t="shared" ref="K49:AV49" si="44">IF(AND(K$5&gt;=$G49,K$5&lt;=$H49,WEEKDAY(K$5,2)&lt;=5),"■","")</f>
        <v/>
      </c>
      <c r="L49" s="57" t="str">
        <f t="shared" si="44"/>
        <v/>
      </c>
      <c r="M49" s="57" t="str">
        <f t="shared" si="44"/>
        <v/>
      </c>
      <c r="N49" s="57" t="str">
        <f t="shared" si="44"/>
        <v/>
      </c>
      <c r="O49" s="57" t="str">
        <f t="shared" si="44"/>
        <v/>
      </c>
      <c r="P49" s="57" t="str">
        <f t="shared" si="44"/>
        <v/>
      </c>
      <c r="Q49" s="57" t="str">
        <f t="shared" si="44"/>
        <v/>
      </c>
      <c r="R49" s="57" t="str">
        <f t="shared" si="44"/>
        <v/>
      </c>
      <c r="S49" s="57" t="str">
        <f t="shared" si="44"/>
        <v/>
      </c>
      <c r="T49" s="57" t="str">
        <f t="shared" si="44"/>
        <v/>
      </c>
      <c r="U49" s="57" t="str">
        <f t="shared" si="44"/>
        <v/>
      </c>
      <c r="V49" s="57" t="str">
        <f t="shared" si="44"/>
        <v/>
      </c>
      <c r="W49" s="57" t="str">
        <f t="shared" si="44"/>
        <v/>
      </c>
      <c r="X49" s="57" t="str">
        <f t="shared" si="44"/>
        <v/>
      </c>
      <c r="Y49" s="57" t="str">
        <f t="shared" si="44"/>
        <v/>
      </c>
      <c r="Z49" s="57" t="str">
        <f t="shared" si="44"/>
        <v/>
      </c>
      <c r="AA49" s="57" t="str">
        <f t="shared" si="44"/>
        <v/>
      </c>
      <c r="AB49" s="57" t="str">
        <f t="shared" si="44"/>
        <v/>
      </c>
      <c r="AC49" s="57" t="str">
        <f t="shared" si="44"/>
        <v/>
      </c>
      <c r="AD49" s="57" t="str">
        <f t="shared" si="44"/>
        <v/>
      </c>
      <c r="AE49" s="57" t="str">
        <f t="shared" si="44"/>
        <v/>
      </c>
      <c r="AF49" s="57" t="str">
        <f t="shared" si="44"/>
        <v/>
      </c>
      <c r="AG49" s="57" t="str">
        <f t="shared" si="44"/>
        <v/>
      </c>
      <c r="AH49" s="57" t="str">
        <f t="shared" si="44"/>
        <v/>
      </c>
      <c r="AI49" s="57" t="str">
        <f t="shared" si="44"/>
        <v/>
      </c>
      <c r="AJ49" s="57" t="str">
        <f t="shared" si="44"/>
        <v/>
      </c>
      <c r="AK49" s="57" t="str">
        <f t="shared" si="44"/>
        <v/>
      </c>
      <c r="AL49" s="57" t="str">
        <f t="shared" si="44"/>
        <v/>
      </c>
      <c r="AM49" s="57" t="str">
        <f t="shared" si="44"/>
        <v/>
      </c>
      <c r="AN49" s="57" t="str">
        <f t="shared" si="44"/>
        <v>■</v>
      </c>
      <c r="AO49" s="57" t="str">
        <f t="shared" si="44"/>
        <v>■</v>
      </c>
      <c r="AP49" s="57" t="str">
        <f t="shared" si="44"/>
        <v>■</v>
      </c>
      <c r="AQ49" s="57" t="str">
        <f t="shared" si="44"/>
        <v>■</v>
      </c>
      <c r="AR49" s="57" t="str">
        <f t="shared" si="44"/>
        <v>■</v>
      </c>
      <c r="AS49" s="57" t="str">
        <f t="shared" si="44"/>
        <v/>
      </c>
      <c r="AT49" s="57" t="str">
        <f t="shared" si="44"/>
        <v/>
      </c>
      <c r="AU49" s="57" t="str">
        <f t="shared" si="44"/>
        <v/>
      </c>
      <c r="AV49" s="57" t="str">
        <f t="shared" si="44"/>
        <v/>
      </c>
    </row>
    <row r="50" ht="30.75" customHeight="1">
      <c r="A50" s="78" t="s">
        <v>39</v>
      </c>
      <c r="B50" s="50" t="s">
        <v>428</v>
      </c>
      <c r="C50" s="52" t="s">
        <v>429</v>
      </c>
      <c r="D50" s="52" t="s">
        <v>430</v>
      </c>
      <c r="E50" s="50" t="s">
        <v>27</v>
      </c>
      <c r="F50" s="68" t="s">
        <v>29</v>
      </c>
      <c r="G50" s="55">
        <v>46258.0</v>
      </c>
      <c r="H50" s="55">
        <v>46262.0</v>
      </c>
      <c r="I50" s="72"/>
      <c r="J50" s="56">
        <v>1.0</v>
      </c>
      <c r="K50" s="57" t="str">
        <f t="shared" ref="K50:AV50" si="45">IF(AND(K$5&gt;=$G50,K$5&lt;=$H50,WEEKDAY(K$5,2)&lt;=5),"■","")</f>
        <v/>
      </c>
      <c r="L50" s="57" t="str">
        <f t="shared" si="45"/>
        <v/>
      </c>
      <c r="M50" s="57" t="str">
        <f t="shared" si="45"/>
        <v/>
      </c>
      <c r="N50" s="57" t="str">
        <f t="shared" si="45"/>
        <v/>
      </c>
      <c r="O50" s="57" t="str">
        <f t="shared" si="45"/>
        <v/>
      </c>
      <c r="P50" s="57" t="str">
        <f t="shared" si="45"/>
        <v/>
      </c>
      <c r="Q50" s="57" t="str">
        <f t="shared" si="45"/>
        <v/>
      </c>
      <c r="R50" s="57" t="str">
        <f t="shared" si="45"/>
        <v/>
      </c>
      <c r="S50" s="57" t="str">
        <f t="shared" si="45"/>
        <v/>
      </c>
      <c r="T50" s="57" t="str">
        <f t="shared" si="45"/>
        <v/>
      </c>
      <c r="U50" s="57" t="str">
        <f t="shared" si="45"/>
        <v/>
      </c>
      <c r="V50" s="57" t="str">
        <f t="shared" si="45"/>
        <v/>
      </c>
      <c r="W50" s="57" t="str">
        <f t="shared" si="45"/>
        <v/>
      </c>
      <c r="X50" s="57" t="str">
        <f t="shared" si="45"/>
        <v/>
      </c>
      <c r="Y50" s="57" t="str">
        <f t="shared" si="45"/>
        <v/>
      </c>
      <c r="Z50" s="57" t="str">
        <f t="shared" si="45"/>
        <v/>
      </c>
      <c r="AA50" s="57" t="str">
        <f t="shared" si="45"/>
        <v/>
      </c>
      <c r="AB50" s="57" t="str">
        <f t="shared" si="45"/>
        <v/>
      </c>
      <c r="AC50" s="57" t="str">
        <f t="shared" si="45"/>
        <v/>
      </c>
      <c r="AD50" s="57" t="str">
        <f t="shared" si="45"/>
        <v/>
      </c>
      <c r="AE50" s="57" t="str">
        <f t="shared" si="45"/>
        <v/>
      </c>
      <c r="AF50" s="57" t="str">
        <f t="shared" si="45"/>
        <v/>
      </c>
      <c r="AG50" s="57" t="str">
        <f t="shared" si="45"/>
        <v/>
      </c>
      <c r="AH50" s="57" t="str">
        <f t="shared" si="45"/>
        <v/>
      </c>
      <c r="AI50" s="57" t="str">
        <f t="shared" si="45"/>
        <v/>
      </c>
      <c r="AJ50" s="57" t="str">
        <f t="shared" si="45"/>
        <v/>
      </c>
      <c r="AK50" s="57" t="str">
        <f t="shared" si="45"/>
        <v/>
      </c>
      <c r="AL50" s="57" t="str">
        <f t="shared" si="45"/>
        <v/>
      </c>
      <c r="AM50" s="57" t="str">
        <f t="shared" si="45"/>
        <v/>
      </c>
      <c r="AN50" s="57" t="str">
        <f t="shared" si="45"/>
        <v>■</v>
      </c>
      <c r="AO50" s="57" t="str">
        <f t="shared" si="45"/>
        <v>■</v>
      </c>
      <c r="AP50" s="57" t="str">
        <f t="shared" si="45"/>
        <v>■</v>
      </c>
      <c r="AQ50" s="57" t="str">
        <f t="shared" si="45"/>
        <v>■</v>
      </c>
      <c r="AR50" s="57" t="str">
        <f t="shared" si="45"/>
        <v>■</v>
      </c>
      <c r="AS50" s="57" t="str">
        <f t="shared" si="45"/>
        <v/>
      </c>
      <c r="AT50" s="57" t="str">
        <f t="shared" si="45"/>
        <v/>
      </c>
      <c r="AU50" s="57" t="str">
        <f t="shared" si="45"/>
        <v/>
      </c>
      <c r="AV50" s="57" t="str">
        <f t="shared" si="45"/>
        <v/>
      </c>
    </row>
    <row r="51" ht="30.75" customHeight="1">
      <c r="A51" s="78" t="s">
        <v>39</v>
      </c>
      <c r="B51" s="50" t="s">
        <v>431</v>
      </c>
      <c r="C51" s="52" t="s">
        <v>432</v>
      </c>
      <c r="D51" s="52" t="s">
        <v>433</v>
      </c>
      <c r="E51" s="50" t="s">
        <v>27</v>
      </c>
      <c r="F51" s="68" t="s">
        <v>29</v>
      </c>
      <c r="G51" s="55">
        <v>46258.0</v>
      </c>
      <c r="H51" s="55">
        <v>46262.0</v>
      </c>
      <c r="I51" s="72"/>
      <c r="J51" s="56">
        <v>1.0</v>
      </c>
      <c r="K51" s="57" t="str">
        <f t="shared" ref="K51:AV51" si="46">IF(AND(K$5&gt;=$G51,K$5&lt;=$H51,WEEKDAY(K$5,2)&lt;=5),"■","")</f>
        <v/>
      </c>
      <c r="L51" s="57" t="str">
        <f t="shared" si="46"/>
        <v/>
      </c>
      <c r="M51" s="57" t="str">
        <f t="shared" si="46"/>
        <v/>
      </c>
      <c r="N51" s="57" t="str">
        <f t="shared" si="46"/>
        <v/>
      </c>
      <c r="O51" s="57" t="str">
        <f t="shared" si="46"/>
        <v/>
      </c>
      <c r="P51" s="57" t="str">
        <f t="shared" si="46"/>
        <v/>
      </c>
      <c r="Q51" s="57" t="str">
        <f t="shared" si="46"/>
        <v/>
      </c>
      <c r="R51" s="57" t="str">
        <f t="shared" si="46"/>
        <v/>
      </c>
      <c r="S51" s="57" t="str">
        <f t="shared" si="46"/>
        <v/>
      </c>
      <c r="T51" s="57" t="str">
        <f t="shared" si="46"/>
        <v/>
      </c>
      <c r="U51" s="57" t="str">
        <f t="shared" si="46"/>
        <v/>
      </c>
      <c r="V51" s="57" t="str">
        <f t="shared" si="46"/>
        <v/>
      </c>
      <c r="W51" s="57" t="str">
        <f t="shared" si="46"/>
        <v/>
      </c>
      <c r="X51" s="57" t="str">
        <f t="shared" si="46"/>
        <v/>
      </c>
      <c r="Y51" s="57" t="str">
        <f t="shared" si="46"/>
        <v/>
      </c>
      <c r="Z51" s="57" t="str">
        <f t="shared" si="46"/>
        <v/>
      </c>
      <c r="AA51" s="57" t="str">
        <f t="shared" si="46"/>
        <v/>
      </c>
      <c r="AB51" s="57" t="str">
        <f t="shared" si="46"/>
        <v/>
      </c>
      <c r="AC51" s="57" t="str">
        <f t="shared" si="46"/>
        <v/>
      </c>
      <c r="AD51" s="57" t="str">
        <f t="shared" si="46"/>
        <v/>
      </c>
      <c r="AE51" s="57" t="str">
        <f t="shared" si="46"/>
        <v/>
      </c>
      <c r="AF51" s="57" t="str">
        <f t="shared" si="46"/>
        <v/>
      </c>
      <c r="AG51" s="57" t="str">
        <f t="shared" si="46"/>
        <v/>
      </c>
      <c r="AH51" s="57" t="str">
        <f t="shared" si="46"/>
        <v/>
      </c>
      <c r="AI51" s="57" t="str">
        <f t="shared" si="46"/>
        <v/>
      </c>
      <c r="AJ51" s="57" t="str">
        <f t="shared" si="46"/>
        <v/>
      </c>
      <c r="AK51" s="57" t="str">
        <f t="shared" si="46"/>
        <v/>
      </c>
      <c r="AL51" s="57" t="str">
        <f t="shared" si="46"/>
        <v/>
      </c>
      <c r="AM51" s="57" t="str">
        <f t="shared" si="46"/>
        <v/>
      </c>
      <c r="AN51" s="57" t="str">
        <f t="shared" si="46"/>
        <v>■</v>
      </c>
      <c r="AO51" s="57" t="str">
        <f t="shared" si="46"/>
        <v>■</v>
      </c>
      <c r="AP51" s="57" t="str">
        <f t="shared" si="46"/>
        <v>■</v>
      </c>
      <c r="AQ51" s="57" t="str">
        <f t="shared" si="46"/>
        <v>■</v>
      </c>
      <c r="AR51" s="57" t="str">
        <f t="shared" si="46"/>
        <v>■</v>
      </c>
      <c r="AS51" s="57" t="str">
        <f t="shared" si="46"/>
        <v/>
      </c>
      <c r="AT51" s="57" t="str">
        <f t="shared" si="46"/>
        <v/>
      </c>
      <c r="AU51" s="57" t="str">
        <f t="shared" si="46"/>
        <v/>
      </c>
      <c r="AV51" s="57" t="str">
        <f t="shared" si="46"/>
        <v/>
      </c>
    </row>
    <row r="52" ht="30.75" customHeight="1">
      <c r="A52" s="78" t="s">
        <v>39</v>
      </c>
      <c r="B52" s="50" t="s">
        <v>434</v>
      </c>
      <c r="C52" s="51" t="s">
        <v>435</v>
      </c>
      <c r="D52" s="51" t="s">
        <v>436</v>
      </c>
      <c r="E52" s="50" t="s">
        <v>27</v>
      </c>
      <c r="F52" s="68" t="s">
        <v>29</v>
      </c>
      <c r="G52" s="55">
        <v>46251.0</v>
      </c>
      <c r="H52" s="55">
        <v>46262.0</v>
      </c>
      <c r="I52" s="72"/>
      <c r="J52" s="56">
        <v>1.0</v>
      </c>
      <c r="K52" s="57" t="str">
        <f t="shared" ref="K52:AV52" si="47">IF(AND(K$5&gt;=$G52,K$5&lt;=$H52,WEEKDAY(K$5,2)&lt;=5),"■","")</f>
        <v/>
      </c>
      <c r="L52" s="57" t="str">
        <f t="shared" si="47"/>
        <v/>
      </c>
      <c r="M52" s="57" t="str">
        <f t="shared" si="47"/>
        <v/>
      </c>
      <c r="N52" s="57" t="str">
        <f t="shared" si="47"/>
        <v/>
      </c>
      <c r="O52" s="57" t="str">
        <f t="shared" si="47"/>
        <v/>
      </c>
      <c r="P52" s="57" t="str">
        <f t="shared" si="47"/>
        <v/>
      </c>
      <c r="Q52" s="57" t="str">
        <f t="shared" si="47"/>
        <v/>
      </c>
      <c r="R52" s="57" t="str">
        <f t="shared" si="47"/>
        <v/>
      </c>
      <c r="S52" s="57" t="str">
        <f t="shared" si="47"/>
        <v/>
      </c>
      <c r="T52" s="57" t="str">
        <f t="shared" si="47"/>
        <v/>
      </c>
      <c r="U52" s="57" t="str">
        <f t="shared" si="47"/>
        <v/>
      </c>
      <c r="V52" s="57" t="str">
        <f t="shared" si="47"/>
        <v/>
      </c>
      <c r="W52" s="57" t="str">
        <f t="shared" si="47"/>
        <v/>
      </c>
      <c r="X52" s="57" t="str">
        <f t="shared" si="47"/>
        <v/>
      </c>
      <c r="Y52" s="57" t="str">
        <f t="shared" si="47"/>
        <v/>
      </c>
      <c r="Z52" s="57" t="str">
        <f t="shared" si="47"/>
        <v/>
      </c>
      <c r="AA52" s="57" t="str">
        <f t="shared" si="47"/>
        <v/>
      </c>
      <c r="AB52" s="57" t="str">
        <f t="shared" si="47"/>
        <v/>
      </c>
      <c r="AC52" s="57" t="str">
        <f t="shared" si="47"/>
        <v/>
      </c>
      <c r="AD52" s="57" t="str">
        <f t="shared" si="47"/>
        <v/>
      </c>
      <c r="AE52" s="57" t="str">
        <f t="shared" si="47"/>
        <v/>
      </c>
      <c r="AF52" s="57" t="str">
        <f t="shared" si="47"/>
        <v/>
      </c>
      <c r="AG52" s="57" t="str">
        <f t="shared" si="47"/>
        <v/>
      </c>
      <c r="AH52" s="57" t="str">
        <f t="shared" si="47"/>
        <v/>
      </c>
      <c r="AI52" s="57" t="str">
        <f t="shared" si="47"/>
        <v/>
      </c>
      <c r="AJ52" s="57" t="str">
        <f t="shared" si="47"/>
        <v>■</v>
      </c>
      <c r="AK52" s="57" t="str">
        <f t="shared" si="47"/>
        <v>■</v>
      </c>
      <c r="AL52" s="57" t="str">
        <f t="shared" si="47"/>
        <v>■</v>
      </c>
      <c r="AM52" s="57" t="str">
        <f t="shared" si="47"/>
        <v>■</v>
      </c>
      <c r="AN52" s="57" t="str">
        <f t="shared" si="47"/>
        <v>■</v>
      </c>
      <c r="AO52" s="57" t="str">
        <f t="shared" si="47"/>
        <v>■</v>
      </c>
      <c r="AP52" s="57" t="str">
        <f t="shared" si="47"/>
        <v>■</v>
      </c>
      <c r="AQ52" s="57" t="str">
        <f t="shared" si="47"/>
        <v>■</v>
      </c>
      <c r="AR52" s="57" t="str">
        <f t="shared" si="47"/>
        <v>■</v>
      </c>
      <c r="AS52" s="57" t="str">
        <f t="shared" si="47"/>
        <v/>
      </c>
      <c r="AT52" s="57" t="str">
        <f t="shared" si="47"/>
        <v/>
      </c>
      <c r="AU52" s="57" t="str">
        <f t="shared" si="47"/>
        <v/>
      </c>
      <c r="AV52" s="57" t="str">
        <f t="shared" si="47"/>
        <v/>
      </c>
    </row>
    <row r="53" ht="30.75" customHeight="1">
      <c r="A53" s="78" t="s">
        <v>39</v>
      </c>
      <c r="B53" s="50" t="s">
        <v>437</v>
      </c>
      <c r="C53" s="52" t="s">
        <v>438</v>
      </c>
      <c r="D53" s="52" t="s">
        <v>439</v>
      </c>
      <c r="E53" s="50" t="s">
        <v>27</v>
      </c>
      <c r="F53" s="68" t="s">
        <v>29</v>
      </c>
      <c r="G53" s="55">
        <v>46258.0</v>
      </c>
      <c r="H53" s="55">
        <v>46262.0</v>
      </c>
      <c r="I53" s="72"/>
      <c r="J53" s="56">
        <v>1.0</v>
      </c>
      <c r="K53" s="57" t="str">
        <f t="shared" ref="K53:AV53" si="48">IF(AND(K$5&gt;=$G53,K$5&lt;=$H53,WEEKDAY(K$5,2)&lt;=5),"■","")</f>
        <v/>
      </c>
      <c r="L53" s="57" t="str">
        <f t="shared" si="48"/>
        <v/>
      </c>
      <c r="M53" s="57" t="str">
        <f t="shared" si="48"/>
        <v/>
      </c>
      <c r="N53" s="57" t="str">
        <f t="shared" si="48"/>
        <v/>
      </c>
      <c r="O53" s="57" t="str">
        <f t="shared" si="48"/>
        <v/>
      </c>
      <c r="P53" s="57" t="str">
        <f t="shared" si="48"/>
        <v/>
      </c>
      <c r="Q53" s="57" t="str">
        <f t="shared" si="48"/>
        <v/>
      </c>
      <c r="R53" s="57" t="str">
        <f t="shared" si="48"/>
        <v/>
      </c>
      <c r="S53" s="57" t="str">
        <f t="shared" si="48"/>
        <v/>
      </c>
      <c r="T53" s="57" t="str">
        <f t="shared" si="48"/>
        <v/>
      </c>
      <c r="U53" s="57" t="str">
        <f t="shared" si="48"/>
        <v/>
      </c>
      <c r="V53" s="57" t="str">
        <f t="shared" si="48"/>
        <v/>
      </c>
      <c r="W53" s="57" t="str">
        <f t="shared" si="48"/>
        <v/>
      </c>
      <c r="X53" s="57" t="str">
        <f t="shared" si="48"/>
        <v/>
      </c>
      <c r="Y53" s="57" t="str">
        <f t="shared" si="48"/>
        <v/>
      </c>
      <c r="Z53" s="57" t="str">
        <f t="shared" si="48"/>
        <v/>
      </c>
      <c r="AA53" s="57" t="str">
        <f t="shared" si="48"/>
        <v/>
      </c>
      <c r="AB53" s="57" t="str">
        <f t="shared" si="48"/>
        <v/>
      </c>
      <c r="AC53" s="57" t="str">
        <f t="shared" si="48"/>
        <v/>
      </c>
      <c r="AD53" s="57" t="str">
        <f t="shared" si="48"/>
        <v/>
      </c>
      <c r="AE53" s="57" t="str">
        <f t="shared" si="48"/>
        <v/>
      </c>
      <c r="AF53" s="57" t="str">
        <f t="shared" si="48"/>
        <v/>
      </c>
      <c r="AG53" s="57" t="str">
        <f t="shared" si="48"/>
        <v/>
      </c>
      <c r="AH53" s="57" t="str">
        <f t="shared" si="48"/>
        <v/>
      </c>
      <c r="AI53" s="57" t="str">
        <f t="shared" si="48"/>
        <v/>
      </c>
      <c r="AJ53" s="57" t="str">
        <f t="shared" si="48"/>
        <v/>
      </c>
      <c r="AK53" s="57" t="str">
        <f t="shared" si="48"/>
        <v/>
      </c>
      <c r="AL53" s="57" t="str">
        <f t="shared" si="48"/>
        <v/>
      </c>
      <c r="AM53" s="57" t="str">
        <f t="shared" si="48"/>
        <v/>
      </c>
      <c r="AN53" s="57" t="str">
        <f t="shared" si="48"/>
        <v>■</v>
      </c>
      <c r="AO53" s="57" t="str">
        <f t="shared" si="48"/>
        <v>■</v>
      </c>
      <c r="AP53" s="57" t="str">
        <f t="shared" si="48"/>
        <v>■</v>
      </c>
      <c r="AQ53" s="57" t="str">
        <f t="shared" si="48"/>
        <v>■</v>
      </c>
      <c r="AR53" s="57" t="str">
        <f t="shared" si="48"/>
        <v>■</v>
      </c>
      <c r="AS53" s="57" t="str">
        <f t="shared" si="48"/>
        <v/>
      </c>
      <c r="AT53" s="57" t="str">
        <f t="shared" si="48"/>
        <v/>
      </c>
      <c r="AU53" s="57" t="str">
        <f t="shared" si="48"/>
        <v/>
      </c>
      <c r="AV53" s="57" t="str">
        <f t="shared" si="48"/>
        <v/>
      </c>
    </row>
    <row r="54" ht="30.75" customHeight="1">
      <c r="A54" s="78" t="s">
        <v>39</v>
      </c>
      <c r="B54" s="50" t="s">
        <v>440</v>
      </c>
      <c r="C54" s="51" t="s">
        <v>441</v>
      </c>
      <c r="D54" s="52" t="s">
        <v>442</v>
      </c>
      <c r="E54" s="50" t="s">
        <v>27</v>
      </c>
      <c r="F54" s="68" t="s">
        <v>29</v>
      </c>
      <c r="G54" s="55">
        <v>46258.0</v>
      </c>
      <c r="H54" s="55">
        <v>46268.0</v>
      </c>
      <c r="I54" s="72"/>
      <c r="J54" s="56">
        <v>1.0</v>
      </c>
      <c r="K54" s="57" t="str">
        <f t="shared" ref="K54:AV54" si="49">IF(AND(K$5&gt;=$G54,K$5&lt;=$H54,WEEKDAY(K$5,2)&lt;=5),"■","")</f>
        <v/>
      </c>
      <c r="L54" s="57" t="str">
        <f t="shared" si="49"/>
        <v/>
      </c>
      <c r="M54" s="57" t="str">
        <f t="shared" si="49"/>
        <v/>
      </c>
      <c r="N54" s="57" t="str">
        <f t="shared" si="49"/>
        <v/>
      </c>
      <c r="O54" s="57" t="str">
        <f t="shared" si="49"/>
        <v/>
      </c>
      <c r="P54" s="57" t="str">
        <f t="shared" si="49"/>
        <v/>
      </c>
      <c r="Q54" s="57" t="str">
        <f t="shared" si="49"/>
        <v/>
      </c>
      <c r="R54" s="57" t="str">
        <f t="shared" si="49"/>
        <v/>
      </c>
      <c r="S54" s="57" t="str">
        <f t="shared" si="49"/>
        <v/>
      </c>
      <c r="T54" s="57" t="str">
        <f t="shared" si="49"/>
        <v/>
      </c>
      <c r="U54" s="57" t="str">
        <f t="shared" si="49"/>
        <v/>
      </c>
      <c r="V54" s="57" t="str">
        <f t="shared" si="49"/>
        <v/>
      </c>
      <c r="W54" s="57" t="str">
        <f t="shared" si="49"/>
        <v/>
      </c>
      <c r="X54" s="57" t="str">
        <f t="shared" si="49"/>
        <v/>
      </c>
      <c r="Y54" s="57" t="str">
        <f t="shared" si="49"/>
        <v/>
      </c>
      <c r="Z54" s="57" t="str">
        <f t="shared" si="49"/>
        <v/>
      </c>
      <c r="AA54" s="57" t="str">
        <f t="shared" si="49"/>
        <v/>
      </c>
      <c r="AB54" s="57" t="str">
        <f t="shared" si="49"/>
        <v/>
      </c>
      <c r="AC54" s="57" t="str">
        <f t="shared" si="49"/>
        <v/>
      </c>
      <c r="AD54" s="57" t="str">
        <f t="shared" si="49"/>
        <v/>
      </c>
      <c r="AE54" s="57" t="str">
        <f t="shared" si="49"/>
        <v/>
      </c>
      <c r="AF54" s="57" t="str">
        <f t="shared" si="49"/>
        <v/>
      </c>
      <c r="AG54" s="57" t="str">
        <f t="shared" si="49"/>
        <v/>
      </c>
      <c r="AH54" s="57" t="str">
        <f t="shared" si="49"/>
        <v/>
      </c>
      <c r="AI54" s="57" t="str">
        <f t="shared" si="49"/>
        <v/>
      </c>
      <c r="AJ54" s="57" t="str">
        <f t="shared" si="49"/>
        <v/>
      </c>
      <c r="AK54" s="57" t="str">
        <f t="shared" si="49"/>
        <v/>
      </c>
      <c r="AL54" s="57" t="str">
        <f t="shared" si="49"/>
        <v/>
      </c>
      <c r="AM54" s="57" t="str">
        <f t="shared" si="49"/>
        <v/>
      </c>
      <c r="AN54" s="57" t="str">
        <f t="shared" si="49"/>
        <v>■</v>
      </c>
      <c r="AO54" s="57" t="str">
        <f t="shared" si="49"/>
        <v>■</v>
      </c>
      <c r="AP54" s="57" t="str">
        <f t="shared" si="49"/>
        <v>■</v>
      </c>
      <c r="AQ54" s="57" t="str">
        <f t="shared" si="49"/>
        <v>■</v>
      </c>
      <c r="AR54" s="57" t="str">
        <f t="shared" si="49"/>
        <v>■</v>
      </c>
      <c r="AS54" s="57" t="str">
        <f t="shared" si="49"/>
        <v>■</v>
      </c>
      <c r="AT54" s="57" t="str">
        <f t="shared" si="49"/>
        <v>■</v>
      </c>
      <c r="AU54" s="57" t="str">
        <f t="shared" si="49"/>
        <v>■</v>
      </c>
      <c r="AV54" s="57" t="str">
        <f t="shared" si="49"/>
        <v>■</v>
      </c>
    </row>
    <row r="55" ht="30.75" customHeight="1">
      <c r="A55" s="79" t="s">
        <v>44</v>
      </c>
      <c r="B55" s="50" t="s">
        <v>296</v>
      </c>
      <c r="C55" s="52" t="s">
        <v>443</v>
      </c>
      <c r="D55" s="52" t="s">
        <v>325</v>
      </c>
      <c r="E55" s="50" t="s">
        <v>322</v>
      </c>
      <c r="F55" s="68" t="s">
        <v>29</v>
      </c>
      <c r="G55" s="55">
        <v>46237.0</v>
      </c>
      <c r="H55" s="55">
        <v>46265.0</v>
      </c>
      <c r="I55" s="55">
        <v>46255.0</v>
      </c>
      <c r="J55" s="56">
        <v>1.0</v>
      </c>
      <c r="K55" s="57" t="str">
        <f t="shared" ref="K55:AV55" si="50">IF(AND(K$5&gt;=$G55,K$5&lt;=$H55,WEEKDAY(K$5,2)&lt;=5),"■","")</f>
        <v/>
      </c>
      <c r="L55" s="57" t="str">
        <f t="shared" si="50"/>
        <v/>
      </c>
      <c r="M55" s="57" t="str">
        <f t="shared" si="50"/>
        <v/>
      </c>
      <c r="N55" s="57" t="str">
        <f t="shared" si="50"/>
        <v/>
      </c>
      <c r="O55" s="57" t="str">
        <f t="shared" si="50"/>
        <v/>
      </c>
      <c r="P55" s="57" t="str">
        <f t="shared" si="50"/>
        <v/>
      </c>
      <c r="Q55" s="57" t="str">
        <f t="shared" si="50"/>
        <v/>
      </c>
      <c r="R55" s="57" t="str">
        <f t="shared" si="50"/>
        <v/>
      </c>
      <c r="S55" s="57" t="str">
        <f t="shared" si="50"/>
        <v/>
      </c>
      <c r="T55" s="57" t="str">
        <f t="shared" si="50"/>
        <v/>
      </c>
      <c r="U55" s="57" t="str">
        <f t="shared" si="50"/>
        <v/>
      </c>
      <c r="V55" s="57" t="str">
        <f t="shared" si="50"/>
        <v/>
      </c>
      <c r="W55" s="57" t="str">
        <f t="shared" si="50"/>
        <v/>
      </c>
      <c r="X55" s="57" t="str">
        <f t="shared" si="50"/>
        <v/>
      </c>
      <c r="Y55" s="57" t="str">
        <f t="shared" si="50"/>
        <v/>
      </c>
      <c r="Z55" s="57" t="str">
        <f t="shared" si="50"/>
        <v>■</v>
      </c>
      <c r="AA55" s="57" t="str">
        <f t="shared" si="50"/>
        <v>■</v>
      </c>
      <c r="AB55" s="57" t="str">
        <f t="shared" si="50"/>
        <v>■</v>
      </c>
      <c r="AC55" s="57" t="str">
        <f t="shared" si="50"/>
        <v>■</v>
      </c>
      <c r="AD55" s="57" t="str">
        <f t="shared" si="50"/>
        <v>■</v>
      </c>
      <c r="AE55" s="57" t="str">
        <f t="shared" si="50"/>
        <v>■</v>
      </c>
      <c r="AF55" s="57" t="str">
        <f t="shared" si="50"/>
        <v>■</v>
      </c>
      <c r="AG55" s="57" t="str">
        <f t="shared" si="50"/>
        <v>■</v>
      </c>
      <c r="AH55" s="57" t="str">
        <f t="shared" si="50"/>
        <v>■</v>
      </c>
      <c r="AI55" s="57" t="str">
        <f t="shared" si="50"/>
        <v>■</v>
      </c>
      <c r="AJ55" s="57" t="str">
        <f t="shared" si="50"/>
        <v>■</v>
      </c>
      <c r="AK55" s="57" t="str">
        <f t="shared" si="50"/>
        <v>■</v>
      </c>
      <c r="AL55" s="57" t="str">
        <f t="shared" si="50"/>
        <v>■</v>
      </c>
      <c r="AM55" s="57" t="str">
        <f t="shared" si="50"/>
        <v>■</v>
      </c>
      <c r="AN55" s="57" t="str">
        <f t="shared" si="50"/>
        <v>■</v>
      </c>
      <c r="AO55" s="57" t="str">
        <f t="shared" si="50"/>
        <v>■</v>
      </c>
      <c r="AP55" s="57" t="str">
        <f t="shared" si="50"/>
        <v>■</v>
      </c>
      <c r="AQ55" s="57" t="str">
        <f t="shared" si="50"/>
        <v>■</v>
      </c>
      <c r="AR55" s="57" t="str">
        <f t="shared" si="50"/>
        <v>■</v>
      </c>
      <c r="AS55" s="57" t="str">
        <f t="shared" si="50"/>
        <v>■</v>
      </c>
      <c r="AT55" s="57" t="str">
        <f t="shared" si="50"/>
        <v/>
      </c>
      <c r="AU55" s="57" t="str">
        <f t="shared" si="50"/>
        <v/>
      </c>
      <c r="AV55" s="57" t="str">
        <f t="shared" si="50"/>
        <v/>
      </c>
    </row>
    <row r="56" ht="30.75" customHeight="1">
      <c r="A56" s="79" t="s">
        <v>44</v>
      </c>
      <c r="B56" s="50" t="s">
        <v>300</v>
      </c>
      <c r="C56" s="52" t="s">
        <v>444</v>
      </c>
      <c r="D56" s="52" t="s">
        <v>445</v>
      </c>
      <c r="E56" s="50" t="s">
        <v>50</v>
      </c>
      <c r="F56" s="68" t="s">
        <v>29</v>
      </c>
      <c r="G56" s="55">
        <v>46244.0</v>
      </c>
      <c r="H56" s="55">
        <v>46248.0</v>
      </c>
      <c r="I56" s="72"/>
      <c r="J56" s="56">
        <v>1.0</v>
      </c>
      <c r="K56" s="57" t="str">
        <f t="shared" ref="K56:AV56" si="51">IF(AND(K$5&gt;=$G56,K$5&lt;=$H56,WEEKDAY(K$5,2)&lt;=5),"■","")</f>
        <v/>
      </c>
      <c r="L56" s="57" t="str">
        <f t="shared" si="51"/>
        <v/>
      </c>
      <c r="M56" s="57" t="str">
        <f t="shared" si="51"/>
        <v/>
      </c>
      <c r="N56" s="57" t="str">
        <f t="shared" si="51"/>
        <v/>
      </c>
      <c r="O56" s="57" t="str">
        <f t="shared" si="51"/>
        <v/>
      </c>
      <c r="P56" s="57" t="str">
        <f t="shared" si="51"/>
        <v/>
      </c>
      <c r="Q56" s="57" t="str">
        <f t="shared" si="51"/>
        <v/>
      </c>
      <c r="R56" s="57" t="str">
        <f t="shared" si="51"/>
        <v/>
      </c>
      <c r="S56" s="57" t="str">
        <f t="shared" si="51"/>
        <v/>
      </c>
      <c r="T56" s="57" t="str">
        <f t="shared" si="51"/>
        <v/>
      </c>
      <c r="U56" s="57" t="str">
        <f t="shared" si="51"/>
        <v/>
      </c>
      <c r="V56" s="57" t="str">
        <f t="shared" si="51"/>
        <v/>
      </c>
      <c r="W56" s="57" t="str">
        <f t="shared" si="51"/>
        <v/>
      </c>
      <c r="X56" s="57" t="str">
        <f t="shared" si="51"/>
        <v/>
      </c>
      <c r="Y56" s="57" t="str">
        <f t="shared" si="51"/>
        <v/>
      </c>
      <c r="Z56" s="57" t="str">
        <f t="shared" si="51"/>
        <v/>
      </c>
      <c r="AA56" s="57" t="str">
        <f t="shared" si="51"/>
        <v/>
      </c>
      <c r="AB56" s="57" t="str">
        <f t="shared" si="51"/>
        <v/>
      </c>
      <c r="AC56" s="57" t="str">
        <f t="shared" si="51"/>
        <v/>
      </c>
      <c r="AD56" s="57" t="str">
        <f t="shared" si="51"/>
        <v/>
      </c>
      <c r="AE56" s="57" t="str">
        <f t="shared" si="51"/>
        <v>■</v>
      </c>
      <c r="AF56" s="57" t="str">
        <f t="shared" si="51"/>
        <v>■</v>
      </c>
      <c r="AG56" s="57" t="str">
        <f t="shared" si="51"/>
        <v>■</v>
      </c>
      <c r="AH56" s="57" t="str">
        <f t="shared" si="51"/>
        <v>■</v>
      </c>
      <c r="AI56" s="57" t="str">
        <f t="shared" si="51"/>
        <v>■</v>
      </c>
      <c r="AJ56" s="57" t="str">
        <f t="shared" si="51"/>
        <v/>
      </c>
      <c r="AK56" s="57" t="str">
        <f t="shared" si="51"/>
        <v/>
      </c>
      <c r="AL56" s="57" t="str">
        <f t="shared" si="51"/>
        <v/>
      </c>
      <c r="AM56" s="57" t="str">
        <f t="shared" si="51"/>
        <v/>
      </c>
      <c r="AN56" s="57" t="str">
        <f t="shared" si="51"/>
        <v/>
      </c>
      <c r="AO56" s="57" t="str">
        <f t="shared" si="51"/>
        <v/>
      </c>
      <c r="AP56" s="57" t="str">
        <f t="shared" si="51"/>
        <v/>
      </c>
      <c r="AQ56" s="57" t="str">
        <f t="shared" si="51"/>
        <v/>
      </c>
      <c r="AR56" s="57" t="str">
        <f t="shared" si="51"/>
        <v/>
      </c>
      <c r="AS56" s="57" t="str">
        <f t="shared" si="51"/>
        <v/>
      </c>
      <c r="AT56" s="57" t="str">
        <f t="shared" si="51"/>
        <v/>
      </c>
      <c r="AU56" s="57" t="str">
        <f t="shared" si="51"/>
        <v/>
      </c>
      <c r="AV56" s="57" t="str">
        <f t="shared" si="51"/>
        <v/>
      </c>
    </row>
    <row r="57" ht="30.75" customHeight="1">
      <c r="A57" s="79" t="s">
        <v>44</v>
      </c>
      <c r="B57" s="50" t="s">
        <v>306</v>
      </c>
      <c r="C57" s="51" t="s">
        <v>307</v>
      </c>
      <c r="D57" s="52" t="s">
        <v>309</v>
      </c>
      <c r="E57" s="50" t="s">
        <v>50</v>
      </c>
      <c r="F57" s="68" t="s">
        <v>29</v>
      </c>
      <c r="G57" s="55">
        <v>46251.0</v>
      </c>
      <c r="H57" s="55">
        <v>46255.0</v>
      </c>
      <c r="I57" s="72">
        <v>46255.0</v>
      </c>
      <c r="J57" s="56">
        <v>1.0</v>
      </c>
      <c r="K57" s="57" t="str">
        <f t="shared" ref="K57:AV57" si="52">IF(AND(K$5&gt;=$G57,K$5&lt;=$H57,WEEKDAY(K$5,2)&lt;=5),"■","")</f>
        <v/>
      </c>
      <c r="L57" s="57" t="str">
        <f t="shared" si="52"/>
        <v/>
      </c>
      <c r="M57" s="57" t="str">
        <f t="shared" si="52"/>
        <v/>
      </c>
      <c r="N57" s="57" t="str">
        <f t="shared" si="52"/>
        <v/>
      </c>
      <c r="O57" s="57" t="str">
        <f t="shared" si="52"/>
        <v/>
      </c>
      <c r="P57" s="57" t="str">
        <f t="shared" si="52"/>
        <v/>
      </c>
      <c r="Q57" s="57" t="str">
        <f t="shared" si="52"/>
        <v/>
      </c>
      <c r="R57" s="57" t="str">
        <f t="shared" si="52"/>
        <v/>
      </c>
      <c r="S57" s="57" t="str">
        <f t="shared" si="52"/>
        <v/>
      </c>
      <c r="T57" s="57" t="str">
        <f t="shared" si="52"/>
        <v/>
      </c>
      <c r="U57" s="57" t="str">
        <f t="shared" si="52"/>
        <v/>
      </c>
      <c r="V57" s="57" t="str">
        <f t="shared" si="52"/>
        <v/>
      </c>
      <c r="W57" s="57" t="str">
        <f t="shared" si="52"/>
        <v/>
      </c>
      <c r="X57" s="57" t="str">
        <f t="shared" si="52"/>
        <v/>
      </c>
      <c r="Y57" s="57" t="str">
        <f t="shared" si="52"/>
        <v/>
      </c>
      <c r="Z57" s="57" t="str">
        <f t="shared" si="52"/>
        <v/>
      </c>
      <c r="AA57" s="57" t="str">
        <f t="shared" si="52"/>
        <v/>
      </c>
      <c r="AB57" s="57" t="str">
        <f t="shared" si="52"/>
        <v/>
      </c>
      <c r="AC57" s="57" t="str">
        <f t="shared" si="52"/>
        <v/>
      </c>
      <c r="AD57" s="57" t="str">
        <f t="shared" si="52"/>
        <v/>
      </c>
      <c r="AE57" s="57" t="str">
        <f t="shared" si="52"/>
        <v/>
      </c>
      <c r="AF57" s="57" t="str">
        <f t="shared" si="52"/>
        <v/>
      </c>
      <c r="AG57" s="57" t="str">
        <f t="shared" si="52"/>
        <v/>
      </c>
      <c r="AH57" s="57" t="str">
        <f t="shared" si="52"/>
        <v/>
      </c>
      <c r="AI57" s="57" t="str">
        <f t="shared" si="52"/>
        <v/>
      </c>
      <c r="AJ57" s="57" t="str">
        <f t="shared" si="52"/>
        <v>■</v>
      </c>
      <c r="AK57" s="57" t="str">
        <f t="shared" si="52"/>
        <v>■</v>
      </c>
      <c r="AL57" s="57" t="str">
        <f t="shared" si="52"/>
        <v>■</v>
      </c>
      <c r="AM57" s="57" t="str">
        <f t="shared" si="52"/>
        <v>■</v>
      </c>
      <c r="AN57" s="57" t="str">
        <f t="shared" si="52"/>
        <v/>
      </c>
      <c r="AO57" s="57" t="str">
        <f t="shared" si="52"/>
        <v/>
      </c>
      <c r="AP57" s="57" t="str">
        <f t="shared" si="52"/>
        <v/>
      </c>
      <c r="AQ57" s="57" t="str">
        <f t="shared" si="52"/>
        <v/>
      </c>
      <c r="AR57" s="57" t="str">
        <f t="shared" si="52"/>
        <v/>
      </c>
      <c r="AS57" s="57" t="str">
        <f t="shared" si="52"/>
        <v/>
      </c>
      <c r="AT57" s="57" t="str">
        <f t="shared" si="52"/>
        <v/>
      </c>
      <c r="AU57" s="57" t="str">
        <f t="shared" si="52"/>
        <v/>
      </c>
      <c r="AV57" s="57" t="str">
        <f t="shared" si="52"/>
        <v/>
      </c>
    </row>
    <row r="58" ht="15.0" customHeight="1">
      <c r="A58" s="79" t="s">
        <v>44</v>
      </c>
      <c r="B58" s="50" t="s">
        <v>310</v>
      </c>
      <c r="C58" s="52" t="s">
        <v>311</v>
      </c>
      <c r="D58" s="52" t="s">
        <v>446</v>
      </c>
      <c r="E58" s="68" t="s">
        <v>312</v>
      </c>
      <c r="F58" s="68" t="s">
        <v>29</v>
      </c>
      <c r="G58" s="55">
        <v>46258.0</v>
      </c>
      <c r="H58" s="55">
        <v>46262.0</v>
      </c>
      <c r="I58" s="55"/>
      <c r="J58" s="56">
        <v>1.0</v>
      </c>
      <c r="K58" s="57" t="str">
        <f t="shared" ref="K58:AV58" si="53">IF(AND(K$5&gt;=$G58,K$5&lt;=$H58,WEEKDAY(K$5,2)&lt;=5),"■","")</f>
        <v/>
      </c>
      <c r="L58" s="57" t="str">
        <f t="shared" si="53"/>
        <v/>
      </c>
      <c r="M58" s="57" t="str">
        <f t="shared" si="53"/>
        <v/>
      </c>
      <c r="N58" s="57" t="str">
        <f t="shared" si="53"/>
        <v/>
      </c>
      <c r="O58" s="57" t="str">
        <f t="shared" si="53"/>
        <v/>
      </c>
      <c r="P58" s="57" t="str">
        <f t="shared" si="53"/>
        <v/>
      </c>
      <c r="Q58" s="57" t="str">
        <f t="shared" si="53"/>
        <v/>
      </c>
      <c r="R58" s="57" t="str">
        <f t="shared" si="53"/>
        <v/>
      </c>
      <c r="S58" s="57" t="str">
        <f t="shared" si="53"/>
        <v/>
      </c>
      <c r="T58" s="57" t="str">
        <f t="shared" si="53"/>
        <v/>
      </c>
      <c r="U58" s="57" t="str">
        <f t="shared" si="53"/>
        <v/>
      </c>
      <c r="V58" s="57" t="str">
        <f t="shared" si="53"/>
        <v/>
      </c>
      <c r="W58" s="57" t="str">
        <f t="shared" si="53"/>
        <v/>
      </c>
      <c r="X58" s="57" t="str">
        <f t="shared" si="53"/>
        <v/>
      </c>
      <c r="Y58" s="57" t="str">
        <f t="shared" si="53"/>
        <v/>
      </c>
      <c r="Z58" s="57" t="str">
        <f t="shared" si="53"/>
        <v/>
      </c>
      <c r="AA58" s="57" t="str">
        <f t="shared" si="53"/>
        <v/>
      </c>
      <c r="AB58" s="57" t="str">
        <f t="shared" si="53"/>
        <v/>
      </c>
      <c r="AC58" s="57" t="str">
        <f t="shared" si="53"/>
        <v/>
      </c>
      <c r="AD58" s="57" t="str">
        <f t="shared" si="53"/>
        <v/>
      </c>
      <c r="AE58" s="57" t="str">
        <f t="shared" si="53"/>
        <v/>
      </c>
      <c r="AF58" s="57" t="str">
        <f t="shared" si="53"/>
        <v/>
      </c>
      <c r="AG58" s="57" t="str">
        <f t="shared" si="53"/>
        <v/>
      </c>
      <c r="AH58" s="57" t="str">
        <f t="shared" si="53"/>
        <v/>
      </c>
      <c r="AI58" s="57" t="str">
        <f t="shared" si="53"/>
        <v/>
      </c>
      <c r="AJ58" s="57" t="str">
        <f t="shared" si="53"/>
        <v/>
      </c>
      <c r="AK58" s="57" t="str">
        <f t="shared" si="53"/>
        <v/>
      </c>
      <c r="AL58" s="57" t="str">
        <f t="shared" si="53"/>
        <v/>
      </c>
      <c r="AM58" s="57" t="str">
        <f t="shared" si="53"/>
        <v/>
      </c>
      <c r="AN58" s="57" t="str">
        <f t="shared" si="53"/>
        <v>■</v>
      </c>
      <c r="AO58" s="57" t="str">
        <f t="shared" si="53"/>
        <v>■</v>
      </c>
      <c r="AP58" s="57" t="str">
        <f t="shared" si="53"/>
        <v>■</v>
      </c>
      <c r="AQ58" s="57" t="str">
        <f t="shared" si="53"/>
        <v>■</v>
      </c>
      <c r="AR58" s="57" t="str">
        <f t="shared" si="53"/>
        <v>■</v>
      </c>
      <c r="AS58" s="57" t="str">
        <f t="shared" si="53"/>
        <v/>
      </c>
      <c r="AT58" s="57" t="str">
        <f t="shared" si="53"/>
        <v/>
      </c>
      <c r="AU58" s="57" t="str">
        <f t="shared" si="53"/>
        <v/>
      </c>
      <c r="AV58" s="57" t="str">
        <f t="shared" si="53"/>
        <v/>
      </c>
    </row>
    <row r="59" ht="15.0" customHeight="1">
      <c r="A59" s="79" t="s">
        <v>44</v>
      </c>
      <c r="B59" s="50" t="s">
        <v>122</v>
      </c>
      <c r="C59" s="52" t="s">
        <v>447</v>
      </c>
      <c r="D59" s="52" t="s">
        <v>448</v>
      </c>
      <c r="E59" s="50" t="s">
        <v>50</v>
      </c>
      <c r="F59" s="68" t="s">
        <v>29</v>
      </c>
      <c r="G59" s="55">
        <v>46237.0</v>
      </c>
      <c r="H59" s="55">
        <v>46247.0</v>
      </c>
      <c r="I59" s="55">
        <v>46262.0</v>
      </c>
      <c r="J59" s="56">
        <v>1.0</v>
      </c>
      <c r="K59" s="57" t="str">
        <f t="shared" ref="K59:AV59" si="54">IF(AND(K$5&gt;=$G59,K$5&lt;=$H59,WEEKDAY(K$5,2)&lt;=5),"■","")</f>
        <v/>
      </c>
      <c r="L59" s="57" t="str">
        <f t="shared" si="54"/>
        <v/>
      </c>
      <c r="M59" s="57" t="str">
        <f t="shared" si="54"/>
        <v/>
      </c>
      <c r="N59" s="57" t="str">
        <f t="shared" si="54"/>
        <v/>
      </c>
      <c r="O59" s="57" t="str">
        <f t="shared" si="54"/>
        <v/>
      </c>
      <c r="P59" s="57" t="str">
        <f t="shared" si="54"/>
        <v/>
      </c>
      <c r="Q59" s="57" t="str">
        <f t="shared" si="54"/>
        <v/>
      </c>
      <c r="R59" s="57" t="str">
        <f t="shared" si="54"/>
        <v/>
      </c>
      <c r="S59" s="57" t="str">
        <f t="shared" si="54"/>
        <v/>
      </c>
      <c r="T59" s="57" t="str">
        <f t="shared" si="54"/>
        <v/>
      </c>
      <c r="U59" s="57" t="str">
        <f t="shared" si="54"/>
        <v/>
      </c>
      <c r="V59" s="57" t="str">
        <f t="shared" si="54"/>
        <v/>
      </c>
      <c r="W59" s="57" t="str">
        <f t="shared" si="54"/>
        <v/>
      </c>
      <c r="X59" s="57" t="str">
        <f t="shared" si="54"/>
        <v/>
      </c>
      <c r="Y59" s="57" t="str">
        <f t="shared" si="54"/>
        <v/>
      </c>
      <c r="Z59" s="57" t="str">
        <f t="shared" si="54"/>
        <v>■</v>
      </c>
      <c r="AA59" s="57" t="str">
        <f t="shared" si="54"/>
        <v>■</v>
      </c>
      <c r="AB59" s="57" t="str">
        <f t="shared" si="54"/>
        <v>■</v>
      </c>
      <c r="AC59" s="57" t="str">
        <f t="shared" si="54"/>
        <v>■</v>
      </c>
      <c r="AD59" s="57" t="str">
        <f t="shared" si="54"/>
        <v>■</v>
      </c>
      <c r="AE59" s="57" t="str">
        <f t="shared" si="54"/>
        <v>■</v>
      </c>
      <c r="AF59" s="57" t="str">
        <f t="shared" si="54"/>
        <v>■</v>
      </c>
      <c r="AG59" s="57" t="str">
        <f t="shared" si="54"/>
        <v>■</v>
      </c>
      <c r="AH59" s="57" t="str">
        <f t="shared" si="54"/>
        <v>■</v>
      </c>
      <c r="AI59" s="57" t="str">
        <f t="shared" si="54"/>
        <v/>
      </c>
      <c r="AJ59" s="57" t="str">
        <f t="shared" si="54"/>
        <v/>
      </c>
      <c r="AK59" s="57" t="str">
        <f t="shared" si="54"/>
        <v/>
      </c>
      <c r="AL59" s="57" t="str">
        <f t="shared" si="54"/>
        <v/>
      </c>
      <c r="AM59" s="57" t="str">
        <f t="shared" si="54"/>
        <v/>
      </c>
      <c r="AN59" s="57" t="str">
        <f t="shared" si="54"/>
        <v/>
      </c>
      <c r="AO59" s="57" t="str">
        <f t="shared" si="54"/>
        <v/>
      </c>
      <c r="AP59" s="57" t="str">
        <f t="shared" si="54"/>
        <v/>
      </c>
      <c r="AQ59" s="57" t="str">
        <f t="shared" si="54"/>
        <v/>
      </c>
      <c r="AR59" s="57" t="str">
        <f t="shared" si="54"/>
        <v/>
      </c>
      <c r="AS59" s="57" t="str">
        <f t="shared" si="54"/>
        <v/>
      </c>
      <c r="AT59" s="57" t="str">
        <f t="shared" si="54"/>
        <v/>
      </c>
      <c r="AU59" s="57" t="str">
        <f t="shared" si="54"/>
        <v/>
      </c>
      <c r="AV59" s="57" t="str">
        <f t="shared" si="54"/>
        <v/>
      </c>
    </row>
    <row r="60" ht="15.0" customHeight="1">
      <c r="A60" s="79" t="s">
        <v>44</v>
      </c>
      <c r="B60" s="50" t="s">
        <v>449</v>
      </c>
      <c r="C60" s="51" t="s">
        <v>331</v>
      </c>
      <c r="D60" s="52" t="s">
        <v>332</v>
      </c>
      <c r="E60" s="50" t="s">
        <v>8</v>
      </c>
      <c r="F60" s="68" t="s">
        <v>29</v>
      </c>
      <c r="G60" s="55">
        <v>46265.0</v>
      </c>
      <c r="H60" s="55">
        <v>46265.0</v>
      </c>
      <c r="I60" s="55"/>
      <c r="J60" s="56">
        <v>1.0</v>
      </c>
      <c r="K60" s="57" t="str">
        <f t="shared" ref="K60:AV60" si="55">IF(AND(K$5&gt;=$G60,K$5&lt;=$H60,WEEKDAY(K$5,2)&lt;=5),"■","")</f>
        <v/>
      </c>
      <c r="L60" s="57" t="str">
        <f t="shared" si="55"/>
        <v/>
      </c>
      <c r="M60" s="57" t="str">
        <f t="shared" si="55"/>
        <v/>
      </c>
      <c r="N60" s="57" t="str">
        <f t="shared" si="55"/>
        <v/>
      </c>
      <c r="O60" s="57" t="str">
        <f t="shared" si="55"/>
        <v/>
      </c>
      <c r="P60" s="57" t="str">
        <f t="shared" si="55"/>
        <v/>
      </c>
      <c r="Q60" s="57" t="str">
        <f t="shared" si="55"/>
        <v/>
      </c>
      <c r="R60" s="57" t="str">
        <f t="shared" si="55"/>
        <v/>
      </c>
      <c r="S60" s="57" t="str">
        <f t="shared" si="55"/>
        <v/>
      </c>
      <c r="T60" s="57" t="str">
        <f t="shared" si="55"/>
        <v/>
      </c>
      <c r="U60" s="57" t="str">
        <f t="shared" si="55"/>
        <v/>
      </c>
      <c r="V60" s="57" t="str">
        <f t="shared" si="55"/>
        <v/>
      </c>
      <c r="W60" s="57" t="str">
        <f t="shared" si="55"/>
        <v/>
      </c>
      <c r="X60" s="57" t="str">
        <f t="shared" si="55"/>
        <v/>
      </c>
      <c r="Y60" s="57" t="str">
        <f t="shared" si="55"/>
        <v/>
      </c>
      <c r="Z60" s="57" t="str">
        <f t="shared" si="55"/>
        <v/>
      </c>
      <c r="AA60" s="57" t="str">
        <f t="shared" si="55"/>
        <v/>
      </c>
      <c r="AB60" s="57" t="str">
        <f t="shared" si="55"/>
        <v/>
      </c>
      <c r="AC60" s="57" t="str">
        <f t="shared" si="55"/>
        <v/>
      </c>
      <c r="AD60" s="57" t="str">
        <f t="shared" si="55"/>
        <v/>
      </c>
      <c r="AE60" s="57" t="str">
        <f t="shared" si="55"/>
        <v/>
      </c>
      <c r="AF60" s="57" t="str">
        <f t="shared" si="55"/>
        <v/>
      </c>
      <c r="AG60" s="57" t="str">
        <f t="shared" si="55"/>
        <v/>
      </c>
      <c r="AH60" s="57" t="str">
        <f t="shared" si="55"/>
        <v/>
      </c>
      <c r="AI60" s="57" t="str">
        <f t="shared" si="55"/>
        <v/>
      </c>
      <c r="AJ60" s="57" t="str">
        <f t="shared" si="55"/>
        <v/>
      </c>
      <c r="AK60" s="57" t="str">
        <f t="shared" si="55"/>
        <v/>
      </c>
      <c r="AL60" s="57" t="str">
        <f t="shared" si="55"/>
        <v/>
      </c>
      <c r="AM60" s="57" t="str">
        <f t="shared" si="55"/>
        <v/>
      </c>
      <c r="AN60" s="57" t="str">
        <f t="shared" si="55"/>
        <v/>
      </c>
      <c r="AO60" s="57" t="str">
        <f t="shared" si="55"/>
        <v/>
      </c>
      <c r="AP60" s="57" t="str">
        <f t="shared" si="55"/>
        <v/>
      </c>
      <c r="AQ60" s="57" t="str">
        <f t="shared" si="55"/>
        <v/>
      </c>
      <c r="AR60" s="57" t="str">
        <f t="shared" si="55"/>
        <v/>
      </c>
      <c r="AS60" s="57" t="str">
        <f t="shared" si="55"/>
        <v>■</v>
      </c>
      <c r="AT60" s="57" t="str">
        <f t="shared" si="55"/>
        <v/>
      </c>
      <c r="AU60" s="57" t="str">
        <f t="shared" si="55"/>
        <v/>
      </c>
      <c r="AV60" s="57" t="str">
        <f t="shared" si="55"/>
        <v/>
      </c>
    </row>
    <row r="61" ht="15.0" customHeight="1">
      <c r="A61" s="79" t="s">
        <v>44</v>
      </c>
      <c r="B61" s="50" t="s">
        <v>450</v>
      </c>
      <c r="C61" s="51" t="s">
        <v>451</v>
      </c>
      <c r="D61" s="51" t="s">
        <v>342</v>
      </c>
      <c r="E61" s="50" t="s">
        <v>50</v>
      </c>
      <c r="F61" s="68" t="s">
        <v>29</v>
      </c>
      <c r="G61" s="55">
        <v>46267.0</v>
      </c>
      <c r="H61" s="55">
        <v>46267.0</v>
      </c>
      <c r="I61" s="55"/>
      <c r="J61" s="56">
        <v>1.0</v>
      </c>
      <c r="K61" s="57" t="str">
        <f t="shared" ref="K61:AV61" si="56">IF(AND(K$5&gt;=$G61,K$5&lt;=$H61,WEEKDAY(K$5,2)&lt;=5),"■","")</f>
        <v/>
      </c>
      <c r="L61" s="57" t="str">
        <f t="shared" si="56"/>
        <v/>
      </c>
      <c r="M61" s="57" t="str">
        <f t="shared" si="56"/>
        <v/>
      </c>
      <c r="N61" s="57" t="str">
        <f t="shared" si="56"/>
        <v/>
      </c>
      <c r="O61" s="57" t="str">
        <f t="shared" si="56"/>
        <v/>
      </c>
      <c r="P61" s="57" t="str">
        <f t="shared" si="56"/>
        <v/>
      </c>
      <c r="Q61" s="57" t="str">
        <f t="shared" si="56"/>
        <v/>
      </c>
      <c r="R61" s="57" t="str">
        <f t="shared" si="56"/>
        <v/>
      </c>
      <c r="S61" s="57" t="str">
        <f t="shared" si="56"/>
        <v/>
      </c>
      <c r="T61" s="57" t="str">
        <f t="shared" si="56"/>
        <v/>
      </c>
      <c r="U61" s="57" t="str">
        <f t="shared" si="56"/>
        <v/>
      </c>
      <c r="V61" s="57" t="str">
        <f t="shared" si="56"/>
        <v/>
      </c>
      <c r="W61" s="57" t="str">
        <f t="shared" si="56"/>
        <v/>
      </c>
      <c r="X61" s="57" t="str">
        <f t="shared" si="56"/>
        <v/>
      </c>
      <c r="Y61" s="57" t="str">
        <f t="shared" si="56"/>
        <v/>
      </c>
      <c r="Z61" s="57" t="str">
        <f t="shared" si="56"/>
        <v/>
      </c>
      <c r="AA61" s="57" t="str">
        <f t="shared" si="56"/>
        <v/>
      </c>
      <c r="AB61" s="57" t="str">
        <f t="shared" si="56"/>
        <v/>
      </c>
      <c r="AC61" s="57" t="str">
        <f t="shared" si="56"/>
        <v/>
      </c>
      <c r="AD61" s="57" t="str">
        <f t="shared" si="56"/>
        <v/>
      </c>
      <c r="AE61" s="57" t="str">
        <f t="shared" si="56"/>
        <v/>
      </c>
      <c r="AF61" s="57" t="str">
        <f t="shared" si="56"/>
        <v/>
      </c>
      <c r="AG61" s="57" t="str">
        <f t="shared" si="56"/>
        <v/>
      </c>
      <c r="AH61" s="57" t="str">
        <f t="shared" si="56"/>
        <v/>
      </c>
      <c r="AI61" s="57" t="str">
        <f t="shared" si="56"/>
        <v/>
      </c>
      <c r="AJ61" s="57" t="str">
        <f t="shared" si="56"/>
        <v/>
      </c>
      <c r="AK61" s="57" t="str">
        <f t="shared" si="56"/>
        <v/>
      </c>
      <c r="AL61" s="57" t="str">
        <f t="shared" si="56"/>
        <v/>
      </c>
      <c r="AM61" s="57" t="str">
        <f t="shared" si="56"/>
        <v/>
      </c>
      <c r="AN61" s="57" t="str">
        <f t="shared" si="56"/>
        <v/>
      </c>
      <c r="AO61" s="57" t="str">
        <f t="shared" si="56"/>
        <v/>
      </c>
      <c r="AP61" s="57" t="str">
        <f t="shared" si="56"/>
        <v/>
      </c>
      <c r="AQ61" s="57" t="str">
        <f t="shared" si="56"/>
        <v/>
      </c>
      <c r="AR61" s="57" t="str">
        <f t="shared" si="56"/>
        <v/>
      </c>
      <c r="AS61" s="57" t="str">
        <f t="shared" si="56"/>
        <v/>
      </c>
      <c r="AT61" s="57" t="str">
        <f t="shared" si="56"/>
        <v/>
      </c>
      <c r="AU61" s="57" t="str">
        <f t="shared" si="56"/>
        <v>■</v>
      </c>
      <c r="AV61" s="57" t="str">
        <f t="shared" si="56"/>
        <v/>
      </c>
    </row>
    <row r="62" ht="15.0" customHeight="1">
      <c r="A62" s="79" t="s">
        <v>44</v>
      </c>
      <c r="B62" s="50" t="s">
        <v>452</v>
      </c>
      <c r="C62" s="51" t="s">
        <v>453</v>
      </c>
      <c r="D62" s="51" t="s">
        <v>454</v>
      </c>
      <c r="E62" s="50" t="s">
        <v>8</v>
      </c>
      <c r="F62" s="68" t="s">
        <v>29</v>
      </c>
      <c r="G62" s="55">
        <v>46267.0</v>
      </c>
      <c r="H62" s="55">
        <v>46267.0</v>
      </c>
      <c r="I62" s="55"/>
      <c r="J62" s="56">
        <v>1.0</v>
      </c>
      <c r="K62" s="57" t="str">
        <f t="shared" ref="K62:AV62" si="57">IF(AND(K$5&gt;=$G62,K$5&lt;=$H62,WEEKDAY(K$5,2)&lt;=5),"■","")</f>
        <v/>
      </c>
      <c r="L62" s="57" t="str">
        <f t="shared" si="57"/>
        <v/>
      </c>
      <c r="M62" s="57" t="str">
        <f t="shared" si="57"/>
        <v/>
      </c>
      <c r="N62" s="57" t="str">
        <f t="shared" si="57"/>
        <v/>
      </c>
      <c r="O62" s="57" t="str">
        <f t="shared" si="57"/>
        <v/>
      </c>
      <c r="P62" s="57" t="str">
        <f t="shared" si="57"/>
        <v/>
      </c>
      <c r="Q62" s="57" t="str">
        <f t="shared" si="57"/>
        <v/>
      </c>
      <c r="R62" s="57" t="str">
        <f t="shared" si="57"/>
        <v/>
      </c>
      <c r="S62" s="57" t="str">
        <f t="shared" si="57"/>
        <v/>
      </c>
      <c r="T62" s="57" t="str">
        <f t="shared" si="57"/>
        <v/>
      </c>
      <c r="U62" s="57" t="str">
        <f t="shared" si="57"/>
        <v/>
      </c>
      <c r="V62" s="57" t="str">
        <f t="shared" si="57"/>
        <v/>
      </c>
      <c r="W62" s="57" t="str">
        <f t="shared" si="57"/>
        <v/>
      </c>
      <c r="X62" s="57" t="str">
        <f t="shared" si="57"/>
        <v/>
      </c>
      <c r="Y62" s="57" t="str">
        <f t="shared" si="57"/>
        <v/>
      </c>
      <c r="Z62" s="57" t="str">
        <f t="shared" si="57"/>
        <v/>
      </c>
      <c r="AA62" s="57" t="str">
        <f t="shared" si="57"/>
        <v/>
      </c>
      <c r="AB62" s="57" t="str">
        <f t="shared" si="57"/>
        <v/>
      </c>
      <c r="AC62" s="57" t="str">
        <f t="shared" si="57"/>
        <v/>
      </c>
      <c r="AD62" s="57" t="str">
        <f t="shared" si="57"/>
        <v/>
      </c>
      <c r="AE62" s="57" t="str">
        <f t="shared" si="57"/>
        <v/>
      </c>
      <c r="AF62" s="57" t="str">
        <f t="shared" si="57"/>
        <v/>
      </c>
      <c r="AG62" s="57" t="str">
        <f t="shared" si="57"/>
        <v/>
      </c>
      <c r="AH62" s="57" t="str">
        <f t="shared" si="57"/>
        <v/>
      </c>
      <c r="AI62" s="57" t="str">
        <f t="shared" si="57"/>
        <v/>
      </c>
      <c r="AJ62" s="57" t="str">
        <f t="shared" si="57"/>
        <v/>
      </c>
      <c r="AK62" s="57" t="str">
        <f t="shared" si="57"/>
        <v/>
      </c>
      <c r="AL62" s="57" t="str">
        <f t="shared" si="57"/>
        <v/>
      </c>
      <c r="AM62" s="57" t="str">
        <f t="shared" si="57"/>
        <v/>
      </c>
      <c r="AN62" s="57" t="str">
        <f t="shared" si="57"/>
        <v/>
      </c>
      <c r="AO62" s="57" t="str">
        <f t="shared" si="57"/>
        <v/>
      </c>
      <c r="AP62" s="57" t="str">
        <f t="shared" si="57"/>
        <v/>
      </c>
      <c r="AQ62" s="57" t="str">
        <f t="shared" si="57"/>
        <v/>
      </c>
      <c r="AR62" s="57" t="str">
        <f t="shared" si="57"/>
        <v/>
      </c>
      <c r="AS62" s="57" t="str">
        <f t="shared" si="57"/>
        <v/>
      </c>
      <c r="AT62" s="57" t="str">
        <f t="shared" si="57"/>
        <v/>
      </c>
      <c r="AU62" s="57" t="str">
        <f t="shared" si="57"/>
        <v>■</v>
      </c>
      <c r="AV62" s="57" t="str">
        <f t="shared" si="57"/>
        <v/>
      </c>
    </row>
    <row r="63" ht="15.0" customHeight="1">
      <c r="A63" s="80" t="s">
        <v>49</v>
      </c>
      <c r="B63" s="50" t="s">
        <v>145</v>
      </c>
      <c r="C63" s="52" t="s">
        <v>455</v>
      </c>
      <c r="D63" s="52" t="s">
        <v>351</v>
      </c>
      <c r="E63" s="50" t="s">
        <v>50</v>
      </c>
      <c r="F63" s="68" t="s">
        <v>29</v>
      </c>
      <c r="G63" s="55">
        <v>46258.0</v>
      </c>
      <c r="H63" s="55">
        <v>46267.0</v>
      </c>
      <c r="I63" s="72">
        <v>46268.0</v>
      </c>
      <c r="J63" s="56">
        <v>1.0</v>
      </c>
      <c r="K63" s="57" t="str">
        <f t="shared" ref="K63:AV63" si="58">IF(AND(K$5&gt;=$G63,K$5&lt;=$H63,WEEKDAY(K$5,2)&lt;=5),"■","")</f>
        <v/>
      </c>
      <c r="L63" s="57" t="str">
        <f t="shared" si="58"/>
        <v/>
      </c>
      <c r="M63" s="57" t="str">
        <f t="shared" si="58"/>
        <v/>
      </c>
      <c r="N63" s="57" t="str">
        <f t="shared" si="58"/>
        <v/>
      </c>
      <c r="O63" s="57" t="str">
        <f t="shared" si="58"/>
        <v/>
      </c>
      <c r="P63" s="57" t="str">
        <f t="shared" si="58"/>
        <v/>
      </c>
      <c r="Q63" s="57" t="str">
        <f t="shared" si="58"/>
        <v/>
      </c>
      <c r="R63" s="57" t="str">
        <f t="shared" si="58"/>
        <v/>
      </c>
      <c r="S63" s="57" t="str">
        <f t="shared" si="58"/>
        <v/>
      </c>
      <c r="T63" s="57" t="str">
        <f t="shared" si="58"/>
        <v/>
      </c>
      <c r="U63" s="57" t="str">
        <f t="shared" si="58"/>
        <v/>
      </c>
      <c r="V63" s="57" t="str">
        <f t="shared" si="58"/>
        <v/>
      </c>
      <c r="W63" s="57" t="str">
        <f t="shared" si="58"/>
        <v/>
      </c>
      <c r="X63" s="57" t="str">
        <f t="shared" si="58"/>
        <v/>
      </c>
      <c r="Y63" s="57" t="str">
        <f t="shared" si="58"/>
        <v/>
      </c>
      <c r="Z63" s="57" t="str">
        <f t="shared" si="58"/>
        <v/>
      </c>
      <c r="AA63" s="57" t="str">
        <f t="shared" si="58"/>
        <v/>
      </c>
      <c r="AB63" s="57" t="str">
        <f t="shared" si="58"/>
        <v/>
      </c>
      <c r="AC63" s="57" t="str">
        <f t="shared" si="58"/>
        <v/>
      </c>
      <c r="AD63" s="57" t="str">
        <f t="shared" si="58"/>
        <v/>
      </c>
      <c r="AE63" s="57" t="str">
        <f t="shared" si="58"/>
        <v/>
      </c>
      <c r="AF63" s="57" t="str">
        <f t="shared" si="58"/>
        <v/>
      </c>
      <c r="AG63" s="57" t="str">
        <f t="shared" si="58"/>
        <v/>
      </c>
      <c r="AH63" s="57" t="str">
        <f t="shared" si="58"/>
        <v/>
      </c>
      <c r="AI63" s="57" t="str">
        <f t="shared" si="58"/>
        <v/>
      </c>
      <c r="AJ63" s="57" t="str">
        <f t="shared" si="58"/>
        <v/>
      </c>
      <c r="AK63" s="57" t="str">
        <f t="shared" si="58"/>
        <v/>
      </c>
      <c r="AL63" s="57" t="str">
        <f t="shared" si="58"/>
        <v/>
      </c>
      <c r="AM63" s="57" t="str">
        <f t="shared" si="58"/>
        <v/>
      </c>
      <c r="AN63" s="57" t="str">
        <f t="shared" si="58"/>
        <v>■</v>
      </c>
      <c r="AO63" s="57" t="str">
        <f t="shared" si="58"/>
        <v>■</v>
      </c>
      <c r="AP63" s="57" t="str">
        <f t="shared" si="58"/>
        <v>■</v>
      </c>
      <c r="AQ63" s="57" t="str">
        <f t="shared" si="58"/>
        <v>■</v>
      </c>
      <c r="AR63" s="57" t="str">
        <f t="shared" si="58"/>
        <v>■</v>
      </c>
      <c r="AS63" s="57" t="str">
        <f t="shared" si="58"/>
        <v>■</v>
      </c>
      <c r="AT63" s="57" t="str">
        <f t="shared" si="58"/>
        <v>■</v>
      </c>
      <c r="AU63" s="57" t="str">
        <f t="shared" si="58"/>
        <v>■</v>
      </c>
      <c r="AV63" s="57" t="str">
        <f t="shared" si="58"/>
        <v/>
      </c>
    </row>
    <row r="64" ht="15.0" customHeight="1">
      <c r="A64" s="80" t="s">
        <v>49</v>
      </c>
      <c r="B64" s="50" t="s">
        <v>167</v>
      </c>
      <c r="C64" s="51" t="s">
        <v>456</v>
      </c>
      <c r="D64" s="52" t="s">
        <v>457</v>
      </c>
      <c r="E64" s="50" t="s">
        <v>50</v>
      </c>
      <c r="F64" s="68" t="s">
        <v>29</v>
      </c>
      <c r="G64" s="55">
        <v>46265.0</v>
      </c>
      <c r="H64" s="55">
        <v>46267.0</v>
      </c>
      <c r="I64" s="72"/>
      <c r="J64" s="56">
        <v>1.0</v>
      </c>
      <c r="K64" s="57" t="str">
        <f t="shared" ref="K64:AV64" si="59">IF(AND(K$5&gt;=$G64,K$5&lt;=$H64,WEEKDAY(K$5,2)&lt;=5),"■","")</f>
        <v/>
      </c>
      <c r="L64" s="57" t="str">
        <f t="shared" si="59"/>
        <v/>
      </c>
      <c r="M64" s="57" t="str">
        <f t="shared" si="59"/>
        <v/>
      </c>
      <c r="N64" s="57" t="str">
        <f t="shared" si="59"/>
        <v/>
      </c>
      <c r="O64" s="57" t="str">
        <f t="shared" si="59"/>
        <v/>
      </c>
      <c r="P64" s="57" t="str">
        <f t="shared" si="59"/>
        <v/>
      </c>
      <c r="Q64" s="57" t="str">
        <f t="shared" si="59"/>
        <v/>
      </c>
      <c r="R64" s="57" t="str">
        <f t="shared" si="59"/>
        <v/>
      </c>
      <c r="S64" s="57" t="str">
        <f t="shared" si="59"/>
        <v/>
      </c>
      <c r="T64" s="57" t="str">
        <f t="shared" si="59"/>
        <v/>
      </c>
      <c r="U64" s="57" t="str">
        <f t="shared" si="59"/>
        <v/>
      </c>
      <c r="V64" s="57" t="str">
        <f t="shared" si="59"/>
        <v/>
      </c>
      <c r="W64" s="57" t="str">
        <f t="shared" si="59"/>
        <v/>
      </c>
      <c r="X64" s="57" t="str">
        <f t="shared" si="59"/>
        <v/>
      </c>
      <c r="Y64" s="57" t="str">
        <f t="shared" si="59"/>
        <v/>
      </c>
      <c r="Z64" s="57" t="str">
        <f t="shared" si="59"/>
        <v/>
      </c>
      <c r="AA64" s="57" t="str">
        <f t="shared" si="59"/>
        <v/>
      </c>
      <c r="AB64" s="57" t="str">
        <f t="shared" si="59"/>
        <v/>
      </c>
      <c r="AC64" s="57" t="str">
        <f t="shared" si="59"/>
        <v/>
      </c>
      <c r="AD64" s="57" t="str">
        <f t="shared" si="59"/>
        <v/>
      </c>
      <c r="AE64" s="57" t="str">
        <f t="shared" si="59"/>
        <v/>
      </c>
      <c r="AF64" s="57" t="str">
        <f t="shared" si="59"/>
        <v/>
      </c>
      <c r="AG64" s="57" t="str">
        <f t="shared" si="59"/>
        <v/>
      </c>
      <c r="AH64" s="57" t="str">
        <f t="shared" si="59"/>
        <v/>
      </c>
      <c r="AI64" s="57" t="str">
        <f t="shared" si="59"/>
        <v/>
      </c>
      <c r="AJ64" s="57" t="str">
        <f t="shared" si="59"/>
        <v/>
      </c>
      <c r="AK64" s="57" t="str">
        <f t="shared" si="59"/>
        <v/>
      </c>
      <c r="AL64" s="57" t="str">
        <f t="shared" si="59"/>
        <v/>
      </c>
      <c r="AM64" s="57" t="str">
        <f t="shared" si="59"/>
        <v/>
      </c>
      <c r="AN64" s="57" t="str">
        <f t="shared" si="59"/>
        <v/>
      </c>
      <c r="AO64" s="57" t="str">
        <f t="shared" si="59"/>
        <v/>
      </c>
      <c r="AP64" s="57" t="str">
        <f t="shared" si="59"/>
        <v/>
      </c>
      <c r="AQ64" s="57" t="str">
        <f t="shared" si="59"/>
        <v/>
      </c>
      <c r="AR64" s="57" t="str">
        <f t="shared" si="59"/>
        <v/>
      </c>
      <c r="AS64" s="57" t="str">
        <f t="shared" si="59"/>
        <v>■</v>
      </c>
      <c r="AT64" s="57" t="str">
        <f t="shared" si="59"/>
        <v>■</v>
      </c>
      <c r="AU64" s="57" t="str">
        <f t="shared" si="59"/>
        <v>■</v>
      </c>
      <c r="AV64" s="57" t="str">
        <f t="shared" si="59"/>
        <v/>
      </c>
    </row>
    <row r="65" ht="15.0" customHeight="1">
      <c r="A65" s="80" t="s">
        <v>49</v>
      </c>
      <c r="B65" s="50" t="s">
        <v>458</v>
      </c>
      <c r="C65" s="52" t="s">
        <v>459</v>
      </c>
      <c r="D65" s="52" t="s">
        <v>460</v>
      </c>
      <c r="E65" s="50" t="s">
        <v>50</v>
      </c>
      <c r="F65" s="68" t="s">
        <v>29</v>
      </c>
      <c r="G65" s="55">
        <v>46265.0</v>
      </c>
      <c r="H65" s="55">
        <v>46268.0</v>
      </c>
      <c r="I65" s="72">
        <v>46268.0</v>
      </c>
      <c r="J65" s="56">
        <v>1.0</v>
      </c>
      <c r="K65" s="57" t="str">
        <f t="shared" ref="K65:AV65" si="60">IF(AND(K$5&gt;=$G65,K$5&lt;=$H65,WEEKDAY(K$5,2)&lt;=5),"■","")</f>
        <v/>
      </c>
      <c r="L65" s="57" t="str">
        <f t="shared" si="60"/>
        <v/>
      </c>
      <c r="M65" s="57" t="str">
        <f t="shared" si="60"/>
        <v/>
      </c>
      <c r="N65" s="57" t="str">
        <f t="shared" si="60"/>
        <v/>
      </c>
      <c r="O65" s="57" t="str">
        <f t="shared" si="60"/>
        <v/>
      </c>
      <c r="P65" s="57" t="str">
        <f t="shared" si="60"/>
        <v/>
      </c>
      <c r="Q65" s="57" t="str">
        <f t="shared" si="60"/>
        <v/>
      </c>
      <c r="R65" s="57" t="str">
        <f t="shared" si="60"/>
        <v/>
      </c>
      <c r="S65" s="57" t="str">
        <f t="shared" si="60"/>
        <v/>
      </c>
      <c r="T65" s="57" t="str">
        <f t="shared" si="60"/>
        <v/>
      </c>
      <c r="U65" s="57" t="str">
        <f t="shared" si="60"/>
        <v/>
      </c>
      <c r="V65" s="57" t="str">
        <f t="shared" si="60"/>
        <v/>
      </c>
      <c r="W65" s="57" t="str">
        <f t="shared" si="60"/>
        <v/>
      </c>
      <c r="X65" s="57" t="str">
        <f t="shared" si="60"/>
        <v/>
      </c>
      <c r="Y65" s="57" t="str">
        <f t="shared" si="60"/>
        <v/>
      </c>
      <c r="Z65" s="57" t="str">
        <f t="shared" si="60"/>
        <v/>
      </c>
      <c r="AA65" s="57" t="str">
        <f t="shared" si="60"/>
        <v/>
      </c>
      <c r="AB65" s="57" t="str">
        <f t="shared" si="60"/>
        <v/>
      </c>
      <c r="AC65" s="57" t="str">
        <f t="shared" si="60"/>
        <v/>
      </c>
      <c r="AD65" s="57" t="str">
        <f t="shared" si="60"/>
        <v/>
      </c>
      <c r="AE65" s="57" t="str">
        <f t="shared" si="60"/>
        <v/>
      </c>
      <c r="AF65" s="57" t="str">
        <f t="shared" si="60"/>
        <v/>
      </c>
      <c r="AG65" s="57" t="str">
        <f t="shared" si="60"/>
        <v/>
      </c>
      <c r="AH65" s="57" t="str">
        <f t="shared" si="60"/>
        <v/>
      </c>
      <c r="AI65" s="57" t="str">
        <f t="shared" si="60"/>
        <v/>
      </c>
      <c r="AJ65" s="57" t="str">
        <f t="shared" si="60"/>
        <v/>
      </c>
      <c r="AK65" s="57" t="str">
        <f t="shared" si="60"/>
        <v/>
      </c>
      <c r="AL65" s="57" t="str">
        <f t="shared" si="60"/>
        <v/>
      </c>
      <c r="AM65" s="57" t="str">
        <f t="shared" si="60"/>
        <v/>
      </c>
      <c r="AN65" s="57" t="str">
        <f t="shared" si="60"/>
        <v/>
      </c>
      <c r="AO65" s="57" t="str">
        <f t="shared" si="60"/>
        <v/>
      </c>
      <c r="AP65" s="57" t="str">
        <f t="shared" si="60"/>
        <v/>
      </c>
      <c r="AQ65" s="57" t="str">
        <f t="shared" si="60"/>
        <v/>
      </c>
      <c r="AR65" s="57" t="str">
        <f t="shared" si="60"/>
        <v/>
      </c>
      <c r="AS65" s="57" t="str">
        <f t="shared" si="60"/>
        <v>■</v>
      </c>
      <c r="AT65" s="57" t="str">
        <f t="shared" si="60"/>
        <v>■</v>
      </c>
      <c r="AU65" s="57" t="str">
        <f t="shared" si="60"/>
        <v>■</v>
      </c>
      <c r="AV65" s="57" t="str">
        <f t="shared" si="60"/>
        <v>■</v>
      </c>
    </row>
    <row r="66" ht="15.0" customHeight="1">
      <c r="A66" s="80" t="s">
        <v>49</v>
      </c>
      <c r="B66" s="50" t="s">
        <v>461</v>
      </c>
      <c r="C66" s="52" t="s">
        <v>462</v>
      </c>
      <c r="D66" s="52" t="s">
        <v>463</v>
      </c>
      <c r="E66" s="68" t="s">
        <v>193</v>
      </c>
      <c r="F66" s="68" t="s">
        <v>29</v>
      </c>
      <c r="G66" s="55">
        <v>46266.0</v>
      </c>
      <c r="H66" s="55">
        <v>46267.0</v>
      </c>
      <c r="I66" s="55">
        <v>46268.0</v>
      </c>
      <c r="J66" s="56">
        <v>1.0</v>
      </c>
      <c r="K66" s="57" t="str">
        <f t="shared" ref="K66:AV66" si="61">IF(AND(K$5&gt;=$G66,K$5&lt;=$H66,WEEKDAY(K$5,2)&lt;=5),"■","")</f>
        <v/>
      </c>
      <c r="L66" s="57" t="str">
        <f t="shared" si="61"/>
        <v/>
      </c>
      <c r="M66" s="57" t="str">
        <f t="shared" si="61"/>
        <v/>
      </c>
      <c r="N66" s="57" t="str">
        <f t="shared" si="61"/>
        <v/>
      </c>
      <c r="O66" s="57" t="str">
        <f t="shared" si="61"/>
        <v/>
      </c>
      <c r="P66" s="57" t="str">
        <f t="shared" si="61"/>
        <v/>
      </c>
      <c r="Q66" s="57" t="str">
        <f t="shared" si="61"/>
        <v/>
      </c>
      <c r="R66" s="57" t="str">
        <f t="shared" si="61"/>
        <v/>
      </c>
      <c r="S66" s="57" t="str">
        <f t="shared" si="61"/>
        <v/>
      </c>
      <c r="T66" s="57" t="str">
        <f t="shared" si="61"/>
        <v/>
      </c>
      <c r="U66" s="57" t="str">
        <f t="shared" si="61"/>
        <v/>
      </c>
      <c r="V66" s="57" t="str">
        <f t="shared" si="61"/>
        <v/>
      </c>
      <c r="W66" s="57" t="str">
        <f t="shared" si="61"/>
        <v/>
      </c>
      <c r="X66" s="57" t="str">
        <f t="shared" si="61"/>
        <v/>
      </c>
      <c r="Y66" s="57" t="str">
        <f t="shared" si="61"/>
        <v/>
      </c>
      <c r="Z66" s="57" t="str">
        <f t="shared" si="61"/>
        <v/>
      </c>
      <c r="AA66" s="57" t="str">
        <f t="shared" si="61"/>
        <v/>
      </c>
      <c r="AB66" s="57" t="str">
        <f t="shared" si="61"/>
        <v/>
      </c>
      <c r="AC66" s="57" t="str">
        <f t="shared" si="61"/>
        <v/>
      </c>
      <c r="AD66" s="57" t="str">
        <f t="shared" si="61"/>
        <v/>
      </c>
      <c r="AE66" s="57" t="str">
        <f t="shared" si="61"/>
        <v/>
      </c>
      <c r="AF66" s="57" t="str">
        <f t="shared" si="61"/>
        <v/>
      </c>
      <c r="AG66" s="57" t="str">
        <f t="shared" si="61"/>
        <v/>
      </c>
      <c r="AH66" s="57" t="str">
        <f t="shared" si="61"/>
        <v/>
      </c>
      <c r="AI66" s="57" t="str">
        <f t="shared" si="61"/>
        <v/>
      </c>
      <c r="AJ66" s="57" t="str">
        <f t="shared" si="61"/>
        <v/>
      </c>
      <c r="AK66" s="57" t="str">
        <f t="shared" si="61"/>
        <v/>
      </c>
      <c r="AL66" s="57" t="str">
        <f t="shared" si="61"/>
        <v/>
      </c>
      <c r="AM66" s="57" t="str">
        <f t="shared" si="61"/>
        <v/>
      </c>
      <c r="AN66" s="57" t="str">
        <f t="shared" si="61"/>
        <v/>
      </c>
      <c r="AO66" s="57" t="str">
        <f t="shared" si="61"/>
        <v/>
      </c>
      <c r="AP66" s="57" t="str">
        <f t="shared" si="61"/>
        <v/>
      </c>
      <c r="AQ66" s="57" t="str">
        <f t="shared" si="61"/>
        <v/>
      </c>
      <c r="AR66" s="57" t="str">
        <f t="shared" si="61"/>
        <v/>
      </c>
      <c r="AS66" s="57" t="str">
        <f t="shared" si="61"/>
        <v/>
      </c>
      <c r="AT66" s="57" t="str">
        <f t="shared" si="61"/>
        <v>■</v>
      </c>
      <c r="AU66" s="57" t="str">
        <f t="shared" si="61"/>
        <v>■</v>
      </c>
      <c r="AV66" s="57" t="str">
        <f t="shared" si="61"/>
        <v/>
      </c>
    </row>
    <row r="67" ht="15.0" customHeight="1">
      <c r="A67" s="80" t="s">
        <v>49</v>
      </c>
      <c r="B67" s="50" t="s">
        <v>464</v>
      </c>
      <c r="C67" s="52" t="s">
        <v>465</v>
      </c>
      <c r="D67" s="52" t="s">
        <v>466</v>
      </c>
      <c r="E67" s="68" t="s">
        <v>50</v>
      </c>
      <c r="F67" s="68" t="s">
        <v>29</v>
      </c>
      <c r="G67" s="55">
        <v>46268.0</v>
      </c>
      <c r="H67" s="55">
        <v>46268.0</v>
      </c>
      <c r="I67" s="55"/>
      <c r="J67" s="56">
        <v>1.0</v>
      </c>
      <c r="K67" s="57" t="str">
        <f t="shared" ref="K67:AV67" si="62">IF(AND(K$5&gt;=$G67,K$5&lt;=$H67,WEEKDAY(K$5,2)&lt;=5),"■","")</f>
        <v/>
      </c>
      <c r="L67" s="57" t="str">
        <f t="shared" si="62"/>
        <v/>
      </c>
      <c r="M67" s="57" t="str">
        <f t="shared" si="62"/>
        <v/>
      </c>
      <c r="N67" s="57" t="str">
        <f t="shared" si="62"/>
        <v/>
      </c>
      <c r="O67" s="57" t="str">
        <f t="shared" si="62"/>
        <v/>
      </c>
      <c r="P67" s="57" t="str">
        <f t="shared" si="62"/>
        <v/>
      </c>
      <c r="Q67" s="57" t="str">
        <f t="shared" si="62"/>
        <v/>
      </c>
      <c r="R67" s="57" t="str">
        <f t="shared" si="62"/>
        <v/>
      </c>
      <c r="S67" s="57" t="str">
        <f t="shared" si="62"/>
        <v/>
      </c>
      <c r="T67" s="57" t="str">
        <f t="shared" si="62"/>
        <v/>
      </c>
      <c r="U67" s="57" t="str">
        <f t="shared" si="62"/>
        <v/>
      </c>
      <c r="V67" s="57" t="str">
        <f t="shared" si="62"/>
        <v/>
      </c>
      <c r="W67" s="57" t="str">
        <f t="shared" si="62"/>
        <v/>
      </c>
      <c r="X67" s="57" t="str">
        <f t="shared" si="62"/>
        <v/>
      </c>
      <c r="Y67" s="57" t="str">
        <f t="shared" si="62"/>
        <v/>
      </c>
      <c r="Z67" s="57" t="str">
        <f t="shared" si="62"/>
        <v/>
      </c>
      <c r="AA67" s="57" t="str">
        <f t="shared" si="62"/>
        <v/>
      </c>
      <c r="AB67" s="57" t="str">
        <f t="shared" si="62"/>
        <v/>
      </c>
      <c r="AC67" s="57" t="str">
        <f t="shared" si="62"/>
        <v/>
      </c>
      <c r="AD67" s="57" t="str">
        <f t="shared" si="62"/>
        <v/>
      </c>
      <c r="AE67" s="57" t="str">
        <f t="shared" si="62"/>
        <v/>
      </c>
      <c r="AF67" s="57" t="str">
        <f t="shared" si="62"/>
        <v/>
      </c>
      <c r="AG67" s="57" t="str">
        <f t="shared" si="62"/>
        <v/>
      </c>
      <c r="AH67" s="57" t="str">
        <f t="shared" si="62"/>
        <v/>
      </c>
      <c r="AI67" s="57" t="str">
        <f t="shared" si="62"/>
        <v/>
      </c>
      <c r="AJ67" s="57" t="str">
        <f t="shared" si="62"/>
        <v/>
      </c>
      <c r="AK67" s="57" t="str">
        <f t="shared" si="62"/>
        <v/>
      </c>
      <c r="AL67" s="57" t="str">
        <f t="shared" si="62"/>
        <v/>
      </c>
      <c r="AM67" s="57" t="str">
        <f t="shared" si="62"/>
        <v/>
      </c>
      <c r="AN67" s="57" t="str">
        <f t="shared" si="62"/>
        <v/>
      </c>
      <c r="AO67" s="57" t="str">
        <f t="shared" si="62"/>
        <v/>
      </c>
      <c r="AP67" s="57" t="str">
        <f t="shared" si="62"/>
        <v/>
      </c>
      <c r="AQ67" s="57" t="str">
        <f t="shared" si="62"/>
        <v/>
      </c>
      <c r="AR67" s="57" t="str">
        <f t="shared" si="62"/>
        <v/>
      </c>
      <c r="AS67" s="57" t="str">
        <f t="shared" si="62"/>
        <v/>
      </c>
      <c r="AT67" s="57" t="str">
        <f t="shared" si="62"/>
        <v/>
      </c>
      <c r="AU67" s="57" t="str">
        <f t="shared" si="62"/>
        <v/>
      </c>
      <c r="AV67" s="57" t="str">
        <f t="shared" si="62"/>
        <v>■</v>
      </c>
    </row>
    <row r="68" ht="15.7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</row>
    <row r="69" ht="15.7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</row>
    <row r="70" ht="15.7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</row>
    <row r="71" ht="15.7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</row>
    <row r="72" ht="15.7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</row>
    <row r="73" ht="15.7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</row>
    <row r="74" ht="15.7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</row>
    <row r="75" ht="15.7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</row>
    <row r="76" ht="15.7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</row>
    <row r="77" ht="15.7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</row>
    <row r="78" ht="15.7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</row>
    <row r="79" ht="15.7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</row>
    <row r="80" ht="15.7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</row>
    <row r="81" ht="15.7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</row>
    <row r="82" ht="15.7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</row>
    <row r="83" ht="15.7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</row>
    <row r="84" ht="15.7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</row>
    <row r="85" ht="15.7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</row>
    <row r="86" ht="15.7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</row>
    <row r="87" ht="15.7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</row>
    <row r="88" ht="15.7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</row>
    <row r="89" ht="15.7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</row>
    <row r="90" ht="15.7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</row>
    <row r="91" ht="15.7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</row>
    <row r="92" ht="15.7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</row>
    <row r="93" ht="15.7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</row>
    <row r="94" ht="15.7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</row>
    <row r="95" ht="15.7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</row>
    <row r="96" ht="15.7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</row>
    <row r="97" ht="15.7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</row>
    <row r="98" ht="15.7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</row>
    <row r="99" ht="15.7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</row>
    <row r="100" ht="15.7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</row>
    <row r="101" ht="15.7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</row>
    <row r="102" ht="15.7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</row>
    <row r="103" ht="15.7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</row>
    <row r="104" ht="15.7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</row>
    <row r="105" ht="15.7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</row>
    <row r="106" ht="15.7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</row>
    <row r="107" ht="15.7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</row>
    <row r="108" ht="15.7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</row>
    <row r="109" ht="15.7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</row>
    <row r="110" ht="15.7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</row>
    <row r="111" ht="15.7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</row>
    <row r="112" ht="15.7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</row>
    <row r="113" ht="15.7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</row>
    <row r="114" ht="15.7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</row>
    <row r="115" ht="15.7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</row>
    <row r="116" ht="15.7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</row>
    <row r="117" ht="15.7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</row>
    <row r="118" ht="15.7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</row>
    <row r="119" ht="15.7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</row>
    <row r="120" ht="15.7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</row>
    <row r="121" ht="15.7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</row>
    <row r="122" ht="15.7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</row>
    <row r="123" ht="15.7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</row>
    <row r="124" ht="15.7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</row>
    <row r="125" ht="15.7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</row>
    <row r="126" ht="15.7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</row>
    <row r="127" ht="15.7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</row>
    <row r="128" ht="15.7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</row>
    <row r="129" ht="15.7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</row>
    <row r="130" ht="15.7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</row>
    <row r="131" ht="15.7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</row>
    <row r="132" ht="15.7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</row>
    <row r="133" ht="15.7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</row>
    <row r="134" ht="15.7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</row>
    <row r="135" ht="15.7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</row>
    <row r="136" ht="15.7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</row>
    <row r="137" ht="15.7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</row>
    <row r="138" ht="15.7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</row>
    <row r="139" ht="15.7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</row>
    <row r="140" ht="15.7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</row>
    <row r="141" ht="15.7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</row>
    <row r="142" ht="15.7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</row>
    <row r="143" ht="15.7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</row>
    <row r="144" ht="15.7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</row>
    <row r="145" ht="15.7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</row>
    <row r="146" ht="15.7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</row>
    <row r="147" ht="15.7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</row>
    <row r="148" ht="15.7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</row>
    <row r="149" ht="15.7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</row>
    <row r="150" ht="15.7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</row>
    <row r="151" ht="15.7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</row>
    <row r="152" ht="15.7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</row>
    <row r="153" ht="15.7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</row>
    <row r="154" ht="15.7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</row>
    <row r="155" ht="15.7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</row>
    <row r="156" ht="15.7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</row>
    <row r="157" ht="15.7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</row>
    <row r="158" ht="15.7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</row>
    <row r="159" ht="15.7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</row>
    <row r="160" ht="15.7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</row>
    <row r="161" ht="15.7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</row>
    <row r="162" ht="15.7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</row>
    <row r="163" ht="15.7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</row>
    <row r="164" ht="15.7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</row>
    <row r="165" ht="15.7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</row>
    <row r="166" ht="15.7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</row>
    <row r="167" ht="15.7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</row>
    <row r="168" ht="15.7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</row>
    <row r="169" ht="15.7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</row>
    <row r="170" ht="15.7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</row>
    <row r="171" ht="15.7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</row>
    <row r="172" ht="15.7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</row>
    <row r="173" ht="15.7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</row>
    <row r="174" ht="15.7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</row>
    <row r="175" ht="15.7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</row>
    <row r="176" ht="15.7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</row>
    <row r="177" ht="15.7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</row>
    <row r="178" ht="15.7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</row>
    <row r="179" ht="15.7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</row>
    <row r="180" ht="15.7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</row>
    <row r="181" ht="15.7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</row>
    <row r="182" ht="15.7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</row>
    <row r="183" ht="15.7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</row>
    <row r="184" ht="15.7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</row>
    <row r="185" ht="15.7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</row>
    <row r="186" ht="15.7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</row>
    <row r="187" ht="15.7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</row>
    <row r="188" ht="15.7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</row>
    <row r="189" ht="15.7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</row>
    <row r="190" ht="15.7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</row>
    <row r="191" ht="15.7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</row>
    <row r="192" ht="15.7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</row>
    <row r="193" ht="15.7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</row>
    <row r="194" ht="15.7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</row>
    <row r="195" ht="15.7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</row>
    <row r="196" ht="15.7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</row>
    <row r="197" ht="15.7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</row>
    <row r="198" ht="15.7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</row>
    <row r="199" ht="15.7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</row>
    <row r="200" ht="15.7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</row>
    <row r="201" ht="15.7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</row>
    <row r="202" ht="15.7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</row>
    <row r="203" ht="15.7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</row>
    <row r="204" ht="15.7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</row>
    <row r="205" ht="15.7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</row>
    <row r="206" ht="15.7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</row>
    <row r="207" ht="15.7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</row>
    <row r="208" ht="15.7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</row>
    <row r="209" ht="15.7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</row>
    <row r="210" ht="15.7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</row>
    <row r="211" ht="15.7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</row>
    <row r="212" ht="15.7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</row>
    <row r="213" ht="15.7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</row>
    <row r="214" ht="15.7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</row>
    <row r="215" ht="15.7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</row>
    <row r="216" ht="15.7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</row>
    <row r="217" ht="15.7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</row>
    <row r="218" ht="15.7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</row>
    <row r="219" ht="15.7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</row>
    <row r="220" ht="15.7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</row>
    <row r="221" ht="15.7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</row>
    <row r="222" ht="15.7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</row>
    <row r="223" ht="15.7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</row>
    <row r="224" ht="15.7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</row>
    <row r="225" ht="15.7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</row>
    <row r="226" ht="15.7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</row>
    <row r="227" ht="15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</row>
    <row r="228" ht="15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</row>
    <row r="229" ht="15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</row>
    <row r="230" ht="15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</row>
    <row r="231" ht="15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</row>
    <row r="232" ht="15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</row>
    <row r="233" ht="15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</row>
    <row r="234" ht="15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</row>
    <row r="235" ht="15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</row>
    <row r="236" ht="15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</row>
    <row r="237" ht="15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</row>
    <row r="238" ht="15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</row>
    <row r="239" ht="15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</row>
    <row r="240" ht="15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</row>
    <row r="241" ht="15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</row>
    <row r="242" ht="15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</row>
    <row r="243" ht="15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</row>
    <row r="244" ht="15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</row>
    <row r="245" ht="15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</row>
    <row r="246" ht="15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</row>
    <row r="247" ht="15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</row>
    <row r="248" ht="15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</row>
    <row r="249" ht="15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</row>
    <row r="250" ht="15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</row>
    <row r="251" ht="15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</row>
    <row r="252" ht="15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</row>
    <row r="253" ht="15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</row>
    <row r="254" ht="15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</row>
    <row r="255" ht="15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</row>
    <row r="256" ht="15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</row>
    <row r="257" ht="15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</row>
    <row r="258" ht="15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</row>
    <row r="259" ht="15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</row>
    <row r="260" ht="15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</row>
    <row r="261" ht="15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</row>
    <row r="262" ht="15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</row>
    <row r="263" ht="15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</row>
    <row r="264" ht="15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</row>
    <row r="265" ht="15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</row>
    <row r="266" ht="15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</row>
    <row r="267" ht="15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</row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AV1"/>
    <mergeCell ref="A2:AV2"/>
    <mergeCell ref="A3:AV3"/>
    <mergeCell ref="K4:AV4"/>
  </mergeCells>
  <conditionalFormatting sqref="K7:AV67">
    <cfRule type="containsText" dxfId="5" priority="1" operator="containsText" text="■">
      <formula>NOT(ISERROR(SEARCH(("■"),(K7))))</formula>
    </cfRule>
  </conditionalFormatting>
  <conditionalFormatting sqref="K6:AV6">
    <cfRule type="containsText" dxfId="6" priority="2" operator="containsText" text="■">
      <formula>NOT(ISERROR(SEARCH(("■"),(K6))))</formula>
    </cfRule>
  </conditionalFormatting>
  <conditionalFormatting sqref="F6:F67">
    <cfRule type="containsText" dxfId="0" priority="3" operator="containsText" text="대기">
      <formula>NOT(ISERROR(SEARCH(("대기"),(F6))))</formula>
    </cfRule>
  </conditionalFormatting>
  <conditionalFormatting sqref="F6:F67">
    <cfRule type="containsText" dxfId="1" priority="4" operator="containsText" text="진행중">
      <formula>NOT(ISERROR(SEARCH(("진행중"),(F6))))</formula>
    </cfRule>
  </conditionalFormatting>
  <conditionalFormatting sqref="F6:F67">
    <cfRule type="containsText" dxfId="2" priority="5" operator="containsText" text="검토">
      <formula>NOT(ISERROR(SEARCH(("검토"),(F6))))</formula>
    </cfRule>
  </conditionalFormatting>
  <conditionalFormatting sqref="F6:F67">
    <cfRule type="containsText" dxfId="3" priority="6" operator="containsText" text="완료">
      <formula>NOT(ISERROR(SEARCH(("완료"),(F6))))</formula>
    </cfRule>
  </conditionalFormatting>
  <conditionalFormatting sqref="F6:F67">
    <cfRule type="containsText" dxfId="4" priority="7" operator="containsText" text="보류">
      <formula>NOT(ISERROR(SEARCH(("보류"),(F6))))</formula>
    </cfRule>
  </conditionalFormatting>
  <conditionalFormatting sqref="F6:F67">
    <cfRule type="containsText" dxfId="7" priority="8" operator="containsText" text="확정">
      <formula>NOT(ISERROR(SEARCH(("확정"),(F6))))</formula>
    </cfRule>
  </conditionalFormatting>
  <dataValidations>
    <dataValidation type="list" allowBlank="1" sqref="F6:F67">
      <formula1>"대기,진행중,검토,완료,보류,확정"</formula1>
    </dataValidation>
    <dataValidation type="list" allowBlank="1" sqref="A6:A67">
      <formula1>"일정,기획 및 설계,데이터 수집·전처리·DB,AI·NLP 분석,프로토타입·중간발표,운영 분석 엔진,Agent·화면·리포트,통합·테스트,최종 발표 준비"</formula1>
    </dataValidation>
    <dataValidation type="list" allowBlank="1" sqref="E6:E67">
      <formula1>"PM,전원,PM·A,A,B·C,C,C·D,C·B,D,B·D,PM·전원,B,A·B,D·B,A·PM,A·B·C·D,B·C·D"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4.0"/>
    <col customWidth="1" min="2" max="2" width="42.0"/>
    <col customWidth="1" min="3" max="4" width="15.0"/>
    <col customWidth="1" min="5" max="5" width="12.0"/>
    <col customWidth="1" min="6" max="6" width="30.0"/>
    <col customWidth="1" min="7" max="7" width="13.0"/>
    <col customWidth="1" min="8" max="8" width="42.0"/>
    <col customWidth="1" min="9" max="26" width="12.57"/>
  </cols>
  <sheetData>
    <row r="1" ht="33.75" customHeight="1">
      <c r="A1" s="2" t="s">
        <v>1</v>
      </c>
      <c r="B1" s="5"/>
      <c r="C1" s="5"/>
      <c r="D1" s="5"/>
      <c r="E1" s="5"/>
      <c r="F1" s="5"/>
      <c r="G1" s="5"/>
      <c r="H1" s="7"/>
    </row>
    <row r="2" ht="22.5" customHeight="1">
      <c r="A2" s="10" t="s">
        <v>9</v>
      </c>
    </row>
    <row r="3" ht="22.5" customHeight="1">
      <c r="A3" s="11" t="s">
        <v>11</v>
      </c>
      <c r="B3" s="5"/>
      <c r="C3" s="5"/>
      <c r="D3" s="5"/>
      <c r="E3" s="5"/>
      <c r="F3" s="5"/>
      <c r="G3" s="5"/>
      <c r="H3" s="7"/>
    </row>
    <row r="4">
      <c r="A4" s="13"/>
      <c r="B4" s="13"/>
      <c r="C4" s="13"/>
      <c r="D4" s="13"/>
      <c r="E4" s="13"/>
      <c r="F4" s="13"/>
      <c r="G4" s="13"/>
      <c r="H4" s="13"/>
    </row>
    <row r="5" ht="32.25" customHeight="1">
      <c r="A5" s="15" t="s">
        <v>0</v>
      </c>
      <c r="B5" s="15" t="s">
        <v>33</v>
      </c>
      <c r="C5" s="15" t="s">
        <v>36</v>
      </c>
      <c r="D5" s="15" t="s">
        <v>38</v>
      </c>
      <c r="E5" s="15" t="s">
        <v>40</v>
      </c>
      <c r="F5" s="15" t="s">
        <v>4</v>
      </c>
      <c r="G5" s="15" t="s">
        <v>5</v>
      </c>
      <c r="H5" s="15" t="s">
        <v>45</v>
      </c>
    </row>
    <row r="6" ht="30.0" customHeight="1">
      <c r="A6" s="18" t="s">
        <v>48</v>
      </c>
      <c r="B6" s="19" t="s">
        <v>52</v>
      </c>
      <c r="C6" s="20">
        <v>46219.0</v>
      </c>
      <c r="D6" s="21">
        <v>46218.0</v>
      </c>
      <c r="E6" s="22" t="s">
        <v>58</v>
      </c>
      <c r="F6" s="22" t="s">
        <v>8</v>
      </c>
      <c r="G6" s="28" t="s">
        <v>29</v>
      </c>
      <c r="H6" s="19" t="s">
        <v>67</v>
      </c>
    </row>
    <row r="7" ht="30.0" customHeight="1">
      <c r="A7" s="18" t="s">
        <v>48</v>
      </c>
      <c r="B7" s="30" t="s">
        <v>69</v>
      </c>
      <c r="C7" s="20">
        <v>46219.0</v>
      </c>
      <c r="D7" s="21">
        <v>46218.0</v>
      </c>
      <c r="E7" s="22" t="s">
        <v>58</v>
      </c>
      <c r="F7" s="22" t="s">
        <v>8</v>
      </c>
      <c r="G7" s="28" t="s">
        <v>29</v>
      </c>
      <c r="H7" s="19" t="s">
        <v>72</v>
      </c>
    </row>
    <row r="8" ht="30.0" customHeight="1">
      <c r="A8" s="18" t="s">
        <v>48</v>
      </c>
      <c r="B8" s="19" t="s">
        <v>73</v>
      </c>
      <c r="C8" s="20">
        <v>46227.0</v>
      </c>
      <c r="D8" s="21">
        <v>46226.0</v>
      </c>
      <c r="E8" s="22" t="s">
        <v>58</v>
      </c>
      <c r="F8" s="22" t="s">
        <v>8</v>
      </c>
      <c r="G8" s="28" t="s">
        <v>29</v>
      </c>
      <c r="H8" s="19" t="s">
        <v>77</v>
      </c>
    </row>
    <row r="9" ht="30.0" customHeight="1">
      <c r="A9" s="18" t="s">
        <v>79</v>
      </c>
      <c r="B9" s="19" t="s">
        <v>80</v>
      </c>
      <c r="C9" s="20">
        <v>46227.0</v>
      </c>
      <c r="D9" s="21">
        <v>46226.0</v>
      </c>
      <c r="E9" s="22" t="s">
        <v>82</v>
      </c>
      <c r="F9" s="22" t="s">
        <v>14</v>
      </c>
      <c r="G9" s="28" t="s">
        <v>29</v>
      </c>
      <c r="H9" s="19" t="s">
        <v>84</v>
      </c>
    </row>
    <row r="10" ht="30.0" customHeight="1">
      <c r="A10" s="18" t="s">
        <v>48</v>
      </c>
      <c r="B10" s="19" t="s">
        <v>85</v>
      </c>
      <c r="C10" s="20">
        <v>46227.0</v>
      </c>
      <c r="D10" s="21">
        <v>46226.0</v>
      </c>
      <c r="E10" s="22" t="s">
        <v>86</v>
      </c>
      <c r="F10" s="22" t="s">
        <v>27</v>
      </c>
      <c r="G10" s="28" t="s">
        <v>29</v>
      </c>
      <c r="H10" s="19" t="s">
        <v>89</v>
      </c>
    </row>
    <row r="11" ht="30.0" customHeight="1">
      <c r="A11" s="18" t="s">
        <v>79</v>
      </c>
      <c r="B11" s="19" t="s">
        <v>90</v>
      </c>
      <c r="C11" s="20">
        <v>46234.0</v>
      </c>
      <c r="D11" s="21">
        <v>46233.0</v>
      </c>
      <c r="E11" s="22" t="s">
        <v>93</v>
      </c>
      <c r="F11" s="22" t="s">
        <v>94</v>
      </c>
      <c r="G11" s="28" t="s">
        <v>29</v>
      </c>
      <c r="H11" s="30" t="s">
        <v>96</v>
      </c>
    </row>
    <row r="12" ht="30.0" customHeight="1">
      <c r="A12" s="18" t="s">
        <v>98</v>
      </c>
      <c r="B12" s="19" t="s">
        <v>99</v>
      </c>
      <c r="C12" s="20">
        <v>46234.0</v>
      </c>
      <c r="D12" s="21">
        <v>46233.0</v>
      </c>
      <c r="E12" s="22" t="s">
        <v>102</v>
      </c>
      <c r="F12" s="22" t="s">
        <v>14</v>
      </c>
      <c r="G12" s="28" t="s">
        <v>29</v>
      </c>
      <c r="H12" s="19" t="s">
        <v>105</v>
      </c>
    </row>
    <row r="13" ht="30.0" customHeight="1">
      <c r="A13" s="18" t="s">
        <v>106</v>
      </c>
      <c r="B13" s="19" t="s">
        <v>107</v>
      </c>
      <c r="C13" s="20">
        <v>46240.0</v>
      </c>
      <c r="D13" s="21">
        <v>46239.0</v>
      </c>
      <c r="E13" s="22" t="s">
        <v>108</v>
      </c>
      <c r="F13" s="22" t="s">
        <v>50</v>
      </c>
      <c r="G13" s="28" t="s">
        <v>29</v>
      </c>
      <c r="H13" s="30" t="s">
        <v>111</v>
      </c>
    </row>
    <row r="14" ht="30.0" customHeight="1">
      <c r="A14" s="18" t="s">
        <v>113</v>
      </c>
      <c r="B14" s="19" t="s">
        <v>114</v>
      </c>
      <c r="C14" s="20">
        <v>46241.0</v>
      </c>
      <c r="D14" s="21">
        <v>46239.0</v>
      </c>
      <c r="E14" s="22" t="s">
        <v>116</v>
      </c>
      <c r="F14" s="22" t="s">
        <v>17</v>
      </c>
      <c r="G14" s="28" t="s">
        <v>29</v>
      </c>
      <c r="H14" s="30" t="s">
        <v>117</v>
      </c>
    </row>
    <row r="15" ht="30.0" customHeight="1">
      <c r="A15" s="18" t="s">
        <v>113</v>
      </c>
      <c r="B15" s="19" t="s">
        <v>118</v>
      </c>
      <c r="C15" s="20">
        <v>46241.0</v>
      </c>
      <c r="D15" s="21">
        <v>46239.0</v>
      </c>
      <c r="E15" s="22" t="s">
        <v>116</v>
      </c>
      <c r="F15" s="22" t="s">
        <v>17</v>
      </c>
      <c r="G15" s="28" t="s">
        <v>29</v>
      </c>
      <c r="H15" s="19" t="s">
        <v>120</v>
      </c>
    </row>
    <row r="16" ht="30.0" customHeight="1">
      <c r="A16" s="18" t="s">
        <v>113</v>
      </c>
      <c r="B16" s="19" t="s">
        <v>121</v>
      </c>
      <c r="C16" s="20">
        <v>46241.0</v>
      </c>
      <c r="D16" s="21">
        <v>46239.0</v>
      </c>
      <c r="E16" s="22" t="s">
        <v>122</v>
      </c>
      <c r="F16" s="22" t="s">
        <v>46</v>
      </c>
      <c r="G16" s="28" t="s">
        <v>29</v>
      </c>
      <c r="H16" s="19" t="s">
        <v>123</v>
      </c>
    </row>
    <row r="17" ht="30.0" customHeight="1">
      <c r="A17" s="18" t="s">
        <v>113</v>
      </c>
      <c r="B17" s="30" t="s">
        <v>124</v>
      </c>
      <c r="C17" s="20">
        <v>46248.0</v>
      </c>
      <c r="D17" s="21">
        <v>46247.0</v>
      </c>
      <c r="E17" s="22" t="s">
        <v>127</v>
      </c>
      <c r="F17" s="22" t="s">
        <v>129</v>
      </c>
      <c r="G17" s="28" t="s">
        <v>29</v>
      </c>
      <c r="H17" s="19" t="s">
        <v>132</v>
      </c>
    </row>
    <row r="18" ht="30.0" customHeight="1">
      <c r="A18" s="18" t="s">
        <v>113</v>
      </c>
      <c r="B18" s="30" t="s">
        <v>133</v>
      </c>
      <c r="C18" s="20">
        <v>46248.0</v>
      </c>
      <c r="D18" s="21">
        <v>46247.0</v>
      </c>
      <c r="E18" s="22" t="s">
        <v>134</v>
      </c>
      <c r="F18" s="22" t="s">
        <v>136</v>
      </c>
      <c r="G18" s="28" t="s">
        <v>29</v>
      </c>
      <c r="H18" s="30" t="s">
        <v>137</v>
      </c>
    </row>
    <row r="19" ht="30.0" customHeight="1">
      <c r="A19" s="18" t="s">
        <v>113</v>
      </c>
      <c r="B19" s="19" t="s">
        <v>138</v>
      </c>
      <c r="C19" s="20">
        <v>46248.0</v>
      </c>
      <c r="D19" s="21">
        <v>46247.0</v>
      </c>
      <c r="E19" s="22" t="s">
        <v>116</v>
      </c>
      <c r="F19" s="22" t="s">
        <v>17</v>
      </c>
      <c r="G19" s="28" t="s">
        <v>29</v>
      </c>
      <c r="H19" s="19" t="s">
        <v>140</v>
      </c>
    </row>
    <row r="20" ht="30.0" customHeight="1">
      <c r="A20" s="18" t="s">
        <v>142</v>
      </c>
      <c r="B20" s="19" t="s">
        <v>144</v>
      </c>
      <c r="C20" s="20">
        <v>46255.0</v>
      </c>
      <c r="D20" s="21">
        <v>46254.0</v>
      </c>
      <c r="E20" s="22" t="s">
        <v>145</v>
      </c>
      <c r="F20" s="22" t="s">
        <v>129</v>
      </c>
      <c r="G20" s="28" t="s">
        <v>29</v>
      </c>
      <c r="H20" s="30" t="s">
        <v>147</v>
      </c>
    </row>
    <row r="21" ht="30.0" customHeight="1">
      <c r="A21" s="18" t="s">
        <v>148</v>
      </c>
      <c r="B21" s="19" t="s">
        <v>149</v>
      </c>
      <c r="C21" s="20">
        <v>46255.0</v>
      </c>
      <c r="D21" s="21">
        <v>46254.0</v>
      </c>
      <c r="E21" s="22" t="s">
        <v>152</v>
      </c>
      <c r="F21" s="22" t="s">
        <v>153</v>
      </c>
      <c r="G21" s="28" t="s">
        <v>29</v>
      </c>
      <c r="H21" s="30" t="s">
        <v>154</v>
      </c>
    </row>
    <row r="22" ht="30.0" customHeight="1">
      <c r="A22" s="18" t="s">
        <v>148</v>
      </c>
      <c r="B22" s="19" t="s">
        <v>157</v>
      </c>
      <c r="C22" s="20">
        <v>46262.0</v>
      </c>
      <c r="D22" s="21">
        <v>46261.0</v>
      </c>
      <c r="E22" s="22" t="s">
        <v>158</v>
      </c>
      <c r="F22" s="22" t="s">
        <v>160</v>
      </c>
      <c r="G22" s="28" t="s">
        <v>29</v>
      </c>
      <c r="H22" s="30" t="s">
        <v>163</v>
      </c>
    </row>
    <row r="23" ht="30.0" customHeight="1">
      <c r="A23" s="18" t="s">
        <v>142</v>
      </c>
      <c r="B23" s="19" t="s">
        <v>165</v>
      </c>
      <c r="C23" s="20">
        <v>46262.0</v>
      </c>
      <c r="D23" s="21">
        <v>46261.0</v>
      </c>
      <c r="E23" s="22" t="s">
        <v>167</v>
      </c>
      <c r="F23" s="22" t="s">
        <v>50</v>
      </c>
      <c r="G23" s="28" t="s">
        <v>29</v>
      </c>
      <c r="H23" s="30" t="s">
        <v>170</v>
      </c>
    </row>
    <row r="24" ht="30.0" customHeight="1">
      <c r="A24" s="18" t="s">
        <v>106</v>
      </c>
      <c r="B24" s="19" t="s">
        <v>173</v>
      </c>
      <c r="C24" s="20">
        <v>46268.0</v>
      </c>
      <c r="D24" s="21">
        <v>46267.0</v>
      </c>
      <c r="E24" s="22" t="s">
        <v>175</v>
      </c>
      <c r="F24" s="22" t="s">
        <v>50</v>
      </c>
      <c r="G24" s="28" t="s">
        <v>29</v>
      </c>
      <c r="H24" s="30" t="s">
        <v>178</v>
      </c>
    </row>
    <row r="25" ht="30.0" customHeight="1">
      <c r="A25" s="18" t="s">
        <v>106</v>
      </c>
      <c r="B25" s="19" t="s">
        <v>180</v>
      </c>
      <c r="C25" s="20">
        <v>46268.0</v>
      </c>
      <c r="D25" s="21">
        <v>46267.0</v>
      </c>
      <c r="E25" s="22" t="s">
        <v>182</v>
      </c>
      <c r="F25" s="22" t="s">
        <v>50</v>
      </c>
      <c r="G25" s="28" t="s">
        <v>29</v>
      </c>
      <c r="H25" s="19" t="s">
        <v>184</v>
      </c>
    </row>
    <row r="26" ht="30.0" customHeight="1">
      <c r="A26" s="58" t="s">
        <v>106</v>
      </c>
      <c r="B26" s="59" t="s">
        <v>187</v>
      </c>
      <c r="C26" s="60">
        <v>46268.0</v>
      </c>
      <c r="D26" s="61">
        <v>46267.0</v>
      </c>
      <c r="E26" s="63" t="s">
        <v>190</v>
      </c>
      <c r="F26" s="63" t="s">
        <v>193</v>
      </c>
      <c r="G26" s="28" t="s">
        <v>29</v>
      </c>
      <c r="H26" s="65" t="s">
        <v>194</v>
      </c>
    </row>
    <row r="27" ht="15.75" customHeight="1">
      <c r="A27" s="13"/>
      <c r="B27" s="13"/>
      <c r="C27" s="13"/>
      <c r="D27" s="13"/>
      <c r="E27" s="13"/>
      <c r="F27" s="13"/>
      <c r="G27" s="13"/>
      <c r="H27" s="13"/>
    </row>
    <row r="28" ht="15.75" customHeight="1">
      <c r="A28" s="13"/>
      <c r="B28" s="13"/>
      <c r="C28" s="13"/>
      <c r="D28" s="13"/>
      <c r="E28" s="13"/>
      <c r="F28" s="13"/>
      <c r="G28" s="13"/>
      <c r="H28" s="13"/>
    </row>
    <row r="29" ht="15.75" customHeight="1">
      <c r="A29" s="13"/>
      <c r="B29" s="13"/>
      <c r="C29" s="13"/>
      <c r="D29" s="13"/>
      <c r="E29" s="13"/>
      <c r="F29" s="13"/>
      <c r="G29" s="13"/>
      <c r="H29" s="13"/>
    </row>
    <row r="30" ht="15.75" customHeight="1">
      <c r="A30" s="13"/>
      <c r="B30" s="13"/>
      <c r="C30" s="13"/>
      <c r="D30" s="13"/>
      <c r="E30" s="13"/>
      <c r="F30" s="13"/>
      <c r="G30" s="13"/>
      <c r="H30" s="13"/>
    </row>
    <row r="31" ht="15.75" customHeight="1">
      <c r="A31" s="13"/>
      <c r="B31" s="13"/>
      <c r="C31" s="13"/>
      <c r="D31" s="13"/>
      <c r="E31" s="13"/>
      <c r="F31" s="13"/>
      <c r="G31" s="13"/>
      <c r="H31" s="13"/>
    </row>
    <row r="32" ht="15.75" customHeight="1">
      <c r="A32" s="13"/>
      <c r="B32" s="13"/>
      <c r="C32" s="13"/>
      <c r="D32" s="13"/>
      <c r="E32" s="13"/>
      <c r="F32" s="13"/>
      <c r="G32" s="13"/>
      <c r="H32" s="13"/>
    </row>
    <row r="33" ht="15.75" customHeight="1">
      <c r="A33" s="13"/>
      <c r="B33" s="13"/>
      <c r="C33" s="13"/>
      <c r="D33" s="13"/>
      <c r="E33" s="13"/>
      <c r="F33" s="13"/>
      <c r="G33" s="13"/>
      <c r="H33" s="13"/>
    </row>
    <row r="34" ht="15.75" customHeight="1">
      <c r="A34" s="13"/>
      <c r="B34" s="13"/>
      <c r="C34" s="13"/>
      <c r="D34" s="13"/>
      <c r="E34" s="13"/>
      <c r="F34" s="13"/>
      <c r="G34" s="13"/>
      <c r="H34" s="13"/>
    </row>
    <row r="35" ht="15.75" customHeight="1">
      <c r="A35" s="13"/>
      <c r="B35" s="13"/>
      <c r="C35" s="13"/>
      <c r="D35" s="13"/>
      <c r="E35" s="13"/>
      <c r="F35" s="13"/>
      <c r="G35" s="13"/>
      <c r="H35" s="13"/>
    </row>
    <row r="36" ht="15.75" customHeight="1">
      <c r="A36" s="13"/>
      <c r="B36" s="13"/>
      <c r="C36" s="13"/>
      <c r="D36" s="13"/>
      <c r="E36" s="13"/>
      <c r="F36" s="13"/>
      <c r="G36" s="13"/>
      <c r="H36" s="13"/>
    </row>
    <row r="37" ht="15.75" customHeight="1">
      <c r="A37" s="13"/>
      <c r="B37" s="13"/>
      <c r="C37" s="13"/>
      <c r="D37" s="13"/>
      <c r="E37" s="13"/>
      <c r="F37" s="13"/>
      <c r="G37" s="13"/>
      <c r="H37" s="13"/>
    </row>
    <row r="38" ht="15.75" customHeight="1">
      <c r="A38" s="13"/>
      <c r="B38" s="13"/>
      <c r="C38" s="13"/>
      <c r="D38" s="13"/>
      <c r="E38" s="13"/>
      <c r="F38" s="13"/>
      <c r="G38" s="13"/>
      <c r="H38" s="13"/>
    </row>
    <row r="39" ht="15.75" customHeight="1">
      <c r="A39" s="13"/>
      <c r="B39" s="13"/>
      <c r="C39" s="13"/>
      <c r="D39" s="13"/>
      <c r="E39" s="13"/>
      <c r="F39" s="13"/>
      <c r="G39" s="13"/>
      <c r="H39" s="13"/>
    </row>
    <row r="40" ht="15.75" customHeight="1">
      <c r="A40" s="13"/>
      <c r="B40" s="13"/>
      <c r="C40" s="13"/>
      <c r="D40" s="13"/>
      <c r="E40" s="13"/>
      <c r="F40" s="13"/>
      <c r="G40" s="13"/>
      <c r="H40" s="13"/>
    </row>
    <row r="41" ht="15.75" customHeight="1">
      <c r="A41" s="13"/>
      <c r="B41" s="13"/>
      <c r="C41" s="13"/>
      <c r="D41" s="13"/>
      <c r="E41" s="13"/>
      <c r="F41" s="13"/>
      <c r="G41" s="13"/>
      <c r="H41" s="13"/>
    </row>
    <row r="42" ht="15.75" customHeight="1">
      <c r="A42" s="13"/>
      <c r="B42" s="13"/>
      <c r="C42" s="13"/>
      <c r="D42" s="13"/>
      <c r="E42" s="13"/>
      <c r="F42" s="13"/>
      <c r="G42" s="13"/>
      <c r="H42" s="13"/>
    </row>
    <row r="43" ht="15.75" customHeight="1">
      <c r="A43" s="13"/>
      <c r="B43" s="13"/>
      <c r="C43" s="13"/>
      <c r="D43" s="13"/>
      <c r="E43" s="13"/>
      <c r="F43" s="13"/>
      <c r="G43" s="13"/>
      <c r="H43" s="13"/>
    </row>
    <row r="44" ht="15.75" customHeight="1">
      <c r="A44" s="13"/>
      <c r="B44" s="13"/>
      <c r="C44" s="13"/>
      <c r="D44" s="13"/>
      <c r="E44" s="13"/>
      <c r="F44" s="13"/>
      <c r="G44" s="13"/>
      <c r="H44" s="13"/>
    </row>
    <row r="45" ht="15.75" customHeight="1">
      <c r="A45" s="13"/>
      <c r="B45" s="13"/>
      <c r="C45" s="13"/>
      <c r="D45" s="13"/>
      <c r="E45" s="13"/>
      <c r="F45" s="13"/>
      <c r="G45" s="13"/>
      <c r="H45" s="13"/>
    </row>
    <row r="46" ht="15.75" customHeight="1">
      <c r="A46" s="13"/>
      <c r="B46" s="13"/>
      <c r="C46" s="13"/>
      <c r="D46" s="13"/>
      <c r="E46" s="13"/>
      <c r="F46" s="13"/>
      <c r="G46" s="13"/>
      <c r="H46" s="13"/>
    </row>
    <row r="47" ht="15.75" customHeight="1">
      <c r="A47" s="13"/>
      <c r="B47" s="13"/>
      <c r="C47" s="13"/>
      <c r="D47" s="13"/>
      <c r="E47" s="13"/>
      <c r="F47" s="13"/>
      <c r="G47" s="13"/>
      <c r="H47" s="13"/>
    </row>
    <row r="48" ht="15.75" customHeight="1">
      <c r="A48" s="13"/>
      <c r="B48" s="13"/>
      <c r="C48" s="13"/>
      <c r="D48" s="13"/>
      <c r="E48" s="13"/>
      <c r="F48" s="13"/>
      <c r="G48" s="13"/>
      <c r="H48" s="13"/>
    </row>
    <row r="49" ht="15.75" customHeight="1">
      <c r="A49" s="13"/>
      <c r="B49" s="13"/>
      <c r="C49" s="13"/>
      <c r="D49" s="13"/>
      <c r="E49" s="13"/>
      <c r="F49" s="13"/>
      <c r="G49" s="13"/>
      <c r="H49" s="13"/>
    </row>
    <row r="50" ht="15.75" customHeight="1">
      <c r="A50" s="13"/>
      <c r="B50" s="13"/>
      <c r="C50" s="13"/>
      <c r="D50" s="13"/>
      <c r="E50" s="13"/>
      <c r="F50" s="13"/>
      <c r="G50" s="13"/>
      <c r="H50" s="13"/>
    </row>
    <row r="51" ht="15.75" customHeight="1">
      <c r="A51" s="13"/>
      <c r="B51" s="13"/>
      <c r="C51" s="13"/>
      <c r="D51" s="13"/>
      <c r="E51" s="13"/>
      <c r="F51" s="13"/>
      <c r="G51" s="13"/>
      <c r="H51" s="13"/>
    </row>
    <row r="52" ht="15.75" customHeight="1">
      <c r="A52" s="13"/>
      <c r="B52" s="13"/>
      <c r="C52" s="13"/>
      <c r="D52" s="13"/>
      <c r="E52" s="13"/>
      <c r="F52" s="13"/>
      <c r="G52" s="13"/>
      <c r="H52" s="13"/>
    </row>
    <row r="53" ht="15.75" customHeight="1">
      <c r="A53" s="13"/>
      <c r="B53" s="13"/>
      <c r="C53" s="13"/>
      <c r="D53" s="13"/>
      <c r="E53" s="13"/>
      <c r="F53" s="13"/>
      <c r="G53" s="13"/>
      <c r="H53" s="13"/>
    </row>
    <row r="54" ht="15.75" customHeight="1">
      <c r="A54" s="13"/>
      <c r="B54" s="13"/>
      <c r="C54" s="13"/>
      <c r="D54" s="13"/>
      <c r="E54" s="13"/>
      <c r="F54" s="13"/>
      <c r="G54" s="13"/>
      <c r="H54" s="13"/>
    </row>
    <row r="55" ht="15.75" customHeight="1">
      <c r="A55" s="13"/>
      <c r="B55" s="13"/>
      <c r="C55" s="13"/>
      <c r="D55" s="13"/>
      <c r="E55" s="13"/>
      <c r="F55" s="13"/>
      <c r="G55" s="13"/>
      <c r="H55" s="13"/>
    </row>
    <row r="56" ht="15.75" customHeight="1">
      <c r="A56" s="13"/>
      <c r="B56" s="13"/>
      <c r="C56" s="13"/>
      <c r="D56" s="13"/>
      <c r="E56" s="13"/>
      <c r="F56" s="13"/>
      <c r="G56" s="13"/>
      <c r="H56" s="13"/>
    </row>
    <row r="57" ht="15.75" customHeight="1">
      <c r="A57" s="13"/>
      <c r="B57" s="13"/>
      <c r="C57" s="13"/>
      <c r="D57" s="13"/>
      <c r="E57" s="13"/>
      <c r="F57" s="13"/>
      <c r="G57" s="13"/>
      <c r="H57" s="13"/>
    </row>
    <row r="58" ht="15.75" customHeight="1">
      <c r="A58" s="13"/>
      <c r="B58" s="13"/>
      <c r="C58" s="13"/>
      <c r="D58" s="13"/>
      <c r="E58" s="13"/>
      <c r="F58" s="13"/>
      <c r="G58" s="13"/>
      <c r="H58" s="13"/>
    </row>
    <row r="59" ht="15.75" customHeight="1">
      <c r="A59" s="13"/>
      <c r="B59" s="13"/>
      <c r="C59" s="13"/>
      <c r="D59" s="13"/>
      <c r="E59" s="13"/>
      <c r="F59" s="13"/>
      <c r="G59" s="13"/>
      <c r="H59" s="13"/>
    </row>
    <row r="60" ht="15.75" customHeight="1">
      <c r="A60" s="13"/>
      <c r="B60" s="13"/>
      <c r="C60" s="13"/>
      <c r="D60" s="13"/>
      <c r="E60" s="13"/>
      <c r="F60" s="13"/>
      <c r="G60" s="13"/>
      <c r="H60" s="13"/>
    </row>
    <row r="61" ht="15.75" customHeight="1">
      <c r="A61" s="13"/>
      <c r="B61" s="13"/>
      <c r="C61" s="13"/>
      <c r="D61" s="13"/>
      <c r="E61" s="13"/>
      <c r="F61" s="13"/>
      <c r="G61" s="13"/>
      <c r="H61" s="13"/>
    </row>
    <row r="62" ht="15.75" customHeight="1">
      <c r="A62" s="13"/>
      <c r="B62" s="13"/>
      <c r="C62" s="13"/>
      <c r="D62" s="13"/>
      <c r="E62" s="13"/>
      <c r="F62" s="13"/>
      <c r="G62" s="13"/>
      <c r="H62" s="13"/>
    </row>
    <row r="63" ht="15.75" customHeight="1">
      <c r="A63" s="13"/>
      <c r="B63" s="13"/>
      <c r="C63" s="13"/>
      <c r="D63" s="13"/>
      <c r="E63" s="13"/>
      <c r="F63" s="13"/>
      <c r="G63" s="13"/>
      <c r="H63" s="13"/>
    </row>
    <row r="64" ht="15.75" customHeight="1">
      <c r="A64" s="13"/>
      <c r="B64" s="13"/>
      <c r="C64" s="13"/>
      <c r="D64" s="13"/>
      <c r="E64" s="13"/>
      <c r="F64" s="13"/>
      <c r="G64" s="13"/>
      <c r="H64" s="13"/>
    </row>
    <row r="65" ht="15.75" customHeight="1">
      <c r="A65" s="13"/>
      <c r="B65" s="13"/>
      <c r="C65" s="13"/>
      <c r="D65" s="13"/>
      <c r="E65" s="13"/>
      <c r="F65" s="13"/>
      <c r="G65" s="13"/>
      <c r="H65" s="13"/>
    </row>
    <row r="66" ht="15.75" customHeight="1">
      <c r="A66" s="13"/>
      <c r="B66" s="13"/>
      <c r="C66" s="13"/>
      <c r="D66" s="13"/>
      <c r="E66" s="13"/>
      <c r="F66" s="13"/>
      <c r="G66" s="13"/>
      <c r="H66" s="13"/>
    </row>
    <row r="67" ht="15.75" customHeight="1">
      <c r="A67" s="13"/>
      <c r="B67" s="13"/>
      <c r="C67" s="13"/>
      <c r="D67" s="13"/>
      <c r="E67" s="13"/>
      <c r="F67" s="13"/>
      <c r="G67" s="13"/>
      <c r="H67" s="13"/>
    </row>
    <row r="68" ht="15.75" customHeight="1">
      <c r="A68" s="13"/>
      <c r="B68" s="13"/>
      <c r="C68" s="13"/>
      <c r="D68" s="13"/>
      <c r="E68" s="13"/>
      <c r="F68" s="13"/>
      <c r="G68" s="13"/>
      <c r="H68" s="13"/>
    </row>
    <row r="69" ht="15.75" customHeight="1">
      <c r="A69" s="13"/>
      <c r="B69" s="13"/>
      <c r="C69" s="13"/>
      <c r="D69" s="13"/>
      <c r="E69" s="13"/>
      <c r="F69" s="13"/>
      <c r="G69" s="13"/>
      <c r="H69" s="13"/>
    </row>
    <row r="70" ht="15.75" customHeight="1">
      <c r="A70" s="13"/>
      <c r="B70" s="13"/>
      <c r="C70" s="13"/>
      <c r="D70" s="13"/>
      <c r="E70" s="13"/>
      <c r="F70" s="13"/>
      <c r="G70" s="13"/>
      <c r="H70" s="13"/>
    </row>
    <row r="71" ht="15.75" customHeight="1">
      <c r="A71" s="13"/>
      <c r="B71" s="13"/>
      <c r="C71" s="13"/>
      <c r="D71" s="13"/>
      <c r="E71" s="13"/>
      <c r="F71" s="13"/>
      <c r="G71" s="13"/>
      <c r="H71" s="13"/>
    </row>
    <row r="72" ht="15.75" customHeight="1">
      <c r="A72" s="13"/>
      <c r="B72" s="13"/>
      <c r="C72" s="13"/>
      <c r="D72" s="13"/>
      <c r="E72" s="13"/>
      <c r="F72" s="13"/>
      <c r="G72" s="13"/>
      <c r="H72" s="13"/>
    </row>
    <row r="73" ht="15.75" customHeight="1">
      <c r="A73" s="13"/>
      <c r="B73" s="13"/>
      <c r="C73" s="13"/>
      <c r="D73" s="13"/>
      <c r="E73" s="13"/>
      <c r="F73" s="13"/>
      <c r="G73" s="13"/>
      <c r="H73" s="13"/>
    </row>
    <row r="74" ht="15.75" customHeight="1">
      <c r="A74" s="13"/>
      <c r="B74" s="13"/>
      <c r="C74" s="13"/>
      <c r="D74" s="13"/>
      <c r="E74" s="13"/>
      <c r="F74" s="13"/>
      <c r="G74" s="13"/>
      <c r="H74" s="13"/>
    </row>
    <row r="75" ht="15.75" customHeight="1">
      <c r="A75" s="13"/>
      <c r="B75" s="13"/>
      <c r="C75" s="13"/>
      <c r="D75" s="13"/>
      <c r="E75" s="13"/>
      <c r="F75" s="13"/>
      <c r="G75" s="13"/>
      <c r="H75" s="13"/>
    </row>
    <row r="76" ht="15.75" customHeight="1">
      <c r="A76" s="13"/>
      <c r="B76" s="13"/>
      <c r="C76" s="13"/>
      <c r="D76" s="13"/>
      <c r="E76" s="13"/>
      <c r="F76" s="13"/>
      <c r="G76" s="13"/>
      <c r="H76" s="13"/>
    </row>
    <row r="77" ht="15.75" customHeight="1">
      <c r="A77" s="13"/>
      <c r="B77" s="13"/>
      <c r="C77" s="13"/>
      <c r="D77" s="13"/>
      <c r="E77" s="13"/>
      <c r="F77" s="13"/>
      <c r="G77" s="13"/>
      <c r="H77" s="13"/>
    </row>
    <row r="78" ht="15.75" customHeight="1">
      <c r="A78" s="13"/>
      <c r="B78" s="13"/>
      <c r="C78" s="13"/>
      <c r="D78" s="13"/>
      <c r="E78" s="13"/>
      <c r="F78" s="13"/>
      <c r="G78" s="13"/>
      <c r="H78" s="13"/>
    </row>
    <row r="79" ht="15.75" customHeight="1">
      <c r="A79" s="13"/>
      <c r="B79" s="13"/>
      <c r="C79" s="13"/>
      <c r="D79" s="13"/>
      <c r="E79" s="13"/>
      <c r="F79" s="13"/>
      <c r="G79" s="13"/>
      <c r="H79" s="13"/>
    </row>
    <row r="80" ht="15.75" customHeight="1">
      <c r="A80" s="13"/>
      <c r="B80" s="13"/>
      <c r="C80" s="13"/>
      <c r="D80" s="13"/>
      <c r="E80" s="13"/>
      <c r="F80" s="13"/>
      <c r="G80" s="13"/>
      <c r="H80" s="13"/>
    </row>
    <row r="81" ht="15.75" customHeight="1">
      <c r="A81" s="13"/>
      <c r="B81" s="13"/>
      <c r="C81" s="13"/>
      <c r="D81" s="13"/>
      <c r="E81" s="13"/>
      <c r="F81" s="13"/>
      <c r="G81" s="13"/>
      <c r="H81" s="13"/>
    </row>
    <row r="82" ht="15.75" customHeight="1">
      <c r="A82" s="13"/>
      <c r="B82" s="13"/>
      <c r="C82" s="13"/>
      <c r="D82" s="13"/>
      <c r="E82" s="13"/>
      <c r="F82" s="13"/>
      <c r="G82" s="13"/>
      <c r="H82" s="13"/>
    </row>
    <row r="83" ht="15.75" customHeight="1">
      <c r="A83" s="13"/>
      <c r="B83" s="13"/>
      <c r="C83" s="13"/>
      <c r="D83" s="13"/>
      <c r="E83" s="13"/>
      <c r="F83" s="13"/>
      <c r="G83" s="13"/>
      <c r="H83" s="13"/>
    </row>
    <row r="84" ht="15.75" customHeight="1">
      <c r="A84" s="13"/>
      <c r="B84" s="13"/>
      <c r="C84" s="13"/>
      <c r="D84" s="13"/>
      <c r="E84" s="13"/>
      <c r="F84" s="13"/>
      <c r="G84" s="13"/>
      <c r="H84" s="13"/>
    </row>
    <row r="85" ht="15.75" customHeight="1">
      <c r="A85" s="13"/>
      <c r="B85" s="13"/>
      <c r="C85" s="13"/>
      <c r="D85" s="13"/>
      <c r="E85" s="13"/>
      <c r="F85" s="13"/>
      <c r="G85" s="13"/>
      <c r="H85" s="13"/>
    </row>
    <row r="86" ht="15.75" customHeight="1">
      <c r="A86" s="13"/>
      <c r="B86" s="13"/>
      <c r="C86" s="13"/>
      <c r="D86" s="13"/>
      <c r="E86" s="13"/>
      <c r="F86" s="13"/>
      <c r="G86" s="13"/>
      <c r="H86" s="13"/>
    </row>
    <row r="87" ht="15.75" customHeight="1">
      <c r="A87" s="13"/>
      <c r="B87" s="13"/>
      <c r="C87" s="13"/>
      <c r="D87" s="13"/>
      <c r="E87" s="13"/>
      <c r="F87" s="13"/>
      <c r="G87" s="13"/>
      <c r="H87" s="13"/>
    </row>
    <row r="88" ht="15.75" customHeight="1">
      <c r="A88" s="13"/>
      <c r="B88" s="13"/>
      <c r="C88" s="13"/>
      <c r="D88" s="13"/>
      <c r="E88" s="13"/>
      <c r="F88" s="13"/>
      <c r="G88" s="13"/>
      <c r="H88" s="13"/>
    </row>
    <row r="89" ht="15.75" customHeight="1">
      <c r="A89" s="13"/>
      <c r="B89" s="13"/>
      <c r="C89" s="13"/>
      <c r="D89" s="13"/>
      <c r="E89" s="13"/>
      <c r="F89" s="13"/>
      <c r="G89" s="13"/>
      <c r="H89" s="13"/>
    </row>
    <row r="90" ht="15.75" customHeight="1">
      <c r="A90" s="13"/>
      <c r="B90" s="13"/>
      <c r="C90" s="13"/>
      <c r="D90" s="13"/>
      <c r="E90" s="13"/>
      <c r="F90" s="13"/>
      <c r="G90" s="13"/>
      <c r="H90" s="13"/>
    </row>
    <row r="91" ht="15.75" customHeight="1">
      <c r="A91" s="13"/>
      <c r="B91" s="13"/>
      <c r="C91" s="13"/>
      <c r="D91" s="13"/>
      <c r="E91" s="13"/>
      <c r="F91" s="13"/>
      <c r="G91" s="13"/>
      <c r="H91" s="13"/>
    </row>
    <row r="92" ht="15.75" customHeight="1">
      <c r="A92" s="13"/>
      <c r="B92" s="13"/>
      <c r="C92" s="13"/>
      <c r="D92" s="13"/>
      <c r="E92" s="13"/>
      <c r="F92" s="13"/>
      <c r="G92" s="13"/>
      <c r="H92" s="13"/>
    </row>
    <row r="93" ht="15.75" customHeight="1">
      <c r="A93" s="13"/>
      <c r="B93" s="13"/>
      <c r="C93" s="13"/>
      <c r="D93" s="13"/>
      <c r="E93" s="13"/>
      <c r="F93" s="13"/>
      <c r="G93" s="13"/>
      <c r="H93" s="13"/>
    </row>
    <row r="94" ht="15.75" customHeight="1">
      <c r="A94" s="13"/>
      <c r="B94" s="13"/>
      <c r="C94" s="13"/>
      <c r="D94" s="13"/>
      <c r="E94" s="13"/>
      <c r="F94" s="13"/>
      <c r="G94" s="13"/>
      <c r="H94" s="13"/>
    </row>
    <row r="95" ht="15.75" customHeight="1">
      <c r="A95" s="13"/>
      <c r="B95" s="13"/>
      <c r="C95" s="13"/>
      <c r="D95" s="13"/>
      <c r="E95" s="13"/>
      <c r="F95" s="13"/>
      <c r="G95" s="13"/>
      <c r="H95" s="13"/>
    </row>
    <row r="96" ht="15.75" customHeight="1">
      <c r="A96" s="13"/>
      <c r="B96" s="13"/>
      <c r="C96" s="13"/>
      <c r="D96" s="13"/>
      <c r="E96" s="13"/>
      <c r="F96" s="13"/>
      <c r="G96" s="13"/>
      <c r="H96" s="13"/>
    </row>
    <row r="97" ht="15.75" customHeight="1">
      <c r="A97" s="13"/>
      <c r="B97" s="13"/>
      <c r="C97" s="13"/>
      <c r="D97" s="13"/>
      <c r="E97" s="13"/>
      <c r="F97" s="13"/>
      <c r="G97" s="13"/>
      <c r="H97" s="13"/>
    </row>
    <row r="98" ht="15.75" customHeight="1">
      <c r="A98" s="13"/>
      <c r="B98" s="13"/>
      <c r="C98" s="13"/>
      <c r="D98" s="13"/>
      <c r="E98" s="13"/>
      <c r="F98" s="13"/>
      <c r="G98" s="13"/>
      <c r="H98" s="13"/>
    </row>
    <row r="99" ht="15.75" customHeight="1">
      <c r="A99" s="13"/>
      <c r="B99" s="13"/>
      <c r="C99" s="13"/>
      <c r="D99" s="13"/>
      <c r="E99" s="13"/>
      <c r="F99" s="13"/>
      <c r="G99" s="13"/>
      <c r="H99" s="13"/>
    </row>
    <row r="100" ht="15.75" customHeight="1">
      <c r="A100" s="13"/>
      <c r="B100" s="13"/>
      <c r="C100" s="13"/>
      <c r="D100" s="13"/>
      <c r="E100" s="13"/>
      <c r="F100" s="13"/>
      <c r="G100" s="13"/>
      <c r="H100" s="13"/>
    </row>
    <row r="101" ht="15.75" customHeight="1">
      <c r="A101" s="13"/>
      <c r="B101" s="13"/>
      <c r="C101" s="13"/>
      <c r="D101" s="13"/>
      <c r="E101" s="13"/>
      <c r="F101" s="13"/>
      <c r="G101" s="13"/>
      <c r="H101" s="13"/>
    </row>
    <row r="102" ht="15.75" customHeight="1">
      <c r="A102" s="13"/>
      <c r="B102" s="13"/>
      <c r="C102" s="13"/>
      <c r="D102" s="13"/>
      <c r="E102" s="13"/>
      <c r="F102" s="13"/>
      <c r="G102" s="13"/>
      <c r="H102" s="13"/>
    </row>
    <row r="103" ht="15.75" customHeight="1">
      <c r="A103" s="13"/>
      <c r="B103" s="13"/>
      <c r="C103" s="13"/>
      <c r="D103" s="13"/>
      <c r="E103" s="13"/>
      <c r="F103" s="13"/>
      <c r="G103" s="13"/>
      <c r="H103" s="13"/>
    </row>
    <row r="104" ht="15.75" customHeight="1">
      <c r="A104" s="13"/>
      <c r="B104" s="13"/>
      <c r="C104" s="13"/>
      <c r="D104" s="13"/>
      <c r="E104" s="13"/>
      <c r="F104" s="13"/>
      <c r="G104" s="13"/>
      <c r="H104" s="13"/>
    </row>
    <row r="105" ht="15.75" customHeight="1">
      <c r="A105" s="13"/>
      <c r="B105" s="13"/>
      <c r="C105" s="13"/>
      <c r="D105" s="13"/>
      <c r="E105" s="13"/>
      <c r="F105" s="13"/>
      <c r="G105" s="13"/>
      <c r="H105" s="13"/>
    </row>
    <row r="106" ht="15.75" customHeight="1">
      <c r="A106" s="13"/>
      <c r="B106" s="13"/>
      <c r="C106" s="13"/>
      <c r="D106" s="13"/>
      <c r="E106" s="13"/>
      <c r="F106" s="13"/>
      <c r="G106" s="13"/>
      <c r="H106" s="13"/>
    </row>
    <row r="107" ht="15.75" customHeight="1">
      <c r="A107" s="13"/>
      <c r="B107" s="13"/>
      <c r="C107" s="13"/>
      <c r="D107" s="13"/>
      <c r="E107" s="13"/>
      <c r="F107" s="13"/>
      <c r="G107" s="13"/>
      <c r="H107" s="13"/>
    </row>
    <row r="108" ht="15.75" customHeight="1">
      <c r="A108" s="13"/>
      <c r="B108" s="13"/>
      <c r="C108" s="13"/>
      <c r="D108" s="13"/>
      <c r="E108" s="13"/>
      <c r="F108" s="13"/>
      <c r="G108" s="13"/>
      <c r="H108" s="13"/>
    </row>
    <row r="109" ht="15.75" customHeight="1">
      <c r="A109" s="13"/>
      <c r="B109" s="13"/>
      <c r="C109" s="13"/>
      <c r="D109" s="13"/>
      <c r="E109" s="13"/>
      <c r="F109" s="13"/>
      <c r="G109" s="13"/>
      <c r="H109" s="13"/>
    </row>
    <row r="110" ht="15.75" customHeight="1">
      <c r="A110" s="13"/>
      <c r="B110" s="13"/>
      <c r="C110" s="13"/>
      <c r="D110" s="13"/>
      <c r="E110" s="13"/>
      <c r="F110" s="13"/>
      <c r="G110" s="13"/>
      <c r="H110" s="13"/>
    </row>
    <row r="111" ht="15.75" customHeight="1">
      <c r="A111" s="13"/>
      <c r="B111" s="13"/>
      <c r="C111" s="13"/>
      <c r="D111" s="13"/>
      <c r="E111" s="13"/>
      <c r="F111" s="13"/>
      <c r="G111" s="13"/>
      <c r="H111" s="13"/>
    </row>
    <row r="112" ht="15.75" customHeight="1">
      <c r="A112" s="13"/>
      <c r="B112" s="13"/>
      <c r="C112" s="13"/>
      <c r="D112" s="13"/>
      <c r="E112" s="13"/>
      <c r="F112" s="13"/>
      <c r="G112" s="13"/>
      <c r="H112" s="13"/>
    </row>
    <row r="113" ht="15.75" customHeight="1">
      <c r="A113" s="13"/>
      <c r="B113" s="13"/>
      <c r="C113" s="13"/>
      <c r="D113" s="13"/>
      <c r="E113" s="13"/>
      <c r="F113" s="13"/>
      <c r="G113" s="13"/>
      <c r="H113" s="13"/>
    </row>
    <row r="114" ht="15.75" customHeight="1">
      <c r="A114" s="13"/>
      <c r="B114" s="13"/>
      <c r="C114" s="13"/>
      <c r="D114" s="13"/>
      <c r="E114" s="13"/>
      <c r="F114" s="13"/>
      <c r="G114" s="13"/>
      <c r="H114" s="13"/>
    </row>
    <row r="115" ht="15.75" customHeight="1">
      <c r="A115" s="13"/>
      <c r="B115" s="13"/>
      <c r="C115" s="13"/>
      <c r="D115" s="13"/>
      <c r="E115" s="13"/>
      <c r="F115" s="13"/>
      <c r="G115" s="13"/>
      <c r="H115" s="13"/>
    </row>
    <row r="116" ht="15.75" customHeight="1">
      <c r="A116" s="13"/>
      <c r="B116" s="13"/>
      <c r="C116" s="13"/>
      <c r="D116" s="13"/>
      <c r="E116" s="13"/>
      <c r="F116" s="13"/>
      <c r="G116" s="13"/>
      <c r="H116" s="13"/>
    </row>
    <row r="117" ht="15.75" customHeight="1">
      <c r="A117" s="13"/>
      <c r="B117" s="13"/>
      <c r="C117" s="13"/>
      <c r="D117" s="13"/>
      <c r="E117" s="13"/>
      <c r="F117" s="13"/>
      <c r="G117" s="13"/>
      <c r="H117" s="13"/>
    </row>
    <row r="118" ht="15.75" customHeight="1">
      <c r="A118" s="13"/>
      <c r="B118" s="13"/>
      <c r="C118" s="13"/>
      <c r="D118" s="13"/>
      <c r="E118" s="13"/>
      <c r="F118" s="13"/>
      <c r="G118" s="13"/>
      <c r="H118" s="13"/>
    </row>
    <row r="119" ht="15.75" customHeight="1">
      <c r="A119" s="13"/>
      <c r="B119" s="13"/>
      <c r="C119" s="13"/>
      <c r="D119" s="13"/>
      <c r="E119" s="13"/>
      <c r="F119" s="13"/>
      <c r="G119" s="13"/>
      <c r="H119" s="13"/>
    </row>
    <row r="120" ht="15.75" customHeight="1">
      <c r="A120" s="13"/>
      <c r="B120" s="13"/>
      <c r="C120" s="13"/>
      <c r="D120" s="13"/>
      <c r="E120" s="13"/>
      <c r="F120" s="13"/>
      <c r="G120" s="13"/>
      <c r="H120" s="13"/>
    </row>
    <row r="121" ht="15.75" customHeight="1">
      <c r="A121" s="13"/>
      <c r="B121" s="13"/>
      <c r="C121" s="13"/>
      <c r="D121" s="13"/>
      <c r="E121" s="13"/>
      <c r="F121" s="13"/>
      <c r="G121" s="13"/>
      <c r="H121" s="13"/>
    </row>
    <row r="122" ht="15.75" customHeight="1">
      <c r="A122" s="13"/>
      <c r="B122" s="13"/>
      <c r="C122" s="13"/>
      <c r="D122" s="13"/>
      <c r="E122" s="13"/>
      <c r="F122" s="13"/>
      <c r="G122" s="13"/>
      <c r="H122" s="13"/>
    </row>
    <row r="123" ht="15.75" customHeight="1">
      <c r="A123" s="13"/>
      <c r="B123" s="13"/>
      <c r="C123" s="13"/>
      <c r="D123" s="13"/>
      <c r="E123" s="13"/>
      <c r="F123" s="13"/>
      <c r="G123" s="13"/>
      <c r="H123" s="13"/>
    </row>
    <row r="124" ht="15.75" customHeight="1">
      <c r="A124" s="13"/>
      <c r="B124" s="13"/>
      <c r="C124" s="13"/>
      <c r="D124" s="13"/>
      <c r="E124" s="13"/>
      <c r="F124" s="13"/>
      <c r="G124" s="13"/>
      <c r="H124" s="13"/>
    </row>
    <row r="125" ht="15.75" customHeight="1">
      <c r="A125" s="13"/>
      <c r="B125" s="13"/>
      <c r="C125" s="13"/>
      <c r="D125" s="13"/>
      <c r="E125" s="13"/>
      <c r="F125" s="13"/>
      <c r="G125" s="13"/>
      <c r="H125" s="13"/>
    </row>
    <row r="126" ht="15.75" customHeight="1">
      <c r="A126" s="13"/>
      <c r="B126" s="13"/>
      <c r="C126" s="13"/>
      <c r="D126" s="13"/>
      <c r="E126" s="13"/>
      <c r="F126" s="13"/>
      <c r="G126" s="13"/>
      <c r="H126" s="13"/>
    </row>
    <row r="127" ht="15.75" customHeight="1">
      <c r="A127" s="13"/>
      <c r="B127" s="13"/>
      <c r="C127" s="13"/>
      <c r="D127" s="13"/>
      <c r="E127" s="13"/>
      <c r="F127" s="13"/>
      <c r="G127" s="13"/>
      <c r="H127" s="13"/>
    </row>
    <row r="128" ht="15.75" customHeight="1">
      <c r="A128" s="13"/>
      <c r="B128" s="13"/>
      <c r="C128" s="13"/>
      <c r="D128" s="13"/>
      <c r="E128" s="13"/>
      <c r="F128" s="13"/>
      <c r="G128" s="13"/>
      <c r="H128" s="13"/>
    </row>
    <row r="129" ht="15.75" customHeight="1">
      <c r="A129" s="13"/>
      <c r="B129" s="13"/>
      <c r="C129" s="13"/>
      <c r="D129" s="13"/>
      <c r="E129" s="13"/>
      <c r="F129" s="13"/>
      <c r="G129" s="13"/>
      <c r="H129" s="13"/>
    </row>
    <row r="130" ht="15.75" customHeight="1">
      <c r="A130" s="13"/>
      <c r="B130" s="13"/>
      <c r="C130" s="13"/>
      <c r="D130" s="13"/>
      <c r="E130" s="13"/>
      <c r="F130" s="13"/>
      <c r="G130" s="13"/>
      <c r="H130" s="13"/>
    </row>
    <row r="131" ht="15.75" customHeight="1">
      <c r="A131" s="13"/>
      <c r="B131" s="13"/>
      <c r="C131" s="13"/>
      <c r="D131" s="13"/>
      <c r="E131" s="13"/>
      <c r="F131" s="13"/>
      <c r="G131" s="13"/>
      <c r="H131" s="13"/>
    </row>
    <row r="132" ht="15.75" customHeight="1">
      <c r="A132" s="13"/>
      <c r="B132" s="13"/>
      <c r="C132" s="13"/>
      <c r="D132" s="13"/>
      <c r="E132" s="13"/>
      <c r="F132" s="13"/>
      <c r="G132" s="13"/>
      <c r="H132" s="13"/>
    </row>
    <row r="133" ht="15.75" customHeight="1">
      <c r="A133" s="13"/>
      <c r="B133" s="13"/>
      <c r="C133" s="13"/>
      <c r="D133" s="13"/>
      <c r="E133" s="13"/>
      <c r="F133" s="13"/>
      <c r="G133" s="13"/>
      <c r="H133" s="13"/>
    </row>
    <row r="134" ht="15.75" customHeight="1">
      <c r="A134" s="13"/>
      <c r="B134" s="13"/>
      <c r="C134" s="13"/>
      <c r="D134" s="13"/>
      <c r="E134" s="13"/>
      <c r="F134" s="13"/>
      <c r="G134" s="13"/>
      <c r="H134" s="13"/>
    </row>
    <row r="135" ht="15.75" customHeight="1">
      <c r="A135" s="13"/>
      <c r="B135" s="13"/>
      <c r="C135" s="13"/>
      <c r="D135" s="13"/>
      <c r="E135" s="13"/>
      <c r="F135" s="13"/>
      <c r="G135" s="13"/>
      <c r="H135" s="13"/>
    </row>
    <row r="136" ht="15.75" customHeight="1">
      <c r="A136" s="13"/>
      <c r="B136" s="13"/>
      <c r="C136" s="13"/>
      <c r="D136" s="13"/>
      <c r="E136" s="13"/>
      <c r="F136" s="13"/>
      <c r="G136" s="13"/>
      <c r="H136" s="13"/>
    </row>
    <row r="137" ht="15.75" customHeight="1">
      <c r="A137" s="13"/>
      <c r="B137" s="13"/>
      <c r="C137" s="13"/>
      <c r="D137" s="13"/>
      <c r="E137" s="13"/>
      <c r="F137" s="13"/>
      <c r="G137" s="13"/>
      <c r="H137" s="13"/>
    </row>
    <row r="138" ht="15.75" customHeight="1">
      <c r="A138" s="13"/>
      <c r="B138" s="13"/>
      <c r="C138" s="13"/>
      <c r="D138" s="13"/>
      <c r="E138" s="13"/>
      <c r="F138" s="13"/>
      <c r="G138" s="13"/>
      <c r="H138" s="13"/>
    </row>
    <row r="139" ht="15.75" customHeight="1">
      <c r="A139" s="13"/>
      <c r="B139" s="13"/>
      <c r="C139" s="13"/>
      <c r="D139" s="13"/>
      <c r="E139" s="13"/>
      <c r="F139" s="13"/>
      <c r="G139" s="13"/>
      <c r="H139" s="13"/>
    </row>
    <row r="140" ht="15.75" customHeight="1">
      <c r="A140" s="13"/>
      <c r="B140" s="13"/>
      <c r="C140" s="13"/>
      <c r="D140" s="13"/>
      <c r="E140" s="13"/>
      <c r="F140" s="13"/>
      <c r="G140" s="13"/>
      <c r="H140" s="13"/>
    </row>
    <row r="141" ht="15.75" customHeight="1">
      <c r="A141" s="13"/>
      <c r="B141" s="13"/>
      <c r="C141" s="13"/>
      <c r="D141" s="13"/>
      <c r="E141" s="13"/>
      <c r="F141" s="13"/>
      <c r="G141" s="13"/>
      <c r="H141" s="13"/>
    </row>
    <row r="142" ht="15.75" customHeight="1">
      <c r="A142" s="13"/>
      <c r="B142" s="13"/>
      <c r="C142" s="13"/>
      <c r="D142" s="13"/>
      <c r="E142" s="13"/>
      <c r="F142" s="13"/>
      <c r="G142" s="13"/>
      <c r="H142" s="13"/>
    </row>
    <row r="143" ht="15.75" customHeight="1">
      <c r="A143" s="13"/>
      <c r="B143" s="13"/>
      <c r="C143" s="13"/>
      <c r="D143" s="13"/>
      <c r="E143" s="13"/>
      <c r="F143" s="13"/>
      <c r="G143" s="13"/>
      <c r="H143" s="13"/>
    </row>
    <row r="144" ht="15.75" customHeight="1">
      <c r="A144" s="13"/>
      <c r="B144" s="13"/>
      <c r="C144" s="13"/>
      <c r="D144" s="13"/>
      <c r="E144" s="13"/>
      <c r="F144" s="13"/>
      <c r="G144" s="13"/>
      <c r="H144" s="13"/>
    </row>
    <row r="145" ht="15.75" customHeight="1">
      <c r="A145" s="13"/>
      <c r="B145" s="13"/>
      <c r="C145" s="13"/>
      <c r="D145" s="13"/>
      <c r="E145" s="13"/>
      <c r="F145" s="13"/>
      <c r="G145" s="13"/>
      <c r="H145" s="13"/>
    </row>
    <row r="146" ht="15.75" customHeight="1">
      <c r="A146" s="13"/>
      <c r="B146" s="13"/>
      <c r="C146" s="13"/>
      <c r="D146" s="13"/>
      <c r="E146" s="13"/>
      <c r="F146" s="13"/>
      <c r="G146" s="13"/>
      <c r="H146" s="13"/>
    </row>
    <row r="147" ht="15.75" customHeight="1">
      <c r="A147" s="13"/>
      <c r="B147" s="13"/>
      <c r="C147" s="13"/>
      <c r="D147" s="13"/>
      <c r="E147" s="13"/>
      <c r="F147" s="13"/>
      <c r="G147" s="13"/>
      <c r="H147" s="13"/>
    </row>
    <row r="148" ht="15.75" customHeight="1">
      <c r="A148" s="13"/>
      <c r="B148" s="13"/>
      <c r="C148" s="13"/>
      <c r="D148" s="13"/>
      <c r="E148" s="13"/>
      <c r="F148" s="13"/>
      <c r="G148" s="13"/>
      <c r="H148" s="13"/>
    </row>
    <row r="149" ht="15.75" customHeight="1">
      <c r="A149" s="13"/>
      <c r="B149" s="13"/>
      <c r="C149" s="13"/>
      <c r="D149" s="13"/>
      <c r="E149" s="13"/>
      <c r="F149" s="13"/>
      <c r="G149" s="13"/>
      <c r="H149" s="13"/>
    </row>
    <row r="150" ht="15.75" customHeight="1">
      <c r="A150" s="13"/>
      <c r="B150" s="13"/>
      <c r="C150" s="13"/>
      <c r="D150" s="13"/>
      <c r="E150" s="13"/>
      <c r="F150" s="13"/>
      <c r="G150" s="13"/>
      <c r="H150" s="13"/>
    </row>
    <row r="151" ht="15.75" customHeight="1">
      <c r="A151" s="13"/>
      <c r="B151" s="13"/>
      <c r="C151" s="13"/>
      <c r="D151" s="13"/>
      <c r="E151" s="13"/>
      <c r="F151" s="13"/>
      <c r="G151" s="13"/>
      <c r="H151" s="13"/>
    </row>
    <row r="152" ht="15.75" customHeight="1">
      <c r="A152" s="13"/>
      <c r="B152" s="13"/>
      <c r="C152" s="13"/>
      <c r="D152" s="13"/>
      <c r="E152" s="13"/>
      <c r="F152" s="13"/>
      <c r="G152" s="13"/>
      <c r="H152" s="13"/>
    </row>
    <row r="153" ht="15.75" customHeight="1">
      <c r="A153" s="13"/>
      <c r="B153" s="13"/>
      <c r="C153" s="13"/>
      <c r="D153" s="13"/>
      <c r="E153" s="13"/>
      <c r="F153" s="13"/>
      <c r="G153" s="13"/>
      <c r="H153" s="13"/>
    </row>
    <row r="154" ht="15.75" customHeight="1">
      <c r="A154" s="13"/>
      <c r="B154" s="13"/>
      <c r="C154" s="13"/>
      <c r="D154" s="13"/>
      <c r="E154" s="13"/>
      <c r="F154" s="13"/>
      <c r="G154" s="13"/>
      <c r="H154" s="13"/>
    </row>
    <row r="155" ht="15.75" customHeight="1">
      <c r="A155" s="13"/>
      <c r="B155" s="13"/>
      <c r="C155" s="13"/>
      <c r="D155" s="13"/>
      <c r="E155" s="13"/>
      <c r="F155" s="13"/>
      <c r="G155" s="13"/>
      <c r="H155" s="13"/>
    </row>
    <row r="156" ht="15.75" customHeight="1">
      <c r="A156" s="13"/>
      <c r="B156" s="13"/>
      <c r="C156" s="13"/>
      <c r="D156" s="13"/>
      <c r="E156" s="13"/>
      <c r="F156" s="13"/>
      <c r="G156" s="13"/>
      <c r="H156" s="13"/>
    </row>
    <row r="157" ht="15.75" customHeight="1">
      <c r="A157" s="13"/>
      <c r="B157" s="13"/>
      <c r="C157" s="13"/>
      <c r="D157" s="13"/>
      <c r="E157" s="13"/>
      <c r="F157" s="13"/>
      <c r="G157" s="13"/>
      <c r="H157" s="13"/>
    </row>
    <row r="158" ht="15.75" customHeight="1">
      <c r="A158" s="13"/>
      <c r="B158" s="13"/>
      <c r="C158" s="13"/>
      <c r="D158" s="13"/>
      <c r="E158" s="13"/>
      <c r="F158" s="13"/>
      <c r="G158" s="13"/>
      <c r="H158" s="13"/>
    </row>
    <row r="159" ht="15.75" customHeight="1">
      <c r="A159" s="13"/>
      <c r="B159" s="13"/>
      <c r="C159" s="13"/>
      <c r="D159" s="13"/>
      <c r="E159" s="13"/>
      <c r="F159" s="13"/>
      <c r="G159" s="13"/>
      <c r="H159" s="13"/>
    </row>
    <row r="160" ht="15.75" customHeight="1">
      <c r="A160" s="13"/>
      <c r="B160" s="13"/>
      <c r="C160" s="13"/>
      <c r="D160" s="13"/>
      <c r="E160" s="13"/>
      <c r="F160" s="13"/>
      <c r="G160" s="13"/>
      <c r="H160" s="13"/>
    </row>
    <row r="161" ht="15.75" customHeight="1">
      <c r="A161" s="13"/>
      <c r="B161" s="13"/>
      <c r="C161" s="13"/>
      <c r="D161" s="13"/>
      <c r="E161" s="13"/>
      <c r="F161" s="13"/>
      <c r="G161" s="13"/>
      <c r="H161" s="13"/>
    </row>
    <row r="162" ht="15.75" customHeight="1">
      <c r="A162" s="13"/>
      <c r="B162" s="13"/>
      <c r="C162" s="13"/>
      <c r="D162" s="13"/>
      <c r="E162" s="13"/>
      <c r="F162" s="13"/>
      <c r="G162" s="13"/>
      <c r="H162" s="13"/>
    </row>
    <row r="163" ht="15.75" customHeight="1">
      <c r="A163" s="13"/>
      <c r="B163" s="13"/>
      <c r="C163" s="13"/>
      <c r="D163" s="13"/>
      <c r="E163" s="13"/>
      <c r="F163" s="13"/>
      <c r="G163" s="13"/>
      <c r="H163" s="13"/>
    </row>
    <row r="164" ht="15.75" customHeight="1">
      <c r="A164" s="13"/>
      <c r="B164" s="13"/>
      <c r="C164" s="13"/>
      <c r="D164" s="13"/>
      <c r="E164" s="13"/>
      <c r="F164" s="13"/>
      <c r="G164" s="13"/>
      <c r="H164" s="13"/>
    </row>
    <row r="165" ht="15.75" customHeight="1">
      <c r="A165" s="13"/>
      <c r="B165" s="13"/>
      <c r="C165" s="13"/>
      <c r="D165" s="13"/>
      <c r="E165" s="13"/>
      <c r="F165" s="13"/>
      <c r="G165" s="13"/>
      <c r="H165" s="13"/>
    </row>
    <row r="166" ht="15.75" customHeight="1">
      <c r="A166" s="13"/>
      <c r="B166" s="13"/>
      <c r="C166" s="13"/>
      <c r="D166" s="13"/>
      <c r="E166" s="13"/>
      <c r="F166" s="13"/>
      <c r="G166" s="13"/>
      <c r="H166" s="13"/>
    </row>
    <row r="167" ht="15.75" customHeight="1">
      <c r="A167" s="13"/>
      <c r="B167" s="13"/>
      <c r="C167" s="13"/>
      <c r="D167" s="13"/>
      <c r="E167" s="13"/>
      <c r="F167" s="13"/>
      <c r="G167" s="13"/>
      <c r="H167" s="13"/>
    </row>
    <row r="168" ht="15.75" customHeight="1">
      <c r="A168" s="13"/>
      <c r="B168" s="13"/>
      <c r="C168" s="13"/>
      <c r="D168" s="13"/>
      <c r="E168" s="13"/>
      <c r="F168" s="13"/>
      <c r="G168" s="13"/>
      <c r="H168" s="13"/>
    </row>
    <row r="169" ht="15.75" customHeight="1">
      <c r="A169" s="13"/>
      <c r="B169" s="13"/>
      <c r="C169" s="13"/>
      <c r="D169" s="13"/>
      <c r="E169" s="13"/>
      <c r="F169" s="13"/>
      <c r="G169" s="13"/>
      <c r="H169" s="13"/>
    </row>
    <row r="170" ht="15.75" customHeight="1">
      <c r="A170" s="13"/>
      <c r="B170" s="13"/>
      <c r="C170" s="13"/>
      <c r="D170" s="13"/>
      <c r="E170" s="13"/>
      <c r="F170" s="13"/>
      <c r="G170" s="13"/>
      <c r="H170" s="13"/>
    </row>
    <row r="171" ht="15.75" customHeight="1">
      <c r="A171" s="13"/>
      <c r="B171" s="13"/>
      <c r="C171" s="13"/>
      <c r="D171" s="13"/>
      <c r="E171" s="13"/>
      <c r="F171" s="13"/>
      <c r="G171" s="13"/>
      <c r="H171" s="13"/>
    </row>
    <row r="172" ht="15.75" customHeight="1">
      <c r="A172" s="13"/>
      <c r="B172" s="13"/>
      <c r="C172" s="13"/>
      <c r="D172" s="13"/>
      <c r="E172" s="13"/>
      <c r="F172" s="13"/>
      <c r="G172" s="13"/>
      <c r="H172" s="13"/>
    </row>
    <row r="173" ht="15.75" customHeight="1">
      <c r="A173" s="13"/>
      <c r="B173" s="13"/>
      <c r="C173" s="13"/>
      <c r="D173" s="13"/>
      <c r="E173" s="13"/>
      <c r="F173" s="13"/>
      <c r="G173" s="13"/>
      <c r="H173" s="13"/>
    </row>
    <row r="174" ht="15.75" customHeight="1">
      <c r="A174" s="13"/>
      <c r="B174" s="13"/>
      <c r="C174" s="13"/>
      <c r="D174" s="13"/>
      <c r="E174" s="13"/>
      <c r="F174" s="13"/>
      <c r="G174" s="13"/>
      <c r="H174" s="13"/>
    </row>
    <row r="175" ht="15.75" customHeight="1">
      <c r="A175" s="13"/>
      <c r="B175" s="13"/>
      <c r="C175" s="13"/>
      <c r="D175" s="13"/>
      <c r="E175" s="13"/>
      <c r="F175" s="13"/>
      <c r="G175" s="13"/>
      <c r="H175" s="13"/>
    </row>
    <row r="176" ht="15.75" customHeight="1">
      <c r="A176" s="13"/>
      <c r="B176" s="13"/>
      <c r="C176" s="13"/>
      <c r="D176" s="13"/>
      <c r="E176" s="13"/>
      <c r="F176" s="13"/>
      <c r="G176" s="13"/>
      <c r="H176" s="13"/>
    </row>
    <row r="177" ht="15.75" customHeight="1">
      <c r="A177" s="13"/>
      <c r="B177" s="13"/>
      <c r="C177" s="13"/>
      <c r="D177" s="13"/>
      <c r="E177" s="13"/>
      <c r="F177" s="13"/>
      <c r="G177" s="13"/>
      <c r="H177" s="13"/>
    </row>
    <row r="178" ht="15.75" customHeight="1">
      <c r="A178" s="13"/>
      <c r="B178" s="13"/>
      <c r="C178" s="13"/>
      <c r="D178" s="13"/>
      <c r="E178" s="13"/>
      <c r="F178" s="13"/>
      <c r="G178" s="13"/>
      <c r="H178" s="13"/>
    </row>
    <row r="179" ht="15.75" customHeight="1">
      <c r="A179" s="13"/>
      <c r="B179" s="13"/>
      <c r="C179" s="13"/>
      <c r="D179" s="13"/>
      <c r="E179" s="13"/>
      <c r="F179" s="13"/>
      <c r="G179" s="13"/>
      <c r="H179" s="13"/>
    </row>
    <row r="180" ht="15.75" customHeight="1">
      <c r="A180" s="13"/>
      <c r="B180" s="13"/>
      <c r="C180" s="13"/>
      <c r="D180" s="13"/>
      <c r="E180" s="13"/>
      <c r="F180" s="13"/>
      <c r="G180" s="13"/>
      <c r="H180" s="13"/>
    </row>
    <row r="181" ht="15.75" customHeight="1">
      <c r="A181" s="13"/>
      <c r="B181" s="13"/>
      <c r="C181" s="13"/>
      <c r="D181" s="13"/>
      <c r="E181" s="13"/>
      <c r="F181" s="13"/>
      <c r="G181" s="13"/>
      <c r="H181" s="13"/>
    </row>
    <row r="182" ht="15.75" customHeight="1">
      <c r="A182" s="13"/>
      <c r="B182" s="13"/>
      <c r="C182" s="13"/>
      <c r="D182" s="13"/>
      <c r="E182" s="13"/>
      <c r="F182" s="13"/>
      <c r="G182" s="13"/>
      <c r="H182" s="13"/>
    </row>
    <row r="183" ht="15.75" customHeight="1">
      <c r="A183" s="13"/>
      <c r="B183" s="13"/>
      <c r="C183" s="13"/>
      <c r="D183" s="13"/>
      <c r="E183" s="13"/>
      <c r="F183" s="13"/>
      <c r="G183" s="13"/>
      <c r="H183" s="13"/>
    </row>
    <row r="184" ht="15.75" customHeight="1">
      <c r="A184" s="13"/>
      <c r="B184" s="13"/>
      <c r="C184" s="13"/>
      <c r="D184" s="13"/>
      <c r="E184" s="13"/>
      <c r="F184" s="13"/>
      <c r="G184" s="13"/>
      <c r="H184" s="13"/>
    </row>
    <row r="185" ht="15.75" customHeight="1">
      <c r="A185" s="13"/>
      <c r="B185" s="13"/>
      <c r="C185" s="13"/>
      <c r="D185" s="13"/>
      <c r="E185" s="13"/>
      <c r="F185" s="13"/>
      <c r="G185" s="13"/>
      <c r="H185" s="13"/>
    </row>
    <row r="186" ht="15.75" customHeight="1">
      <c r="A186" s="13"/>
      <c r="B186" s="13"/>
      <c r="C186" s="13"/>
      <c r="D186" s="13"/>
      <c r="E186" s="13"/>
      <c r="F186" s="13"/>
      <c r="G186" s="13"/>
      <c r="H186" s="13"/>
    </row>
    <row r="187" ht="15.75" customHeight="1">
      <c r="A187" s="13"/>
      <c r="B187" s="13"/>
      <c r="C187" s="13"/>
      <c r="D187" s="13"/>
      <c r="E187" s="13"/>
      <c r="F187" s="13"/>
      <c r="G187" s="13"/>
      <c r="H187" s="13"/>
    </row>
    <row r="188" ht="15.75" customHeight="1">
      <c r="A188" s="13"/>
      <c r="B188" s="13"/>
      <c r="C188" s="13"/>
      <c r="D188" s="13"/>
      <c r="E188" s="13"/>
      <c r="F188" s="13"/>
      <c r="G188" s="13"/>
      <c r="H188" s="13"/>
    </row>
    <row r="189" ht="15.75" customHeight="1">
      <c r="A189" s="13"/>
      <c r="B189" s="13"/>
      <c r="C189" s="13"/>
      <c r="D189" s="13"/>
      <c r="E189" s="13"/>
      <c r="F189" s="13"/>
      <c r="G189" s="13"/>
      <c r="H189" s="13"/>
    </row>
    <row r="190" ht="15.75" customHeight="1">
      <c r="A190" s="13"/>
      <c r="B190" s="13"/>
      <c r="C190" s="13"/>
      <c r="D190" s="13"/>
      <c r="E190" s="13"/>
      <c r="F190" s="13"/>
      <c r="G190" s="13"/>
      <c r="H190" s="13"/>
    </row>
    <row r="191" ht="15.75" customHeight="1">
      <c r="A191" s="13"/>
      <c r="B191" s="13"/>
      <c r="C191" s="13"/>
      <c r="D191" s="13"/>
      <c r="E191" s="13"/>
      <c r="F191" s="13"/>
      <c r="G191" s="13"/>
      <c r="H191" s="13"/>
    </row>
    <row r="192" ht="15.75" customHeight="1">
      <c r="A192" s="13"/>
      <c r="B192" s="13"/>
      <c r="C192" s="13"/>
      <c r="D192" s="13"/>
      <c r="E192" s="13"/>
      <c r="F192" s="13"/>
      <c r="G192" s="13"/>
      <c r="H192" s="13"/>
    </row>
    <row r="193" ht="15.75" customHeight="1">
      <c r="A193" s="13"/>
      <c r="B193" s="13"/>
      <c r="C193" s="13"/>
      <c r="D193" s="13"/>
      <c r="E193" s="13"/>
      <c r="F193" s="13"/>
      <c r="G193" s="13"/>
      <c r="H193" s="13"/>
    </row>
    <row r="194" ht="15.75" customHeight="1">
      <c r="A194" s="13"/>
      <c r="B194" s="13"/>
      <c r="C194" s="13"/>
      <c r="D194" s="13"/>
      <c r="E194" s="13"/>
      <c r="F194" s="13"/>
      <c r="G194" s="13"/>
      <c r="H194" s="13"/>
    </row>
    <row r="195" ht="15.75" customHeight="1">
      <c r="A195" s="13"/>
      <c r="B195" s="13"/>
      <c r="C195" s="13"/>
      <c r="D195" s="13"/>
      <c r="E195" s="13"/>
      <c r="F195" s="13"/>
      <c r="G195" s="13"/>
      <c r="H195" s="13"/>
    </row>
    <row r="196" ht="15.75" customHeight="1">
      <c r="A196" s="13"/>
      <c r="B196" s="13"/>
      <c r="C196" s="13"/>
      <c r="D196" s="13"/>
      <c r="E196" s="13"/>
      <c r="F196" s="13"/>
      <c r="G196" s="13"/>
      <c r="H196" s="13"/>
    </row>
    <row r="197" ht="15.75" customHeight="1">
      <c r="A197" s="13"/>
      <c r="B197" s="13"/>
      <c r="C197" s="13"/>
      <c r="D197" s="13"/>
      <c r="E197" s="13"/>
      <c r="F197" s="13"/>
      <c r="G197" s="13"/>
      <c r="H197" s="13"/>
    </row>
    <row r="198" ht="15.75" customHeight="1">
      <c r="A198" s="13"/>
      <c r="B198" s="13"/>
      <c r="C198" s="13"/>
      <c r="D198" s="13"/>
      <c r="E198" s="13"/>
      <c r="F198" s="13"/>
      <c r="G198" s="13"/>
      <c r="H198" s="13"/>
    </row>
    <row r="199" ht="15.75" customHeight="1">
      <c r="A199" s="13"/>
      <c r="B199" s="13"/>
      <c r="C199" s="13"/>
      <c r="D199" s="13"/>
      <c r="E199" s="13"/>
      <c r="F199" s="13"/>
      <c r="G199" s="13"/>
      <c r="H199" s="13"/>
    </row>
    <row r="200" ht="15.75" customHeight="1">
      <c r="A200" s="13"/>
      <c r="B200" s="13"/>
      <c r="C200" s="13"/>
      <c r="D200" s="13"/>
      <c r="E200" s="13"/>
      <c r="F200" s="13"/>
      <c r="G200" s="13"/>
      <c r="H200" s="13"/>
    </row>
    <row r="201" ht="15.75" customHeight="1">
      <c r="A201" s="13"/>
      <c r="B201" s="13"/>
      <c r="C201" s="13"/>
      <c r="D201" s="13"/>
      <c r="E201" s="13"/>
      <c r="F201" s="13"/>
      <c r="G201" s="13"/>
      <c r="H201" s="13"/>
    </row>
    <row r="202" ht="15.75" customHeight="1">
      <c r="A202" s="13"/>
      <c r="B202" s="13"/>
      <c r="C202" s="13"/>
      <c r="D202" s="13"/>
      <c r="E202" s="13"/>
      <c r="F202" s="13"/>
      <c r="G202" s="13"/>
      <c r="H202" s="13"/>
    </row>
    <row r="203" ht="15.75" customHeight="1">
      <c r="A203" s="13"/>
      <c r="B203" s="13"/>
      <c r="C203" s="13"/>
      <c r="D203" s="13"/>
      <c r="E203" s="13"/>
      <c r="F203" s="13"/>
      <c r="G203" s="13"/>
      <c r="H203" s="13"/>
    </row>
    <row r="204" ht="15.75" customHeight="1">
      <c r="A204" s="13"/>
      <c r="B204" s="13"/>
      <c r="C204" s="13"/>
      <c r="D204" s="13"/>
      <c r="E204" s="13"/>
      <c r="F204" s="13"/>
      <c r="G204" s="13"/>
      <c r="H204" s="13"/>
    </row>
    <row r="205" ht="15.75" customHeight="1">
      <c r="A205" s="13"/>
      <c r="B205" s="13"/>
      <c r="C205" s="13"/>
      <c r="D205" s="13"/>
      <c r="E205" s="13"/>
      <c r="F205" s="13"/>
      <c r="G205" s="13"/>
      <c r="H205" s="13"/>
    </row>
    <row r="206" ht="15.75" customHeight="1">
      <c r="A206" s="13"/>
      <c r="B206" s="13"/>
      <c r="C206" s="13"/>
      <c r="D206" s="13"/>
      <c r="E206" s="13"/>
      <c r="F206" s="13"/>
      <c r="G206" s="13"/>
      <c r="H206" s="13"/>
    </row>
    <row r="207" ht="15.75" customHeight="1">
      <c r="A207" s="13"/>
      <c r="B207" s="13"/>
      <c r="C207" s="13"/>
      <c r="D207" s="13"/>
      <c r="E207" s="13"/>
      <c r="F207" s="13"/>
      <c r="G207" s="13"/>
      <c r="H207" s="13"/>
    </row>
    <row r="208" ht="15.75" customHeight="1">
      <c r="A208" s="13"/>
      <c r="B208" s="13"/>
      <c r="C208" s="13"/>
      <c r="D208" s="13"/>
      <c r="E208" s="13"/>
      <c r="F208" s="13"/>
      <c r="G208" s="13"/>
      <c r="H208" s="13"/>
    </row>
    <row r="209" ht="15.75" customHeight="1">
      <c r="A209" s="13"/>
      <c r="B209" s="13"/>
      <c r="C209" s="13"/>
      <c r="D209" s="13"/>
      <c r="E209" s="13"/>
      <c r="F209" s="13"/>
      <c r="G209" s="13"/>
      <c r="H209" s="13"/>
    </row>
    <row r="210" ht="15.75" customHeight="1">
      <c r="A210" s="13"/>
      <c r="B210" s="13"/>
      <c r="C210" s="13"/>
      <c r="D210" s="13"/>
      <c r="E210" s="13"/>
      <c r="F210" s="13"/>
      <c r="G210" s="13"/>
      <c r="H210" s="13"/>
    </row>
    <row r="211" ht="15.75" customHeight="1">
      <c r="A211" s="13"/>
      <c r="B211" s="13"/>
      <c r="C211" s="13"/>
      <c r="D211" s="13"/>
      <c r="E211" s="13"/>
      <c r="F211" s="13"/>
      <c r="G211" s="13"/>
      <c r="H211" s="13"/>
    </row>
    <row r="212" ht="15.75" customHeight="1">
      <c r="A212" s="13"/>
      <c r="B212" s="13"/>
      <c r="C212" s="13"/>
      <c r="D212" s="13"/>
      <c r="E212" s="13"/>
      <c r="F212" s="13"/>
      <c r="G212" s="13"/>
      <c r="H212" s="13"/>
    </row>
    <row r="213" ht="15.75" customHeight="1">
      <c r="A213" s="13"/>
      <c r="B213" s="13"/>
      <c r="C213" s="13"/>
      <c r="D213" s="13"/>
      <c r="E213" s="13"/>
      <c r="F213" s="13"/>
      <c r="G213" s="13"/>
      <c r="H213" s="13"/>
    </row>
    <row r="214" ht="15.75" customHeight="1">
      <c r="A214" s="13"/>
      <c r="B214" s="13"/>
      <c r="C214" s="13"/>
      <c r="D214" s="13"/>
      <c r="E214" s="13"/>
      <c r="F214" s="13"/>
      <c r="G214" s="13"/>
      <c r="H214" s="13"/>
    </row>
    <row r="215" ht="15.75" customHeight="1">
      <c r="A215" s="13"/>
      <c r="B215" s="13"/>
      <c r="C215" s="13"/>
      <c r="D215" s="13"/>
      <c r="E215" s="13"/>
      <c r="F215" s="13"/>
      <c r="G215" s="13"/>
      <c r="H215" s="13"/>
    </row>
    <row r="216" ht="15.75" customHeight="1">
      <c r="A216" s="13"/>
      <c r="B216" s="13"/>
      <c r="C216" s="13"/>
      <c r="D216" s="13"/>
      <c r="E216" s="13"/>
      <c r="F216" s="13"/>
      <c r="G216" s="13"/>
      <c r="H216" s="13"/>
    </row>
    <row r="217" ht="15.75" customHeight="1">
      <c r="A217" s="13"/>
      <c r="B217" s="13"/>
      <c r="C217" s="13"/>
      <c r="D217" s="13"/>
      <c r="E217" s="13"/>
      <c r="F217" s="13"/>
      <c r="G217" s="13"/>
      <c r="H217" s="13"/>
    </row>
    <row r="218" ht="15.75" customHeight="1">
      <c r="A218" s="13"/>
      <c r="B218" s="13"/>
      <c r="C218" s="13"/>
      <c r="D218" s="13"/>
      <c r="E218" s="13"/>
      <c r="F218" s="13"/>
      <c r="G218" s="13"/>
      <c r="H218" s="13"/>
    </row>
    <row r="219" ht="15.75" customHeight="1">
      <c r="A219" s="13"/>
      <c r="B219" s="13"/>
      <c r="C219" s="13"/>
      <c r="D219" s="13"/>
      <c r="E219" s="13"/>
      <c r="F219" s="13"/>
      <c r="G219" s="13"/>
      <c r="H219" s="13"/>
    </row>
    <row r="220" ht="15.75" customHeight="1">
      <c r="A220" s="13"/>
      <c r="B220" s="13"/>
      <c r="C220" s="13"/>
      <c r="D220" s="13"/>
      <c r="E220" s="13"/>
      <c r="F220" s="13"/>
      <c r="G220" s="13"/>
      <c r="H220" s="13"/>
    </row>
    <row r="221" ht="15.75" customHeight="1">
      <c r="A221" s="13"/>
      <c r="B221" s="13"/>
      <c r="C221" s="13"/>
      <c r="D221" s="13"/>
      <c r="E221" s="13"/>
      <c r="F221" s="13"/>
      <c r="G221" s="13"/>
      <c r="H221" s="13"/>
    </row>
    <row r="222" ht="15.75" customHeight="1">
      <c r="A222" s="13"/>
      <c r="B222" s="13"/>
      <c r="C222" s="13"/>
      <c r="D222" s="13"/>
      <c r="E222" s="13"/>
      <c r="F222" s="13"/>
      <c r="G222" s="13"/>
      <c r="H222" s="13"/>
    </row>
    <row r="223" ht="15.75" customHeight="1">
      <c r="A223" s="13"/>
      <c r="B223" s="13"/>
      <c r="C223" s="13"/>
      <c r="D223" s="13"/>
      <c r="E223" s="13"/>
      <c r="F223" s="13"/>
      <c r="G223" s="13"/>
      <c r="H223" s="13"/>
    </row>
    <row r="224" ht="15.75" customHeight="1">
      <c r="A224" s="13"/>
      <c r="B224" s="13"/>
      <c r="C224" s="13"/>
      <c r="D224" s="13"/>
      <c r="E224" s="13"/>
      <c r="F224" s="13"/>
      <c r="G224" s="13"/>
      <c r="H224" s="13"/>
    </row>
    <row r="225" ht="15.75" customHeight="1">
      <c r="A225" s="13"/>
      <c r="B225" s="13"/>
      <c r="C225" s="13"/>
      <c r="D225" s="13"/>
      <c r="E225" s="13"/>
      <c r="F225" s="13"/>
      <c r="G225" s="13"/>
      <c r="H225" s="13"/>
    </row>
    <row r="226" ht="15.75" customHeight="1">
      <c r="A226" s="13"/>
      <c r="B226" s="13"/>
      <c r="C226" s="13"/>
      <c r="D226" s="13"/>
      <c r="E226" s="13"/>
      <c r="F226" s="13"/>
      <c r="G226" s="13"/>
      <c r="H226" s="13"/>
    </row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3">
    <mergeCell ref="A1:H1"/>
    <mergeCell ref="A2:H2"/>
    <mergeCell ref="A3:H3"/>
  </mergeCells>
  <conditionalFormatting sqref="G6:G26">
    <cfRule type="containsText" dxfId="0" priority="1" operator="containsText" text="대기">
      <formula>NOT(ISERROR(SEARCH(("대기"),(G6))))</formula>
    </cfRule>
  </conditionalFormatting>
  <conditionalFormatting sqref="G6:G26">
    <cfRule type="containsText" dxfId="1" priority="2" operator="containsText" text="진행중">
      <formula>NOT(ISERROR(SEARCH(("진행중"),(G6))))</formula>
    </cfRule>
  </conditionalFormatting>
  <conditionalFormatting sqref="G6:G26">
    <cfRule type="containsText" dxfId="2" priority="3" operator="containsText" text="검토">
      <formula>NOT(ISERROR(SEARCH(("검토"),(G6))))</formula>
    </cfRule>
  </conditionalFormatting>
  <conditionalFormatting sqref="G6:G26">
    <cfRule type="containsText" dxfId="3" priority="4" operator="containsText" text="완료">
      <formula>NOT(ISERROR(SEARCH(("완료"),(G6))))</formula>
    </cfRule>
  </conditionalFormatting>
  <conditionalFormatting sqref="G6:G26">
    <cfRule type="containsText" dxfId="4" priority="5" operator="containsText" text="보류">
      <formula>NOT(ISERROR(SEARCH(("보류"),(G6))))</formula>
    </cfRule>
  </conditionalFormatting>
  <dataValidations>
    <dataValidation type="list" allowBlank="1" sqref="G6:G26">
      <formula1>"대기,진행중,검토,완료,보류,확정"</formula1>
    </dataValidation>
    <dataValidation type="list" allowBlank="1" sqref="F6:F26">
      <formula1>"PM,전원,PM·A,A,B·C,C,C·D,C·B,D,B·D,PM·전원,B,A·B,D·B,A·PM,A·B·C·D,B·C·D"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3" width="35.0"/>
    <col customWidth="1" min="4" max="6" width="8.57"/>
    <col customWidth="1" min="7" max="26" width="12.57"/>
  </cols>
  <sheetData>
    <row r="1" ht="15.0" customHeight="1">
      <c r="A1" s="1" t="s">
        <v>0</v>
      </c>
      <c r="B1" s="1" t="s">
        <v>4</v>
      </c>
      <c r="C1" s="1" t="s">
        <v>5</v>
      </c>
    </row>
    <row r="2" ht="15.0" customHeight="1">
      <c r="A2" s="6" t="s">
        <v>6</v>
      </c>
      <c r="B2" s="9" t="s">
        <v>8</v>
      </c>
      <c r="C2" s="6" t="s">
        <v>10</v>
      </c>
    </row>
    <row r="3" ht="15.0" customHeight="1">
      <c r="A3" s="6" t="s">
        <v>12</v>
      </c>
      <c r="B3" s="6" t="s">
        <v>14</v>
      </c>
      <c r="C3" s="6" t="s">
        <v>15</v>
      </c>
    </row>
    <row r="4" ht="16.5" customHeight="1">
      <c r="A4" s="6" t="s">
        <v>16</v>
      </c>
      <c r="B4" s="9" t="s">
        <v>17</v>
      </c>
      <c r="C4" s="6" t="s">
        <v>18</v>
      </c>
    </row>
    <row r="5" ht="16.5" customHeight="1">
      <c r="A5" s="9" t="s">
        <v>20</v>
      </c>
      <c r="B5" s="9" t="s">
        <v>22</v>
      </c>
      <c r="C5" s="6" t="s">
        <v>24</v>
      </c>
    </row>
    <row r="6" ht="16.5" customHeight="1">
      <c r="A6" s="6" t="s">
        <v>25</v>
      </c>
      <c r="B6" s="9" t="s">
        <v>27</v>
      </c>
      <c r="C6" s="6" t="s">
        <v>29</v>
      </c>
    </row>
    <row r="7" ht="15.0" customHeight="1">
      <c r="A7" s="6" t="s">
        <v>32</v>
      </c>
      <c r="B7" s="9" t="s">
        <v>35</v>
      </c>
      <c r="C7" s="6"/>
    </row>
    <row r="8" ht="16.5" customHeight="1">
      <c r="A8" s="9" t="s">
        <v>39</v>
      </c>
      <c r="B8" s="9" t="s">
        <v>42</v>
      </c>
      <c r="C8" s="9"/>
    </row>
    <row r="9" ht="16.5" customHeight="1">
      <c r="A9" s="6" t="s">
        <v>44</v>
      </c>
      <c r="B9" s="9" t="s">
        <v>46</v>
      </c>
      <c r="C9" s="9"/>
    </row>
    <row r="10" ht="15.0" customHeight="1">
      <c r="A10" s="6" t="s">
        <v>49</v>
      </c>
      <c r="B10" s="9" t="s">
        <v>50</v>
      </c>
      <c r="C10" s="9"/>
    </row>
    <row r="11">
      <c r="A11" s="13"/>
      <c r="B11" s="13"/>
      <c r="C11" s="13"/>
    </row>
    <row r="12">
      <c r="A12" s="13"/>
      <c r="B12" s="13"/>
      <c r="C12" s="13"/>
    </row>
    <row r="13" ht="15.75" customHeight="1">
      <c r="A13" s="13"/>
      <c r="B13" s="13"/>
      <c r="C13" s="13"/>
    </row>
    <row r="14" ht="15.75" customHeight="1">
      <c r="A14" s="13"/>
      <c r="B14" s="13"/>
      <c r="C14" s="13"/>
    </row>
    <row r="15" ht="15.75" customHeight="1">
      <c r="A15" s="13"/>
      <c r="B15" s="13"/>
      <c r="C15" s="13"/>
    </row>
    <row r="16" ht="15.75" customHeight="1">
      <c r="A16" s="13"/>
      <c r="B16" s="13"/>
      <c r="C16" s="13"/>
    </row>
    <row r="17" ht="15.75" customHeight="1">
      <c r="A17" s="13"/>
      <c r="B17" s="13"/>
      <c r="C17" s="13"/>
    </row>
    <row r="18" ht="15.75" customHeight="1">
      <c r="A18" s="13"/>
      <c r="B18" s="13"/>
      <c r="C18" s="13"/>
    </row>
    <row r="19" ht="15.75" customHeight="1">
      <c r="A19" s="13"/>
      <c r="B19" s="13"/>
      <c r="C19" s="13"/>
    </row>
    <row r="20" ht="15.75" customHeight="1">
      <c r="A20" s="13"/>
      <c r="B20" s="13"/>
      <c r="C20" s="13"/>
    </row>
    <row r="21" ht="15.75" customHeight="1">
      <c r="A21" s="13"/>
      <c r="B21" s="13"/>
      <c r="C21" s="13"/>
    </row>
    <row r="22" ht="15.75" customHeight="1">
      <c r="A22" s="13"/>
      <c r="B22" s="13"/>
      <c r="C22" s="13"/>
    </row>
    <row r="23" ht="15.75" customHeight="1">
      <c r="A23" s="13"/>
      <c r="B23" s="13"/>
      <c r="C23" s="13"/>
    </row>
    <row r="24" ht="15.75" customHeight="1">
      <c r="A24" s="13"/>
      <c r="B24" s="13"/>
      <c r="C24" s="13"/>
    </row>
    <row r="25" ht="15.75" customHeight="1">
      <c r="A25" s="13"/>
      <c r="B25" s="13"/>
      <c r="C25" s="13"/>
    </row>
    <row r="26" ht="15.75" customHeight="1">
      <c r="A26" s="13"/>
      <c r="B26" s="13"/>
      <c r="C26" s="13"/>
    </row>
    <row r="27" ht="15.75" customHeight="1">
      <c r="A27" s="13"/>
      <c r="B27" s="13"/>
      <c r="C27" s="13"/>
    </row>
    <row r="28" ht="15.75" customHeight="1">
      <c r="A28" s="13"/>
      <c r="B28" s="13"/>
      <c r="C28" s="13"/>
    </row>
    <row r="29" ht="15.75" customHeight="1">
      <c r="A29" s="13"/>
      <c r="B29" s="13"/>
      <c r="C29" s="13"/>
    </row>
    <row r="30" ht="15.75" customHeight="1">
      <c r="A30" s="13"/>
      <c r="B30" s="13"/>
      <c r="C30" s="13"/>
    </row>
    <row r="31" ht="15.75" customHeight="1">
      <c r="A31" s="13"/>
      <c r="B31" s="13"/>
      <c r="C31" s="13"/>
    </row>
    <row r="32" ht="15.75" customHeight="1">
      <c r="A32" s="13"/>
      <c r="B32" s="13"/>
      <c r="C32" s="13"/>
    </row>
    <row r="33" ht="15.75" customHeight="1">
      <c r="A33" s="13"/>
      <c r="B33" s="13"/>
      <c r="C33" s="13"/>
    </row>
    <row r="34" ht="15.75" customHeight="1">
      <c r="A34" s="13"/>
      <c r="B34" s="13"/>
      <c r="C34" s="13"/>
    </row>
    <row r="35" ht="15.75" customHeight="1">
      <c r="A35" s="13"/>
      <c r="B35" s="13"/>
      <c r="C35" s="13"/>
    </row>
    <row r="36" ht="15.75" customHeight="1">
      <c r="A36" s="13"/>
      <c r="B36" s="13"/>
      <c r="C36" s="13"/>
    </row>
    <row r="37" ht="15.75" customHeight="1">
      <c r="A37" s="13"/>
      <c r="B37" s="13"/>
      <c r="C37" s="13"/>
    </row>
    <row r="38" ht="15.75" customHeight="1">
      <c r="A38" s="13"/>
      <c r="B38" s="13"/>
      <c r="C38" s="13"/>
    </row>
    <row r="39" ht="15.75" customHeight="1">
      <c r="A39" s="13"/>
      <c r="B39" s="13"/>
      <c r="C39" s="13"/>
    </row>
    <row r="40" ht="15.75" customHeight="1">
      <c r="A40" s="13"/>
      <c r="B40" s="13"/>
      <c r="C40" s="13"/>
    </row>
    <row r="41" ht="15.75" customHeight="1">
      <c r="A41" s="13"/>
      <c r="B41" s="13"/>
      <c r="C41" s="13"/>
    </row>
    <row r="42" ht="15.75" customHeight="1">
      <c r="A42" s="13"/>
      <c r="B42" s="13"/>
      <c r="C42" s="13"/>
    </row>
    <row r="43" ht="15.75" customHeight="1">
      <c r="A43" s="13"/>
      <c r="B43" s="13"/>
      <c r="C43" s="13"/>
    </row>
    <row r="44" ht="15.75" customHeight="1">
      <c r="A44" s="13"/>
      <c r="B44" s="13"/>
      <c r="C44" s="13"/>
    </row>
    <row r="45" ht="15.75" customHeight="1">
      <c r="A45" s="13"/>
      <c r="B45" s="13"/>
      <c r="C45" s="13"/>
    </row>
    <row r="46" ht="15.75" customHeight="1">
      <c r="A46" s="13"/>
      <c r="B46" s="13"/>
      <c r="C46" s="13"/>
    </row>
    <row r="47" ht="15.75" customHeight="1">
      <c r="A47" s="13"/>
      <c r="B47" s="13"/>
      <c r="C47" s="13"/>
    </row>
    <row r="48" ht="15.75" customHeight="1">
      <c r="A48" s="13"/>
      <c r="B48" s="13"/>
      <c r="C48" s="13"/>
    </row>
    <row r="49" ht="15.75" customHeight="1">
      <c r="A49" s="13"/>
      <c r="B49" s="13"/>
      <c r="C49" s="13"/>
    </row>
    <row r="50" ht="15.75" customHeight="1">
      <c r="A50" s="13"/>
      <c r="B50" s="13"/>
      <c r="C50" s="13"/>
    </row>
    <row r="51" ht="15.75" customHeight="1">
      <c r="A51" s="13"/>
      <c r="B51" s="13"/>
      <c r="C51" s="13"/>
    </row>
    <row r="52" ht="15.75" customHeight="1">
      <c r="A52" s="13"/>
      <c r="B52" s="13"/>
      <c r="C52" s="13"/>
    </row>
    <row r="53" ht="15.75" customHeight="1">
      <c r="A53" s="13"/>
      <c r="B53" s="13"/>
      <c r="C53" s="13"/>
    </row>
    <row r="54" ht="15.75" customHeight="1">
      <c r="A54" s="13"/>
      <c r="B54" s="13"/>
      <c r="C54" s="13"/>
    </row>
    <row r="55" ht="15.75" customHeight="1">
      <c r="A55" s="13"/>
      <c r="B55" s="13"/>
      <c r="C55" s="13"/>
    </row>
    <row r="56" ht="15.75" customHeight="1">
      <c r="A56" s="13"/>
      <c r="B56" s="13"/>
      <c r="C56" s="13"/>
    </row>
    <row r="57" ht="15.75" customHeight="1">
      <c r="A57" s="13"/>
      <c r="B57" s="13"/>
      <c r="C57" s="13"/>
    </row>
    <row r="58" ht="15.75" customHeight="1">
      <c r="A58" s="13"/>
      <c r="B58" s="13"/>
      <c r="C58" s="13"/>
    </row>
    <row r="59" ht="15.75" customHeight="1">
      <c r="A59" s="13"/>
      <c r="B59" s="13"/>
      <c r="C59" s="13"/>
    </row>
    <row r="60" ht="15.75" customHeight="1">
      <c r="A60" s="13"/>
      <c r="B60" s="13"/>
      <c r="C60" s="13"/>
    </row>
    <row r="61" ht="15.75" customHeight="1">
      <c r="A61" s="13"/>
      <c r="B61" s="13"/>
      <c r="C61" s="13"/>
    </row>
    <row r="62" ht="15.75" customHeight="1">
      <c r="A62" s="13"/>
      <c r="B62" s="13"/>
      <c r="C62" s="13"/>
    </row>
    <row r="63" ht="15.75" customHeight="1">
      <c r="A63" s="13"/>
      <c r="B63" s="13"/>
      <c r="C63" s="13"/>
    </row>
    <row r="64" ht="15.75" customHeight="1">
      <c r="A64" s="13"/>
      <c r="B64" s="13"/>
      <c r="C64" s="13"/>
    </row>
    <row r="65" ht="15.75" customHeight="1">
      <c r="A65" s="13"/>
      <c r="B65" s="13"/>
      <c r="C65" s="13"/>
    </row>
    <row r="66" ht="15.75" customHeight="1">
      <c r="A66" s="13"/>
      <c r="B66" s="13"/>
      <c r="C66" s="13"/>
    </row>
    <row r="67" ht="15.75" customHeight="1">
      <c r="A67" s="13"/>
      <c r="B67" s="13"/>
      <c r="C67" s="13"/>
    </row>
    <row r="68" ht="15.75" customHeight="1">
      <c r="A68" s="13"/>
      <c r="B68" s="13"/>
      <c r="C68" s="13"/>
    </row>
    <row r="69" ht="15.75" customHeight="1">
      <c r="A69" s="13"/>
      <c r="B69" s="13"/>
      <c r="C69" s="13"/>
    </row>
    <row r="70" ht="15.75" customHeight="1">
      <c r="A70" s="13"/>
      <c r="B70" s="13"/>
      <c r="C70" s="13"/>
    </row>
    <row r="71" ht="15.75" customHeight="1">
      <c r="A71" s="13"/>
      <c r="B71" s="13"/>
      <c r="C71" s="13"/>
    </row>
    <row r="72" ht="15.75" customHeight="1">
      <c r="A72" s="13"/>
      <c r="B72" s="13"/>
      <c r="C72" s="13"/>
    </row>
    <row r="73" ht="15.75" customHeight="1">
      <c r="A73" s="13"/>
      <c r="B73" s="13"/>
      <c r="C73" s="13"/>
    </row>
    <row r="74" ht="15.75" customHeight="1">
      <c r="A74" s="13"/>
      <c r="B74" s="13"/>
      <c r="C74" s="13"/>
    </row>
    <row r="75" ht="15.75" customHeight="1">
      <c r="A75" s="13"/>
      <c r="B75" s="13"/>
      <c r="C75" s="13"/>
    </row>
    <row r="76" ht="15.75" customHeight="1">
      <c r="A76" s="13"/>
      <c r="B76" s="13"/>
      <c r="C76" s="13"/>
    </row>
    <row r="77" ht="15.75" customHeight="1">
      <c r="A77" s="13"/>
      <c r="B77" s="13"/>
      <c r="C77" s="13"/>
    </row>
    <row r="78" ht="15.75" customHeight="1">
      <c r="A78" s="13"/>
      <c r="B78" s="13"/>
      <c r="C78" s="13"/>
    </row>
    <row r="79" ht="15.75" customHeight="1">
      <c r="A79" s="13"/>
      <c r="B79" s="13"/>
      <c r="C79" s="13"/>
    </row>
    <row r="80" ht="15.75" customHeight="1">
      <c r="A80" s="13"/>
      <c r="B80" s="13"/>
      <c r="C80" s="13"/>
    </row>
    <row r="81" ht="15.75" customHeight="1">
      <c r="A81" s="13"/>
      <c r="B81" s="13"/>
      <c r="C81" s="13"/>
    </row>
    <row r="82" ht="15.75" customHeight="1">
      <c r="A82" s="13"/>
      <c r="B82" s="13"/>
      <c r="C82" s="13"/>
    </row>
    <row r="83" ht="15.75" customHeight="1">
      <c r="A83" s="13"/>
      <c r="B83" s="13"/>
      <c r="C83" s="13"/>
    </row>
    <row r="84" ht="15.75" customHeight="1">
      <c r="A84" s="13"/>
      <c r="B84" s="13"/>
      <c r="C84" s="13"/>
    </row>
    <row r="85" ht="15.75" customHeight="1">
      <c r="A85" s="13"/>
      <c r="B85" s="13"/>
      <c r="C85" s="13"/>
    </row>
    <row r="86" ht="15.75" customHeight="1">
      <c r="A86" s="13"/>
      <c r="B86" s="13"/>
      <c r="C86" s="13"/>
    </row>
    <row r="87" ht="15.75" customHeight="1">
      <c r="A87" s="13"/>
      <c r="B87" s="13"/>
      <c r="C87" s="13"/>
    </row>
    <row r="88" ht="15.75" customHeight="1">
      <c r="A88" s="13"/>
      <c r="B88" s="13"/>
      <c r="C88" s="13"/>
    </row>
    <row r="89" ht="15.75" customHeight="1">
      <c r="A89" s="13"/>
      <c r="B89" s="13"/>
      <c r="C89" s="13"/>
    </row>
    <row r="90" ht="15.75" customHeight="1">
      <c r="A90" s="13"/>
      <c r="B90" s="13"/>
      <c r="C90" s="13"/>
    </row>
    <row r="91" ht="15.75" customHeight="1">
      <c r="A91" s="13"/>
      <c r="B91" s="13"/>
      <c r="C91" s="13"/>
    </row>
    <row r="92" ht="15.75" customHeight="1">
      <c r="A92" s="13"/>
      <c r="B92" s="13"/>
      <c r="C92" s="13"/>
    </row>
    <row r="93" ht="15.75" customHeight="1">
      <c r="A93" s="13"/>
      <c r="B93" s="13"/>
      <c r="C93" s="13"/>
    </row>
    <row r="94" ht="15.75" customHeight="1">
      <c r="A94" s="13"/>
      <c r="B94" s="13"/>
      <c r="C94" s="13"/>
    </row>
    <row r="95" ht="15.75" customHeight="1">
      <c r="A95" s="13"/>
      <c r="B95" s="13"/>
      <c r="C95" s="13"/>
    </row>
    <row r="96" ht="15.75" customHeight="1">
      <c r="A96" s="13"/>
      <c r="B96" s="13"/>
      <c r="C96" s="13"/>
    </row>
    <row r="97" ht="15.75" customHeight="1">
      <c r="A97" s="13"/>
      <c r="B97" s="13"/>
      <c r="C97" s="13"/>
    </row>
    <row r="98" ht="15.75" customHeight="1">
      <c r="A98" s="13"/>
      <c r="B98" s="13"/>
      <c r="C98" s="13"/>
    </row>
    <row r="99" ht="15.75" customHeight="1">
      <c r="A99" s="13"/>
      <c r="B99" s="13"/>
      <c r="C99" s="13"/>
    </row>
    <row r="100" ht="15.75" customHeight="1">
      <c r="A100" s="13"/>
      <c r="B100" s="13"/>
      <c r="C100" s="13"/>
    </row>
    <row r="101" ht="15.75" customHeight="1">
      <c r="A101" s="13"/>
      <c r="B101" s="13"/>
      <c r="C101" s="13"/>
    </row>
    <row r="102" ht="15.75" customHeight="1">
      <c r="A102" s="13"/>
      <c r="B102" s="13"/>
      <c r="C102" s="13"/>
    </row>
    <row r="103" ht="15.75" customHeight="1">
      <c r="A103" s="13"/>
      <c r="B103" s="13"/>
      <c r="C103" s="13"/>
    </row>
    <row r="104" ht="15.75" customHeight="1">
      <c r="A104" s="13"/>
      <c r="B104" s="13"/>
      <c r="C104" s="13"/>
    </row>
    <row r="105" ht="15.75" customHeight="1">
      <c r="A105" s="13"/>
      <c r="B105" s="13"/>
      <c r="C105" s="13"/>
    </row>
    <row r="106" ht="15.75" customHeight="1">
      <c r="A106" s="13"/>
      <c r="B106" s="13"/>
      <c r="C106" s="13"/>
    </row>
    <row r="107" ht="15.75" customHeight="1">
      <c r="A107" s="13"/>
      <c r="B107" s="13"/>
      <c r="C107" s="13"/>
    </row>
    <row r="108" ht="15.75" customHeight="1">
      <c r="A108" s="13"/>
      <c r="B108" s="13"/>
      <c r="C108" s="13"/>
    </row>
    <row r="109" ht="15.75" customHeight="1">
      <c r="A109" s="13"/>
      <c r="B109" s="13"/>
      <c r="C109" s="13"/>
    </row>
    <row r="110" ht="15.75" customHeight="1">
      <c r="A110" s="13"/>
      <c r="B110" s="13"/>
      <c r="C110" s="13"/>
    </row>
    <row r="111" ht="15.75" customHeight="1">
      <c r="A111" s="13"/>
      <c r="B111" s="13"/>
      <c r="C111" s="13"/>
    </row>
    <row r="112" ht="15.75" customHeight="1">
      <c r="A112" s="13"/>
      <c r="B112" s="13"/>
      <c r="C112" s="13"/>
    </row>
    <row r="113" ht="15.75" customHeight="1">
      <c r="A113" s="13"/>
      <c r="B113" s="13"/>
      <c r="C113" s="13"/>
    </row>
    <row r="114" ht="15.75" customHeight="1">
      <c r="A114" s="13"/>
      <c r="B114" s="13"/>
      <c r="C114" s="13"/>
    </row>
    <row r="115" ht="15.75" customHeight="1">
      <c r="A115" s="13"/>
      <c r="B115" s="13"/>
      <c r="C115" s="13"/>
    </row>
    <row r="116" ht="15.75" customHeight="1">
      <c r="A116" s="13"/>
      <c r="B116" s="13"/>
      <c r="C116" s="13"/>
    </row>
    <row r="117" ht="15.75" customHeight="1">
      <c r="A117" s="13"/>
      <c r="B117" s="13"/>
      <c r="C117" s="13"/>
    </row>
    <row r="118" ht="15.75" customHeight="1">
      <c r="A118" s="13"/>
      <c r="B118" s="13"/>
      <c r="C118" s="13"/>
    </row>
    <row r="119" ht="15.75" customHeight="1">
      <c r="A119" s="13"/>
      <c r="B119" s="13"/>
      <c r="C119" s="13"/>
    </row>
    <row r="120" ht="15.75" customHeight="1">
      <c r="A120" s="13"/>
      <c r="B120" s="13"/>
      <c r="C120" s="13"/>
    </row>
    <row r="121" ht="15.75" customHeight="1">
      <c r="A121" s="13"/>
      <c r="B121" s="13"/>
      <c r="C121" s="13"/>
    </row>
    <row r="122" ht="15.75" customHeight="1">
      <c r="A122" s="13"/>
      <c r="B122" s="13"/>
      <c r="C122" s="13"/>
    </row>
    <row r="123" ht="15.75" customHeight="1">
      <c r="A123" s="13"/>
      <c r="B123" s="13"/>
      <c r="C123" s="13"/>
    </row>
    <row r="124" ht="15.75" customHeight="1">
      <c r="A124" s="13"/>
      <c r="B124" s="13"/>
      <c r="C124" s="13"/>
    </row>
    <row r="125" ht="15.75" customHeight="1">
      <c r="A125" s="13"/>
      <c r="B125" s="13"/>
      <c r="C125" s="13"/>
    </row>
    <row r="126" ht="15.75" customHeight="1">
      <c r="A126" s="13"/>
      <c r="B126" s="13"/>
      <c r="C126" s="13"/>
    </row>
    <row r="127" ht="15.75" customHeight="1">
      <c r="A127" s="13"/>
      <c r="B127" s="13"/>
      <c r="C127" s="13"/>
    </row>
    <row r="128" ht="15.75" customHeight="1">
      <c r="A128" s="13"/>
      <c r="B128" s="13"/>
      <c r="C128" s="13"/>
    </row>
    <row r="129" ht="15.75" customHeight="1">
      <c r="A129" s="13"/>
      <c r="B129" s="13"/>
      <c r="C129" s="13"/>
    </row>
    <row r="130" ht="15.75" customHeight="1">
      <c r="A130" s="13"/>
      <c r="B130" s="13"/>
      <c r="C130" s="13"/>
    </row>
    <row r="131" ht="15.75" customHeight="1">
      <c r="A131" s="13"/>
      <c r="B131" s="13"/>
      <c r="C131" s="13"/>
    </row>
    <row r="132" ht="15.75" customHeight="1">
      <c r="A132" s="13"/>
      <c r="B132" s="13"/>
      <c r="C132" s="13"/>
    </row>
    <row r="133" ht="15.75" customHeight="1">
      <c r="A133" s="13"/>
      <c r="B133" s="13"/>
      <c r="C133" s="13"/>
    </row>
    <row r="134" ht="15.75" customHeight="1">
      <c r="A134" s="13"/>
      <c r="B134" s="13"/>
      <c r="C134" s="13"/>
    </row>
    <row r="135" ht="15.75" customHeight="1">
      <c r="A135" s="13"/>
      <c r="B135" s="13"/>
      <c r="C135" s="13"/>
    </row>
    <row r="136" ht="15.75" customHeight="1">
      <c r="A136" s="13"/>
      <c r="B136" s="13"/>
      <c r="C136" s="13"/>
    </row>
    <row r="137" ht="15.75" customHeight="1">
      <c r="A137" s="13"/>
      <c r="B137" s="13"/>
      <c r="C137" s="13"/>
    </row>
    <row r="138" ht="15.75" customHeight="1">
      <c r="A138" s="13"/>
      <c r="B138" s="13"/>
      <c r="C138" s="13"/>
    </row>
    <row r="139" ht="15.75" customHeight="1">
      <c r="A139" s="13"/>
      <c r="B139" s="13"/>
      <c r="C139" s="13"/>
    </row>
    <row r="140" ht="15.75" customHeight="1">
      <c r="A140" s="13"/>
      <c r="B140" s="13"/>
      <c r="C140" s="13"/>
    </row>
    <row r="141" ht="15.75" customHeight="1">
      <c r="A141" s="13"/>
      <c r="B141" s="13"/>
      <c r="C141" s="13"/>
    </row>
    <row r="142" ht="15.75" customHeight="1">
      <c r="A142" s="13"/>
      <c r="B142" s="13"/>
      <c r="C142" s="13"/>
    </row>
    <row r="143" ht="15.75" customHeight="1">
      <c r="A143" s="13"/>
      <c r="B143" s="13"/>
      <c r="C143" s="13"/>
    </row>
    <row r="144" ht="15.75" customHeight="1">
      <c r="A144" s="13"/>
      <c r="B144" s="13"/>
      <c r="C144" s="13"/>
    </row>
    <row r="145" ht="15.75" customHeight="1">
      <c r="A145" s="13"/>
      <c r="B145" s="13"/>
      <c r="C145" s="13"/>
    </row>
    <row r="146" ht="15.75" customHeight="1">
      <c r="A146" s="13"/>
      <c r="B146" s="13"/>
      <c r="C146" s="13"/>
    </row>
    <row r="147" ht="15.75" customHeight="1">
      <c r="A147" s="13"/>
      <c r="B147" s="13"/>
      <c r="C147" s="13"/>
    </row>
    <row r="148" ht="15.75" customHeight="1">
      <c r="A148" s="13"/>
      <c r="B148" s="13"/>
      <c r="C148" s="13"/>
    </row>
    <row r="149" ht="15.75" customHeight="1">
      <c r="A149" s="13"/>
      <c r="B149" s="13"/>
      <c r="C149" s="13"/>
    </row>
    <row r="150" ht="15.75" customHeight="1">
      <c r="A150" s="13"/>
      <c r="B150" s="13"/>
      <c r="C150" s="13"/>
    </row>
    <row r="151" ht="15.75" customHeight="1">
      <c r="A151" s="13"/>
      <c r="B151" s="13"/>
      <c r="C151" s="13"/>
    </row>
    <row r="152" ht="15.75" customHeight="1">
      <c r="A152" s="13"/>
      <c r="B152" s="13"/>
      <c r="C152" s="13"/>
    </row>
    <row r="153" ht="15.75" customHeight="1">
      <c r="A153" s="13"/>
      <c r="B153" s="13"/>
      <c r="C153" s="13"/>
    </row>
    <row r="154" ht="15.75" customHeight="1">
      <c r="A154" s="13"/>
      <c r="B154" s="13"/>
      <c r="C154" s="13"/>
    </row>
    <row r="155" ht="15.75" customHeight="1">
      <c r="A155" s="13"/>
      <c r="B155" s="13"/>
      <c r="C155" s="13"/>
    </row>
    <row r="156" ht="15.75" customHeight="1">
      <c r="A156" s="13"/>
      <c r="B156" s="13"/>
      <c r="C156" s="13"/>
    </row>
    <row r="157" ht="15.75" customHeight="1">
      <c r="A157" s="13"/>
      <c r="B157" s="13"/>
      <c r="C157" s="13"/>
    </row>
    <row r="158" ht="15.75" customHeight="1">
      <c r="A158" s="13"/>
      <c r="B158" s="13"/>
      <c r="C158" s="13"/>
    </row>
    <row r="159" ht="15.75" customHeight="1">
      <c r="A159" s="13"/>
      <c r="B159" s="13"/>
      <c r="C159" s="13"/>
    </row>
    <row r="160" ht="15.75" customHeight="1">
      <c r="A160" s="13"/>
      <c r="B160" s="13"/>
      <c r="C160" s="13"/>
    </row>
    <row r="161" ht="15.75" customHeight="1">
      <c r="A161" s="13"/>
      <c r="B161" s="13"/>
      <c r="C161" s="13"/>
    </row>
    <row r="162" ht="15.75" customHeight="1">
      <c r="A162" s="13"/>
      <c r="B162" s="13"/>
      <c r="C162" s="13"/>
    </row>
    <row r="163" ht="15.75" customHeight="1">
      <c r="A163" s="13"/>
      <c r="B163" s="13"/>
      <c r="C163" s="13"/>
    </row>
    <row r="164" ht="15.75" customHeight="1">
      <c r="A164" s="13"/>
      <c r="B164" s="13"/>
      <c r="C164" s="13"/>
    </row>
    <row r="165" ht="15.75" customHeight="1">
      <c r="A165" s="13"/>
      <c r="B165" s="13"/>
      <c r="C165" s="13"/>
    </row>
    <row r="166" ht="15.75" customHeight="1">
      <c r="A166" s="13"/>
      <c r="B166" s="13"/>
      <c r="C166" s="13"/>
    </row>
    <row r="167" ht="15.75" customHeight="1">
      <c r="A167" s="13"/>
      <c r="B167" s="13"/>
      <c r="C167" s="13"/>
    </row>
    <row r="168" ht="15.75" customHeight="1">
      <c r="A168" s="13"/>
      <c r="B168" s="13"/>
      <c r="C168" s="13"/>
    </row>
    <row r="169" ht="15.75" customHeight="1">
      <c r="A169" s="13"/>
      <c r="B169" s="13"/>
      <c r="C169" s="13"/>
    </row>
    <row r="170" ht="15.75" customHeight="1">
      <c r="A170" s="13"/>
      <c r="B170" s="13"/>
      <c r="C170" s="13"/>
    </row>
    <row r="171" ht="15.75" customHeight="1">
      <c r="A171" s="13"/>
      <c r="B171" s="13"/>
      <c r="C171" s="13"/>
    </row>
    <row r="172" ht="15.75" customHeight="1">
      <c r="A172" s="13"/>
      <c r="B172" s="13"/>
      <c r="C172" s="13"/>
    </row>
    <row r="173" ht="15.75" customHeight="1">
      <c r="A173" s="13"/>
      <c r="B173" s="13"/>
      <c r="C173" s="13"/>
    </row>
    <row r="174" ht="15.75" customHeight="1">
      <c r="A174" s="13"/>
      <c r="B174" s="13"/>
      <c r="C174" s="13"/>
    </row>
    <row r="175" ht="15.75" customHeight="1">
      <c r="A175" s="13"/>
      <c r="B175" s="13"/>
      <c r="C175" s="13"/>
    </row>
    <row r="176" ht="15.75" customHeight="1">
      <c r="A176" s="13"/>
      <c r="B176" s="13"/>
      <c r="C176" s="13"/>
    </row>
    <row r="177" ht="15.75" customHeight="1">
      <c r="A177" s="13"/>
      <c r="B177" s="13"/>
      <c r="C177" s="13"/>
    </row>
    <row r="178" ht="15.75" customHeight="1">
      <c r="A178" s="13"/>
      <c r="B178" s="13"/>
      <c r="C178" s="13"/>
    </row>
    <row r="179" ht="15.75" customHeight="1">
      <c r="A179" s="13"/>
      <c r="B179" s="13"/>
      <c r="C179" s="13"/>
    </row>
    <row r="180" ht="15.75" customHeight="1">
      <c r="A180" s="13"/>
      <c r="B180" s="13"/>
      <c r="C180" s="13"/>
    </row>
    <row r="181" ht="15.75" customHeight="1">
      <c r="A181" s="13"/>
      <c r="B181" s="13"/>
      <c r="C181" s="13"/>
    </row>
    <row r="182" ht="15.75" customHeight="1">
      <c r="A182" s="13"/>
      <c r="B182" s="13"/>
      <c r="C182" s="13"/>
    </row>
    <row r="183" ht="15.75" customHeight="1">
      <c r="A183" s="13"/>
      <c r="B183" s="13"/>
      <c r="C183" s="13"/>
    </row>
    <row r="184" ht="15.75" customHeight="1">
      <c r="A184" s="13"/>
      <c r="B184" s="13"/>
      <c r="C184" s="13"/>
    </row>
    <row r="185" ht="15.75" customHeight="1">
      <c r="A185" s="13"/>
      <c r="B185" s="13"/>
      <c r="C185" s="13"/>
    </row>
    <row r="186" ht="15.75" customHeight="1">
      <c r="A186" s="13"/>
      <c r="B186" s="13"/>
      <c r="C186" s="13"/>
    </row>
    <row r="187" ht="15.75" customHeight="1">
      <c r="A187" s="13"/>
      <c r="B187" s="13"/>
      <c r="C187" s="13"/>
    </row>
    <row r="188" ht="15.75" customHeight="1">
      <c r="A188" s="13"/>
      <c r="B188" s="13"/>
      <c r="C188" s="13"/>
    </row>
    <row r="189" ht="15.75" customHeight="1">
      <c r="A189" s="13"/>
      <c r="B189" s="13"/>
      <c r="C189" s="13"/>
    </row>
    <row r="190" ht="15.75" customHeight="1">
      <c r="A190" s="13"/>
      <c r="B190" s="13"/>
      <c r="C190" s="13"/>
    </row>
    <row r="191" ht="15.75" customHeight="1">
      <c r="A191" s="13"/>
      <c r="B191" s="13"/>
      <c r="C191" s="13"/>
    </row>
    <row r="192" ht="15.75" customHeight="1">
      <c r="A192" s="13"/>
      <c r="B192" s="13"/>
      <c r="C192" s="13"/>
    </row>
    <row r="193" ht="15.75" customHeight="1">
      <c r="A193" s="13"/>
      <c r="B193" s="13"/>
      <c r="C193" s="13"/>
    </row>
    <row r="194" ht="15.75" customHeight="1">
      <c r="A194" s="13"/>
      <c r="B194" s="13"/>
      <c r="C194" s="13"/>
    </row>
    <row r="195" ht="15.75" customHeight="1">
      <c r="A195" s="13"/>
      <c r="B195" s="13"/>
      <c r="C195" s="13"/>
    </row>
    <row r="196" ht="15.75" customHeight="1">
      <c r="A196" s="13"/>
      <c r="B196" s="13"/>
      <c r="C196" s="13"/>
    </row>
    <row r="197" ht="15.75" customHeight="1">
      <c r="A197" s="13"/>
      <c r="B197" s="13"/>
      <c r="C197" s="13"/>
    </row>
    <row r="198" ht="15.75" customHeight="1">
      <c r="A198" s="13"/>
      <c r="B198" s="13"/>
      <c r="C198" s="13"/>
    </row>
    <row r="199" ht="15.75" customHeight="1">
      <c r="A199" s="13"/>
      <c r="B199" s="13"/>
      <c r="C199" s="13"/>
    </row>
    <row r="200" ht="15.75" customHeight="1">
      <c r="A200" s="13"/>
      <c r="B200" s="13"/>
      <c r="C200" s="13"/>
    </row>
    <row r="201" ht="15.75" customHeight="1">
      <c r="A201" s="13"/>
      <c r="B201" s="13"/>
      <c r="C201" s="13"/>
    </row>
    <row r="202" ht="15.75" customHeight="1">
      <c r="A202" s="13"/>
      <c r="B202" s="13"/>
      <c r="C202" s="13"/>
    </row>
    <row r="203" ht="15.75" customHeight="1">
      <c r="A203" s="13"/>
      <c r="B203" s="13"/>
      <c r="C203" s="13"/>
    </row>
    <row r="204" ht="15.75" customHeight="1">
      <c r="A204" s="13"/>
      <c r="B204" s="13"/>
      <c r="C204" s="13"/>
    </row>
    <row r="205" ht="15.75" customHeight="1">
      <c r="A205" s="13"/>
      <c r="B205" s="13"/>
      <c r="C205" s="13"/>
    </row>
    <row r="206" ht="15.75" customHeight="1">
      <c r="A206" s="13"/>
      <c r="B206" s="13"/>
      <c r="C206" s="13"/>
    </row>
    <row r="207" ht="15.75" customHeight="1">
      <c r="A207" s="13"/>
      <c r="B207" s="13"/>
      <c r="C207" s="13"/>
    </row>
    <row r="208" ht="15.75" customHeight="1">
      <c r="A208" s="13"/>
      <c r="B208" s="13"/>
      <c r="C208" s="13"/>
    </row>
    <row r="209" ht="15.75" customHeight="1">
      <c r="A209" s="13"/>
      <c r="B209" s="13"/>
      <c r="C209" s="13"/>
    </row>
    <row r="210" ht="15.75" customHeight="1">
      <c r="A210" s="13"/>
      <c r="B210" s="13"/>
      <c r="C210" s="13"/>
    </row>
    <row r="211" ht="15.75" customHeight="1">
      <c r="A211" s="13"/>
      <c r="B211" s="13"/>
      <c r="C211" s="13"/>
    </row>
    <row r="212" ht="15.75" customHeight="1">
      <c r="A212" s="13"/>
      <c r="B212" s="13"/>
      <c r="C212" s="13"/>
    </row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0"/>
    <col customWidth="1" min="2" max="2" width="44.0"/>
    <col customWidth="1" min="3" max="3" width="10.57"/>
    <col customWidth="1" min="4" max="4" width="8.0"/>
    <col customWidth="1" min="5" max="8" width="11.0"/>
    <col customWidth="1" min="9" max="9" width="9.0"/>
    <col customWidth="1" min="10" max="10" width="22.0"/>
    <col customWidth="1" min="11" max="11" width="26.0"/>
    <col customWidth="1" min="12" max="19" width="6.0"/>
    <col customWidth="1" min="20" max="26" width="12.57"/>
  </cols>
  <sheetData>
    <row r="1" ht="21.75" customHeight="1">
      <c r="A1" s="3" t="s">
        <v>3</v>
      </c>
    </row>
    <row r="2" ht="15.75" customHeight="1">
      <c r="A2" s="8" t="s">
        <v>7</v>
      </c>
    </row>
    <row r="3" ht="15.75" customHeight="1"/>
    <row r="4" ht="25.5" customHeight="1">
      <c r="A4" s="12" t="s">
        <v>13</v>
      </c>
      <c r="B4" s="12" t="s">
        <v>19</v>
      </c>
      <c r="C4" s="12" t="s">
        <v>23</v>
      </c>
      <c r="D4" s="12" t="s">
        <v>26</v>
      </c>
      <c r="E4" s="12" t="s">
        <v>28</v>
      </c>
      <c r="F4" s="12" t="s">
        <v>30</v>
      </c>
      <c r="G4" s="12" t="s">
        <v>34</v>
      </c>
      <c r="H4" s="12" t="s">
        <v>37</v>
      </c>
      <c r="I4" s="12" t="s">
        <v>41</v>
      </c>
      <c r="J4" s="12" t="s">
        <v>43</v>
      </c>
      <c r="K4" s="12" t="s">
        <v>33</v>
      </c>
      <c r="L4" s="17" t="s">
        <v>47</v>
      </c>
      <c r="M4" s="17" t="s">
        <v>51</v>
      </c>
      <c r="N4" s="17" t="s">
        <v>53</v>
      </c>
      <c r="O4" s="17" t="s">
        <v>54</v>
      </c>
      <c r="P4" s="17" t="s">
        <v>55</v>
      </c>
      <c r="Q4" s="17" t="s">
        <v>56</v>
      </c>
      <c r="R4" s="17" t="s">
        <v>57</v>
      </c>
      <c r="S4" s="17" t="s">
        <v>59</v>
      </c>
    </row>
    <row r="5" ht="18.0" customHeight="1">
      <c r="A5" s="17" t="s">
        <v>60</v>
      </c>
      <c r="B5" s="25" t="s">
        <v>61</v>
      </c>
      <c r="C5" s="26"/>
      <c r="D5" s="26"/>
      <c r="E5" s="26"/>
      <c r="F5" s="26"/>
      <c r="G5" s="26"/>
      <c r="H5" s="26"/>
      <c r="I5" s="26"/>
      <c r="J5" s="26"/>
      <c r="K5" s="27"/>
      <c r="L5" s="29"/>
    </row>
    <row r="6" ht="15.75" customHeight="1">
      <c r="A6" s="32" t="s">
        <v>70</v>
      </c>
      <c r="B6" s="33" t="s">
        <v>71</v>
      </c>
      <c r="C6" s="35" t="s">
        <v>8</v>
      </c>
      <c r="D6" s="36" t="s">
        <v>29</v>
      </c>
      <c r="E6" s="32" t="s">
        <v>74</v>
      </c>
      <c r="F6" s="32" t="s">
        <v>75</v>
      </c>
      <c r="I6" s="37" t="s">
        <v>76</v>
      </c>
      <c r="J6" s="32" t="s">
        <v>78</v>
      </c>
      <c r="K6" s="33" t="s">
        <v>81</v>
      </c>
      <c r="L6" s="39"/>
    </row>
    <row r="7" ht="15.75" customHeight="1">
      <c r="A7" s="32" t="s">
        <v>58</v>
      </c>
      <c r="B7" s="33" t="s">
        <v>83</v>
      </c>
      <c r="C7" s="35" t="s">
        <v>8</v>
      </c>
      <c r="D7" s="36" t="s">
        <v>29</v>
      </c>
      <c r="E7" s="32" t="s">
        <v>74</v>
      </c>
      <c r="F7" s="32" t="s">
        <v>75</v>
      </c>
      <c r="I7" s="37" t="s">
        <v>76</v>
      </c>
      <c r="J7" s="32" t="s">
        <v>87</v>
      </c>
      <c r="K7" s="33" t="s">
        <v>88</v>
      </c>
      <c r="L7" s="39"/>
    </row>
    <row r="8" ht="15.75" customHeight="1">
      <c r="A8" s="32" t="s">
        <v>91</v>
      </c>
      <c r="B8" s="33" t="s">
        <v>92</v>
      </c>
      <c r="C8" s="42" t="s">
        <v>8</v>
      </c>
      <c r="D8" s="36" t="s">
        <v>29</v>
      </c>
      <c r="E8" s="32" t="s">
        <v>95</v>
      </c>
      <c r="F8" s="32" t="s">
        <v>97</v>
      </c>
      <c r="I8" s="37" t="s">
        <v>76</v>
      </c>
      <c r="J8" s="32" t="s">
        <v>100</v>
      </c>
      <c r="K8" s="33" t="s">
        <v>101</v>
      </c>
      <c r="L8" s="39"/>
    </row>
    <row r="9" ht="15.75" customHeight="1">
      <c r="A9" s="32" t="s">
        <v>103</v>
      </c>
      <c r="B9" s="33" t="s">
        <v>104</v>
      </c>
      <c r="C9" s="43" t="s">
        <v>8</v>
      </c>
      <c r="D9" s="36" t="s">
        <v>29</v>
      </c>
      <c r="E9" s="32" t="s">
        <v>95</v>
      </c>
      <c r="F9" s="32" t="s">
        <v>97</v>
      </c>
      <c r="I9" s="44" t="s">
        <v>76</v>
      </c>
      <c r="J9" s="32" t="s">
        <v>109</v>
      </c>
      <c r="K9" s="33" t="s">
        <v>110</v>
      </c>
      <c r="L9" s="45"/>
    </row>
    <row r="10" ht="18.0" customHeight="1">
      <c r="A10" s="17" t="s">
        <v>112</v>
      </c>
      <c r="B10" s="25" t="s">
        <v>115</v>
      </c>
      <c r="C10" s="26"/>
      <c r="D10" s="26"/>
      <c r="E10" s="26"/>
      <c r="F10" s="26"/>
      <c r="G10" s="26"/>
      <c r="H10" s="26"/>
      <c r="I10" s="26"/>
      <c r="J10" s="26"/>
      <c r="K10" s="27"/>
      <c r="M10" s="47"/>
      <c r="N10" s="47"/>
    </row>
    <row r="11" ht="15.75" customHeight="1">
      <c r="A11" s="32" t="s">
        <v>82</v>
      </c>
      <c r="B11" s="33" t="s">
        <v>119</v>
      </c>
      <c r="C11" s="48" t="s">
        <v>14</v>
      </c>
      <c r="D11" s="36" t="s">
        <v>29</v>
      </c>
      <c r="E11" s="32" t="s">
        <v>74</v>
      </c>
      <c r="F11" s="32" t="s">
        <v>75</v>
      </c>
      <c r="I11" s="37" t="s">
        <v>76</v>
      </c>
      <c r="J11" s="32" t="s">
        <v>128</v>
      </c>
      <c r="K11" s="33" t="s">
        <v>131</v>
      </c>
      <c r="M11" s="53"/>
    </row>
    <row r="12" ht="15.75" customHeight="1">
      <c r="A12" s="32" t="s">
        <v>93</v>
      </c>
      <c r="B12" s="33" t="s">
        <v>135</v>
      </c>
      <c r="C12" s="48" t="s">
        <v>14</v>
      </c>
      <c r="D12" s="36" t="s">
        <v>29</v>
      </c>
      <c r="E12" s="32" t="s">
        <v>74</v>
      </c>
      <c r="F12" s="32" t="s">
        <v>97</v>
      </c>
      <c r="I12" s="37" t="s">
        <v>76</v>
      </c>
      <c r="J12" s="32" t="s">
        <v>139</v>
      </c>
      <c r="K12" s="33" t="s">
        <v>141</v>
      </c>
      <c r="M12" s="53"/>
    </row>
    <row r="13" ht="15.75" customHeight="1">
      <c r="A13" s="32" t="s">
        <v>102</v>
      </c>
      <c r="B13" s="33" t="s">
        <v>143</v>
      </c>
      <c r="C13" s="48" t="s">
        <v>14</v>
      </c>
      <c r="D13" s="36" t="s">
        <v>29</v>
      </c>
      <c r="E13" s="32" t="s">
        <v>146</v>
      </c>
      <c r="F13" s="32" t="s">
        <v>97</v>
      </c>
      <c r="I13" s="37" t="s">
        <v>76</v>
      </c>
      <c r="J13" s="32" t="s">
        <v>150</v>
      </c>
      <c r="K13" s="33" t="s">
        <v>151</v>
      </c>
      <c r="M13" s="53"/>
      <c r="N13" s="53"/>
    </row>
    <row r="14" ht="15.75" customHeight="1">
      <c r="A14" s="32" t="s">
        <v>155</v>
      </c>
      <c r="B14" s="33" t="s">
        <v>156</v>
      </c>
      <c r="C14" s="48" t="s">
        <v>14</v>
      </c>
      <c r="D14" s="36" t="s">
        <v>29</v>
      </c>
      <c r="E14" s="32" t="s">
        <v>74</v>
      </c>
      <c r="F14" s="32" t="s">
        <v>159</v>
      </c>
      <c r="I14" s="37" t="s">
        <v>76</v>
      </c>
      <c r="J14" s="32" t="s">
        <v>161</v>
      </c>
      <c r="K14" s="33" t="s">
        <v>162</v>
      </c>
      <c r="N14" s="53"/>
    </row>
    <row r="15" ht="15.75" customHeight="1">
      <c r="A15" s="32" t="s">
        <v>164</v>
      </c>
      <c r="B15" s="33" t="s">
        <v>166</v>
      </c>
      <c r="C15" s="48" t="s">
        <v>14</v>
      </c>
      <c r="D15" s="36" t="s">
        <v>29</v>
      </c>
      <c r="E15" s="32" t="s">
        <v>74</v>
      </c>
      <c r="F15" s="32" t="s">
        <v>159</v>
      </c>
      <c r="I15" s="37" t="s">
        <v>76</v>
      </c>
      <c r="J15" s="32" t="s">
        <v>168</v>
      </c>
      <c r="K15" s="33" t="s">
        <v>169</v>
      </c>
      <c r="N15" s="53"/>
    </row>
    <row r="16" ht="15.75" customHeight="1">
      <c r="A16" s="32" t="s">
        <v>171</v>
      </c>
      <c r="B16" s="33" t="s">
        <v>172</v>
      </c>
      <c r="C16" s="43" t="s">
        <v>14</v>
      </c>
      <c r="D16" s="36" t="s">
        <v>29</v>
      </c>
      <c r="E16" s="32" t="s">
        <v>174</v>
      </c>
      <c r="F16" s="32" t="s">
        <v>159</v>
      </c>
      <c r="I16" s="37" t="s">
        <v>76</v>
      </c>
      <c r="J16" s="32" t="s">
        <v>176</v>
      </c>
      <c r="K16" s="33" t="s">
        <v>177</v>
      </c>
      <c r="N16" s="45"/>
    </row>
    <row r="17" ht="15.75" customHeight="1">
      <c r="A17" s="32" t="s">
        <v>179</v>
      </c>
      <c r="B17" s="33" t="s">
        <v>181</v>
      </c>
      <c r="C17" s="48" t="s">
        <v>14</v>
      </c>
      <c r="D17" s="36" t="s">
        <v>29</v>
      </c>
      <c r="E17" s="32" t="s">
        <v>174</v>
      </c>
      <c r="F17" s="32" t="s">
        <v>183</v>
      </c>
      <c r="I17" s="44" t="s">
        <v>76</v>
      </c>
      <c r="J17" s="32" t="s">
        <v>185</v>
      </c>
      <c r="K17" s="33" t="s">
        <v>186</v>
      </c>
      <c r="N17" s="53"/>
    </row>
    <row r="18" ht="18.0" customHeight="1">
      <c r="A18" s="17" t="s">
        <v>188</v>
      </c>
      <c r="B18" s="25" t="s">
        <v>189</v>
      </c>
      <c r="C18" s="26"/>
      <c r="D18" s="26"/>
      <c r="E18" s="26"/>
      <c r="F18" s="26"/>
      <c r="G18" s="26"/>
      <c r="H18" s="26"/>
      <c r="I18" s="26"/>
      <c r="J18" s="26"/>
      <c r="K18" s="27"/>
      <c r="N18" s="62"/>
      <c r="O18" s="62"/>
      <c r="P18" s="62"/>
    </row>
    <row r="19" ht="15.75" customHeight="1">
      <c r="A19" s="32" t="s">
        <v>191</v>
      </c>
      <c r="B19" s="33" t="s">
        <v>192</v>
      </c>
      <c r="C19" s="64" t="s">
        <v>17</v>
      </c>
      <c r="D19" s="36" t="s">
        <v>29</v>
      </c>
      <c r="E19" s="32" t="s">
        <v>95</v>
      </c>
      <c r="F19" s="32" t="s">
        <v>174</v>
      </c>
      <c r="I19" s="37" t="s">
        <v>76</v>
      </c>
      <c r="J19" s="32" t="s">
        <v>195</v>
      </c>
      <c r="K19" s="33" t="s">
        <v>196</v>
      </c>
      <c r="N19" s="67"/>
      <c r="O19" s="67"/>
    </row>
    <row r="20" ht="15.75" customHeight="1">
      <c r="A20" s="32" t="s">
        <v>198</v>
      </c>
      <c r="B20" s="33" t="s">
        <v>199</v>
      </c>
      <c r="C20" s="64" t="s">
        <v>17</v>
      </c>
      <c r="D20" s="36" t="s">
        <v>29</v>
      </c>
      <c r="E20" s="32" t="s">
        <v>95</v>
      </c>
      <c r="F20" s="32" t="s">
        <v>159</v>
      </c>
      <c r="I20" s="37" t="s">
        <v>76</v>
      </c>
      <c r="J20" s="32" t="s">
        <v>200</v>
      </c>
      <c r="K20" s="33" t="s">
        <v>201</v>
      </c>
      <c r="N20" s="67"/>
      <c r="O20" s="67"/>
    </row>
    <row r="21" ht="15.75" customHeight="1">
      <c r="A21" s="32" t="s">
        <v>202</v>
      </c>
      <c r="B21" s="33" t="s">
        <v>203</v>
      </c>
      <c r="C21" s="64" t="s">
        <v>17</v>
      </c>
      <c r="D21" s="36" t="s">
        <v>29</v>
      </c>
      <c r="E21" s="32" t="s">
        <v>204</v>
      </c>
      <c r="F21" s="32" t="s">
        <v>159</v>
      </c>
      <c r="I21" s="37" t="s">
        <v>76</v>
      </c>
      <c r="J21" s="32" t="s">
        <v>205</v>
      </c>
      <c r="K21" s="33" t="s">
        <v>206</v>
      </c>
      <c r="O21" s="67"/>
      <c r="P21" s="67"/>
    </row>
    <row r="22" ht="15.75" customHeight="1">
      <c r="A22" s="32" t="s">
        <v>207</v>
      </c>
      <c r="B22" s="33" t="s">
        <v>208</v>
      </c>
      <c r="C22" s="64" t="s">
        <v>17</v>
      </c>
      <c r="D22" s="36" t="s">
        <v>29</v>
      </c>
      <c r="E22" s="32" t="s">
        <v>204</v>
      </c>
      <c r="F22" s="32" t="s">
        <v>159</v>
      </c>
      <c r="I22" s="37" t="s">
        <v>76</v>
      </c>
      <c r="J22" s="32" t="s">
        <v>209</v>
      </c>
      <c r="K22" s="33" t="s">
        <v>210</v>
      </c>
      <c r="O22" s="67"/>
    </row>
    <row r="23" ht="15.75" customHeight="1">
      <c r="A23" s="32" t="s">
        <v>211</v>
      </c>
      <c r="B23" s="33" t="s">
        <v>212</v>
      </c>
      <c r="C23" s="64" t="s">
        <v>17</v>
      </c>
      <c r="D23" s="36" t="s">
        <v>29</v>
      </c>
      <c r="E23" s="32" t="s">
        <v>95</v>
      </c>
      <c r="F23" s="32" t="s">
        <v>159</v>
      </c>
      <c r="I23" s="44" t="s">
        <v>76</v>
      </c>
      <c r="J23" s="32" t="s">
        <v>213</v>
      </c>
      <c r="K23" s="33" t="s">
        <v>214</v>
      </c>
      <c r="P23" s="67"/>
    </row>
    <row r="24" ht="15.75" customHeight="1">
      <c r="A24" s="32" t="s">
        <v>116</v>
      </c>
      <c r="B24" s="33" t="s">
        <v>215</v>
      </c>
      <c r="C24" s="43" t="s">
        <v>17</v>
      </c>
      <c r="D24" s="36" t="s">
        <v>29</v>
      </c>
      <c r="E24" s="32" t="s">
        <v>204</v>
      </c>
      <c r="F24" s="32" t="s">
        <v>216</v>
      </c>
      <c r="I24" s="44" t="s">
        <v>76</v>
      </c>
      <c r="J24" s="32" t="s">
        <v>217</v>
      </c>
      <c r="K24" s="33" t="s">
        <v>218</v>
      </c>
      <c r="O24" s="45"/>
    </row>
    <row r="25" ht="18.0" customHeight="1">
      <c r="A25" s="17" t="s">
        <v>219</v>
      </c>
      <c r="B25" s="25" t="s">
        <v>220</v>
      </c>
      <c r="C25" s="26"/>
      <c r="D25" s="26"/>
      <c r="E25" s="26"/>
      <c r="F25" s="26"/>
      <c r="G25" s="26"/>
      <c r="H25" s="26"/>
      <c r="I25" s="26"/>
      <c r="J25" s="26"/>
      <c r="K25" s="27"/>
      <c r="O25" s="69"/>
      <c r="P25" s="69"/>
    </row>
    <row r="26" ht="15.75" customHeight="1">
      <c r="A26" s="32" t="s">
        <v>221</v>
      </c>
      <c r="B26" s="33" t="s">
        <v>222</v>
      </c>
      <c r="C26" s="43" t="s">
        <v>22</v>
      </c>
      <c r="D26" s="36" t="s">
        <v>29</v>
      </c>
      <c r="E26" s="32" t="s">
        <v>74</v>
      </c>
      <c r="F26" s="32" t="s">
        <v>97</v>
      </c>
      <c r="I26" s="37" t="s">
        <v>76</v>
      </c>
      <c r="J26" s="32" t="s">
        <v>223</v>
      </c>
      <c r="K26" s="33" t="s">
        <v>224</v>
      </c>
      <c r="O26" s="45"/>
    </row>
    <row r="27" ht="15.75" customHeight="1">
      <c r="A27" s="32" t="s">
        <v>225</v>
      </c>
      <c r="B27" s="33" t="s">
        <v>226</v>
      </c>
      <c r="C27" s="43" t="s">
        <v>22</v>
      </c>
      <c r="D27" s="36" t="s">
        <v>29</v>
      </c>
      <c r="E27" s="32" t="s">
        <v>95</v>
      </c>
      <c r="F27" s="32" t="s">
        <v>174</v>
      </c>
      <c r="I27" s="37" t="s">
        <v>76</v>
      </c>
      <c r="J27" s="32" t="s">
        <v>227</v>
      </c>
      <c r="K27" s="33" t="s">
        <v>228</v>
      </c>
      <c r="O27" s="45"/>
    </row>
    <row r="28" ht="15.75" customHeight="1">
      <c r="A28" s="32" t="s">
        <v>127</v>
      </c>
      <c r="B28" s="33" t="s">
        <v>229</v>
      </c>
      <c r="C28" s="43" t="s">
        <v>22</v>
      </c>
      <c r="D28" s="36" t="s">
        <v>29</v>
      </c>
      <c r="E28" s="32" t="s">
        <v>174</v>
      </c>
      <c r="F28" s="32" t="s">
        <v>230</v>
      </c>
      <c r="I28" s="37" t="s">
        <v>76</v>
      </c>
      <c r="J28" s="32" t="s">
        <v>232</v>
      </c>
      <c r="K28" s="33" t="s">
        <v>233</v>
      </c>
      <c r="P28" s="45"/>
    </row>
    <row r="29" ht="15.75" customHeight="1">
      <c r="A29" s="32" t="s">
        <v>134</v>
      </c>
      <c r="B29" s="33" t="s">
        <v>234</v>
      </c>
      <c r="C29" s="43" t="s">
        <v>22</v>
      </c>
      <c r="D29" s="36" t="s">
        <v>18</v>
      </c>
      <c r="E29" s="32" t="s">
        <v>174</v>
      </c>
      <c r="F29" s="32" t="s">
        <v>230</v>
      </c>
      <c r="I29" s="37" t="s">
        <v>76</v>
      </c>
      <c r="J29" s="32" t="s">
        <v>235</v>
      </c>
      <c r="K29" s="33" t="s">
        <v>236</v>
      </c>
      <c r="P29" s="45"/>
    </row>
    <row r="30" ht="15.75" customHeight="1">
      <c r="A30" s="32" t="s">
        <v>237</v>
      </c>
      <c r="B30" s="33" t="s">
        <v>238</v>
      </c>
      <c r="C30" s="43" t="s">
        <v>22</v>
      </c>
      <c r="D30" s="36" t="s">
        <v>18</v>
      </c>
      <c r="E30" s="32" t="s">
        <v>174</v>
      </c>
      <c r="F30" s="32" t="s">
        <v>183</v>
      </c>
      <c r="I30" s="44" t="s">
        <v>76</v>
      </c>
      <c r="J30" s="32" t="s">
        <v>239</v>
      </c>
      <c r="K30" s="33" t="s">
        <v>240</v>
      </c>
      <c r="P30" s="45"/>
    </row>
    <row r="31" ht="18.0" customHeight="1">
      <c r="A31" s="17" t="s">
        <v>241</v>
      </c>
      <c r="B31" s="25" t="s">
        <v>242</v>
      </c>
      <c r="C31" s="26"/>
      <c r="D31" s="26"/>
      <c r="E31" s="26"/>
      <c r="F31" s="26"/>
      <c r="G31" s="26"/>
      <c r="H31" s="26"/>
      <c r="I31" s="26"/>
      <c r="J31" s="26"/>
      <c r="K31" s="27"/>
      <c r="P31" s="69"/>
      <c r="Q31" s="69"/>
    </row>
    <row r="32" ht="15.75" customHeight="1">
      <c r="A32" s="32" t="s">
        <v>243</v>
      </c>
      <c r="B32" s="33" t="s">
        <v>244</v>
      </c>
      <c r="C32" s="43" t="s">
        <v>22</v>
      </c>
      <c r="D32" s="36" t="s">
        <v>29</v>
      </c>
      <c r="E32" s="32" t="s">
        <v>95</v>
      </c>
      <c r="F32" s="32" t="s">
        <v>230</v>
      </c>
      <c r="I32" s="37" t="s">
        <v>76</v>
      </c>
      <c r="J32" s="32" t="s">
        <v>245</v>
      </c>
      <c r="K32" s="33" t="s">
        <v>246</v>
      </c>
      <c r="P32" s="45"/>
      <c r="Q32" s="45"/>
    </row>
    <row r="33" ht="15.75" customHeight="1">
      <c r="A33" s="32" t="s">
        <v>247</v>
      </c>
      <c r="B33" s="33" t="s">
        <v>248</v>
      </c>
      <c r="C33" s="43" t="s">
        <v>27</v>
      </c>
      <c r="D33" s="36" t="s">
        <v>29</v>
      </c>
      <c r="E33" s="32" t="s">
        <v>95</v>
      </c>
      <c r="F33" s="32" t="s">
        <v>249</v>
      </c>
      <c r="I33" s="37" t="s">
        <v>76</v>
      </c>
      <c r="J33" s="32" t="s">
        <v>250</v>
      </c>
      <c r="K33" s="33" t="s">
        <v>251</v>
      </c>
      <c r="P33" s="45"/>
    </row>
    <row r="34" ht="15.75" customHeight="1">
      <c r="A34" s="32" t="s">
        <v>252</v>
      </c>
      <c r="B34" s="33" t="s">
        <v>253</v>
      </c>
      <c r="C34" s="70" t="s">
        <v>160</v>
      </c>
      <c r="D34" s="36" t="s">
        <v>29</v>
      </c>
      <c r="E34" s="32" t="s">
        <v>204</v>
      </c>
      <c r="F34" s="32" t="s">
        <v>183</v>
      </c>
      <c r="I34" s="37" t="s">
        <v>76</v>
      </c>
      <c r="J34" s="32" t="s">
        <v>254</v>
      </c>
      <c r="K34" s="33" t="s">
        <v>255</v>
      </c>
      <c r="P34" s="71"/>
      <c r="Q34" s="71"/>
    </row>
    <row r="35" ht="15.75" customHeight="1">
      <c r="A35" s="32" t="s">
        <v>256</v>
      </c>
      <c r="B35" s="33" t="s">
        <v>257</v>
      </c>
      <c r="C35" s="64" t="s">
        <v>160</v>
      </c>
      <c r="D35" s="36" t="s">
        <v>29</v>
      </c>
      <c r="E35" s="32" t="s">
        <v>249</v>
      </c>
      <c r="F35" s="32" t="s">
        <v>183</v>
      </c>
      <c r="I35" s="44" t="s">
        <v>76</v>
      </c>
      <c r="J35" s="32" t="s">
        <v>258</v>
      </c>
      <c r="K35" s="33" t="s">
        <v>259</v>
      </c>
      <c r="Q35" s="67"/>
    </row>
    <row r="36" ht="15.75" customHeight="1">
      <c r="A36" s="32" t="s">
        <v>260</v>
      </c>
      <c r="B36" s="33" t="s">
        <v>261</v>
      </c>
      <c r="C36" s="64" t="s">
        <v>160</v>
      </c>
      <c r="D36" s="36" t="s">
        <v>29</v>
      </c>
      <c r="E36" s="32" t="s">
        <v>249</v>
      </c>
      <c r="F36" s="32" t="s">
        <v>183</v>
      </c>
      <c r="I36" s="37" t="s">
        <v>262</v>
      </c>
      <c r="J36" s="32" t="s">
        <v>263</v>
      </c>
      <c r="K36" s="33" t="s">
        <v>264</v>
      </c>
      <c r="Q36" s="45"/>
    </row>
    <row r="37" ht="15.75" customHeight="1">
      <c r="A37" s="32" t="s">
        <v>152</v>
      </c>
      <c r="B37" s="33" t="s">
        <v>265</v>
      </c>
      <c r="C37" s="43" t="s">
        <v>22</v>
      </c>
      <c r="D37" s="36" t="s">
        <v>29</v>
      </c>
      <c r="E37" s="32" t="s">
        <v>249</v>
      </c>
      <c r="F37" s="32" t="s">
        <v>216</v>
      </c>
      <c r="I37" s="44" t="s">
        <v>262</v>
      </c>
      <c r="J37" s="32" t="s">
        <v>109</v>
      </c>
      <c r="K37" s="33" t="s">
        <v>266</v>
      </c>
      <c r="Q37" s="45"/>
    </row>
    <row r="38" ht="18.0" customHeight="1">
      <c r="A38" s="17" t="s">
        <v>267</v>
      </c>
      <c r="B38" s="25" t="s">
        <v>269</v>
      </c>
      <c r="C38" s="26"/>
      <c r="D38" s="26"/>
      <c r="E38" s="26"/>
      <c r="F38" s="26"/>
      <c r="G38" s="26"/>
      <c r="H38" s="26"/>
      <c r="I38" s="26"/>
      <c r="J38" s="26"/>
      <c r="K38" s="27"/>
      <c r="P38" s="69"/>
      <c r="Q38" s="69"/>
      <c r="R38" s="69"/>
    </row>
    <row r="39" ht="15.75" customHeight="1">
      <c r="A39" s="32" t="s">
        <v>86</v>
      </c>
      <c r="B39" s="33" t="s">
        <v>271</v>
      </c>
      <c r="C39" s="43" t="s">
        <v>27</v>
      </c>
      <c r="D39" s="36" t="s">
        <v>29</v>
      </c>
      <c r="E39" s="32" t="s">
        <v>74</v>
      </c>
      <c r="F39" s="32" t="s">
        <v>97</v>
      </c>
      <c r="I39" s="37" t="s">
        <v>76</v>
      </c>
      <c r="J39" s="32" t="s">
        <v>272</v>
      </c>
      <c r="K39" s="33" t="s">
        <v>273</v>
      </c>
      <c r="Q39" s="45"/>
    </row>
    <row r="40" ht="15.75" customHeight="1">
      <c r="A40" s="32" t="s">
        <v>274</v>
      </c>
      <c r="B40" s="33" t="s">
        <v>275</v>
      </c>
      <c r="C40" s="43" t="s">
        <v>27</v>
      </c>
      <c r="D40" s="36" t="s">
        <v>29</v>
      </c>
      <c r="E40" s="32" t="s">
        <v>95</v>
      </c>
      <c r="F40" s="32" t="s">
        <v>159</v>
      </c>
      <c r="I40" s="73" t="s">
        <v>76</v>
      </c>
      <c r="J40" s="32" t="s">
        <v>276</v>
      </c>
      <c r="K40" s="33" t="s">
        <v>277</v>
      </c>
      <c r="Q40" s="45"/>
    </row>
    <row r="41" ht="15.75" customHeight="1">
      <c r="A41" s="32" t="s">
        <v>278</v>
      </c>
      <c r="B41" s="33" t="s">
        <v>279</v>
      </c>
      <c r="C41" s="43" t="s">
        <v>27</v>
      </c>
      <c r="D41" s="36" t="s">
        <v>29</v>
      </c>
      <c r="E41" s="32" t="s">
        <v>174</v>
      </c>
      <c r="F41" s="32" t="s">
        <v>230</v>
      </c>
      <c r="I41" s="37" t="s">
        <v>76</v>
      </c>
      <c r="J41" s="32" t="s">
        <v>280</v>
      </c>
      <c r="K41" s="33" t="s">
        <v>281</v>
      </c>
      <c r="P41" s="45"/>
      <c r="Q41" s="45"/>
    </row>
    <row r="42" ht="15.75" customHeight="1">
      <c r="A42" s="32" t="s">
        <v>282</v>
      </c>
      <c r="B42" s="33" t="s">
        <v>283</v>
      </c>
      <c r="C42" s="43" t="s">
        <v>27</v>
      </c>
      <c r="D42" s="36" t="s">
        <v>29</v>
      </c>
      <c r="E42" s="32" t="s">
        <v>174</v>
      </c>
      <c r="F42" s="32" t="s">
        <v>230</v>
      </c>
      <c r="I42" s="37" t="s">
        <v>76</v>
      </c>
      <c r="J42" s="32" t="s">
        <v>284</v>
      </c>
      <c r="K42" s="33" t="s">
        <v>285</v>
      </c>
      <c r="P42" s="45"/>
    </row>
    <row r="43" ht="15.75" customHeight="1">
      <c r="A43" s="32" t="s">
        <v>286</v>
      </c>
      <c r="B43" s="33" t="s">
        <v>287</v>
      </c>
      <c r="C43" s="70" t="s">
        <v>27</v>
      </c>
      <c r="D43" s="36" t="s">
        <v>29</v>
      </c>
      <c r="E43" s="32" t="s">
        <v>249</v>
      </c>
      <c r="F43" s="32" t="s">
        <v>183</v>
      </c>
      <c r="I43" s="37" t="s">
        <v>76</v>
      </c>
      <c r="J43" s="32" t="s">
        <v>288</v>
      </c>
      <c r="K43" s="33" t="s">
        <v>289</v>
      </c>
      <c r="Q43" s="71"/>
    </row>
    <row r="44" ht="15.75" customHeight="1">
      <c r="A44" s="32" t="s">
        <v>158</v>
      </c>
      <c r="B44" s="33" t="s">
        <v>290</v>
      </c>
      <c r="C44" s="43" t="s">
        <v>27</v>
      </c>
      <c r="D44" s="36" t="s">
        <v>29</v>
      </c>
      <c r="E44" s="32" t="s">
        <v>204</v>
      </c>
      <c r="F44" s="32" t="s">
        <v>291</v>
      </c>
      <c r="I44" s="44" t="s">
        <v>262</v>
      </c>
      <c r="J44" s="32" t="s">
        <v>292</v>
      </c>
      <c r="K44" s="33" t="s">
        <v>293</v>
      </c>
      <c r="R44" s="45"/>
    </row>
    <row r="45" ht="18.0" customHeight="1">
      <c r="A45" s="17" t="s">
        <v>294</v>
      </c>
      <c r="B45" s="25" t="s">
        <v>295</v>
      </c>
      <c r="C45" s="26"/>
      <c r="D45" s="26"/>
      <c r="E45" s="26"/>
      <c r="F45" s="26"/>
      <c r="G45" s="26"/>
      <c r="H45" s="26"/>
      <c r="I45" s="26"/>
      <c r="J45" s="26"/>
      <c r="K45" s="27"/>
      <c r="Q45" s="74"/>
      <c r="R45" s="74"/>
    </row>
    <row r="46" ht="15.75" customHeight="1">
      <c r="A46" s="32" t="s">
        <v>296</v>
      </c>
      <c r="B46" s="33" t="s">
        <v>297</v>
      </c>
      <c r="C46" s="70" t="s">
        <v>8</v>
      </c>
      <c r="D46" s="36" t="s">
        <v>29</v>
      </c>
      <c r="E46" s="32" t="s">
        <v>95</v>
      </c>
      <c r="F46" s="32" t="s">
        <v>97</v>
      </c>
      <c r="I46" s="37" t="s">
        <v>76</v>
      </c>
      <c r="J46" s="32" t="s">
        <v>298</v>
      </c>
      <c r="K46" s="33" t="s">
        <v>299</v>
      </c>
      <c r="Q46" s="71"/>
    </row>
    <row r="47" ht="15.75" customHeight="1">
      <c r="A47" s="32" t="s">
        <v>300</v>
      </c>
      <c r="B47" s="33" t="s">
        <v>301</v>
      </c>
      <c r="C47" s="70" t="s">
        <v>35</v>
      </c>
      <c r="D47" s="36" t="s">
        <v>29</v>
      </c>
      <c r="E47" s="32" t="s">
        <v>174</v>
      </c>
      <c r="F47" s="32" t="s">
        <v>230</v>
      </c>
      <c r="I47" s="37" t="s">
        <v>76</v>
      </c>
      <c r="J47" s="32" t="s">
        <v>302</v>
      </c>
      <c r="K47" s="33" t="s">
        <v>303</v>
      </c>
      <c r="Q47" s="71"/>
    </row>
    <row r="48" ht="15.75" customHeight="1">
      <c r="A48" s="32" t="s">
        <v>306</v>
      </c>
      <c r="B48" s="33" t="s">
        <v>307</v>
      </c>
      <c r="C48" s="70" t="s">
        <v>35</v>
      </c>
      <c r="D48" s="36" t="s">
        <v>29</v>
      </c>
      <c r="E48" s="32" t="s">
        <v>204</v>
      </c>
      <c r="F48" s="32" t="s">
        <v>159</v>
      </c>
      <c r="I48" s="37" t="s">
        <v>76</v>
      </c>
      <c r="J48" s="32" t="s">
        <v>308</v>
      </c>
      <c r="K48" s="33" t="s">
        <v>309</v>
      </c>
      <c r="Q48" s="71"/>
    </row>
    <row r="49" ht="15.75" customHeight="1">
      <c r="A49" s="32" t="s">
        <v>310</v>
      </c>
      <c r="B49" s="33" t="s">
        <v>311</v>
      </c>
      <c r="C49" s="70" t="s">
        <v>312</v>
      </c>
      <c r="D49" s="36" t="s">
        <v>29</v>
      </c>
      <c r="E49" s="32" t="s">
        <v>249</v>
      </c>
      <c r="F49" s="32" t="s">
        <v>183</v>
      </c>
      <c r="I49" s="37" t="s">
        <v>76</v>
      </c>
      <c r="J49" s="32" t="s">
        <v>313</v>
      </c>
      <c r="K49" s="33" t="s">
        <v>314</v>
      </c>
      <c r="Q49" s="71"/>
    </row>
    <row r="50" ht="15.75" customHeight="1">
      <c r="A50" s="32" t="s">
        <v>122</v>
      </c>
      <c r="B50" s="33" t="s">
        <v>315</v>
      </c>
      <c r="C50" s="70" t="s">
        <v>8</v>
      </c>
      <c r="D50" s="36" t="s">
        <v>29</v>
      </c>
      <c r="E50" s="32" t="s">
        <v>95</v>
      </c>
      <c r="F50" s="32" t="s">
        <v>316</v>
      </c>
      <c r="I50" s="44" t="s">
        <v>317</v>
      </c>
      <c r="J50" s="32" t="s">
        <v>87</v>
      </c>
      <c r="K50" s="33" t="s">
        <v>318</v>
      </c>
      <c r="R50" s="71"/>
    </row>
    <row r="51" ht="18.0" customHeight="1">
      <c r="A51" s="17" t="s">
        <v>319</v>
      </c>
      <c r="B51" s="25" t="s">
        <v>320</v>
      </c>
      <c r="C51" s="26"/>
      <c r="D51" s="26"/>
      <c r="E51" s="26"/>
      <c r="F51" s="26"/>
      <c r="G51" s="26"/>
      <c r="H51" s="26"/>
      <c r="I51" s="26"/>
      <c r="J51" s="26"/>
      <c r="K51" s="27"/>
      <c r="Q51" s="69"/>
      <c r="R51" s="69"/>
    </row>
    <row r="52" ht="15.75" customHeight="1">
      <c r="A52" s="32" t="s">
        <v>145</v>
      </c>
      <c r="B52" s="33" t="s">
        <v>321</v>
      </c>
      <c r="C52" s="43" t="s">
        <v>322</v>
      </c>
      <c r="D52" s="36" t="s">
        <v>29</v>
      </c>
      <c r="E52" s="32" t="s">
        <v>95</v>
      </c>
      <c r="F52" s="32" t="s">
        <v>323</v>
      </c>
      <c r="I52" s="44" t="s">
        <v>76</v>
      </c>
      <c r="J52" s="32" t="s">
        <v>324</v>
      </c>
      <c r="K52" s="33" t="s">
        <v>325</v>
      </c>
      <c r="Q52" s="45"/>
      <c r="R52" s="45"/>
    </row>
    <row r="53" ht="15.75" customHeight="1">
      <c r="A53" s="32" t="s">
        <v>167</v>
      </c>
      <c r="B53" s="33" t="s">
        <v>326</v>
      </c>
      <c r="C53" s="64" t="s">
        <v>35</v>
      </c>
      <c r="D53" s="36" t="s">
        <v>29</v>
      </c>
      <c r="E53" s="32" t="s">
        <v>249</v>
      </c>
      <c r="F53" s="32" t="s">
        <v>216</v>
      </c>
      <c r="I53" s="73" t="s">
        <v>76</v>
      </c>
      <c r="J53" s="32" t="s">
        <v>109</v>
      </c>
      <c r="K53" s="33" t="s">
        <v>327</v>
      </c>
      <c r="Q53" s="67"/>
    </row>
    <row r="54" ht="18.0" customHeight="1">
      <c r="A54" s="17" t="s">
        <v>328</v>
      </c>
      <c r="B54" s="25" t="s">
        <v>329</v>
      </c>
      <c r="C54" s="26"/>
      <c r="D54" s="26"/>
      <c r="E54" s="26"/>
      <c r="F54" s="26"/>
      <c r="G54" s="26"/>
      <c r="H54" s="26"/>
      <c r="I54" s="26"/>
      <c r="J54" s="26"/>
      <c r="K54" s="27"/>
      <c r="Q54" s="29"/>
      <c r="R54" s="29"/>
    </row>
    <row r="55" ht="15.75" customHeight="1">
      <c r="A55" s="32" t="s">
        <v>330</v>
      </c>
      <c r="B55" s="33" t="s">
        <v>331</v>
      </c>
      <c r="C55" s="35" t="s">
        <v>8</v>
      </c>
      <c r="D55" s="36" t="s">
        <v>29</v>
      </c>
      <c r="E55" s="32" t="s">
        <v>323</v>
      </c>
      <c r="F55" s="32" t="s">
        <v>323</v>
      </c>
      <c r="I55" s="37" t="s">
        <v>76</v>
      </c>
      <c r="J55" s="32" t="s">
        <v>78</v>
      </c>
      <c r="K55" s="33" t="s">
        <v>332</v>
      </c>
      <c r="R55" s="39"/>
    </row>
    <row r="56" ht="15.75" customHeight="1">
      <c r="A56" s="32" t="s">
        <v>333</v>
      </c>
      <c r="B56" s="33" t="s">
        <v>334</v>
      </c>
      <c r="C56" s="43" t="s">
        <v>35</v>
      </c>
      <c r="D56" s="36" t="s">
        <v>29</v>
      </c>
      <c r="E56" s="32" t="s">
        <v>335</v>
      </c>
      <c r="F56" s="32" t="s">
        <v>335</v>
      </c>
      <c r="I56" s="44" t="s">
        <v>76</v>
      </c>
      <c r="J56" s="32" t="s">
        <v>336</v>
      </c>
      <c r="K56" s="33" t="s">
        <v>337</v>
      </c>
      <c r="R56" s="45"/>
    </row>
    <row r="57" ht="15.75" customHeight="1">
      <c r="A57" s="32" t="s">
        <v>338</v>
      </c>
      <c r="B57" s="33" t="s">
        <v>339</v>
      </c>
      <c r="C57" s="43" t="s">
        <v>35</v>
      </c>
      <c r="D57" s="36" t="s">
        <v>29</v>
      </c>
      <c r="E57" s="32" t="s">
        <v>216</v>
      </c>
      <c r="F57" s="32" t="s">
        <v>216</v>
      </c>
      <c r="I57" s="37" t="s">
        <v>76</v>
      </c>
      <c r="J57" s="32" t="s">
        <v>78</v>
      </c>
      <c r="K57" s="33" t="s">
        <v>342</v>
      </c>
      <c r="Q57" s="45"/>
      <c r="R57" s="45"/>
    </row>
    <row r="58" ht="18.0" customHeight="1">
      <c r="A58" s="17" t="s">
        <v>344</v>
      </c>
      <c r="B58" s="25" t="s">
        <v>345</v>
      </c>
      <c r="C58" s="26"/>
      <c r="D58" s="26"/>
      <c r="E58" s="26"/>
      <c r="F58" s="26"/>
      <c r="G58" s="26"/>
      <c r="H58" s="26"/>
      <c r="I58" s="26"/>
      <c r="J58" s="26"/>
      <c r="K58" s="27"/>
      <c r="O58" s="29"/>
      <c r="S58" s="29"/>
    </row>
    <row r="59" ht="15.75" customHeight="1">
      <c r="A59" s="32" t="s">
        <v>108</v>
      </c>
      <c r="B59" s="33" t="s">
        <v>346</v>
      </c>
      <c r="C59" s="35" t="s">
        <v>35</v>
      </c>
      <c r="D59" s="36" t="s">
        <v>29</v>
      </c>
      <c r="E59" s="32" t="s">
        <v>95</v>
      </c>
      <c r="F59" s="32" t="s">
        <v>347</v>
      </c>
      <c r="H59" s="32" t="s">
        <v>347</v>
      </c>
      <c r="I59" s="37" t="s">
        <v>76</v>
      </c>
      <c r="J59" s="32" t="s">
        <v>348</v>
      </c>
      <c r="K59" s="33" t="s">
        <v>349</v>
      </c>
      <c r="O59" s="39"/>
    </row>
    <row r="60" ht="15.75" customHeight="1">
      <c r="A60" s="32" t="s">
        <v>175</v>
      </c>
      <c r="B60" s="33" t="s">
        <v>350</v>
      </c>
      <c r="C60" s="35" t="s">
        <v>35</v>
      </c>
      <c r="D60" s="36" t="s">
        <v>29</v>
      </c>
      <c r="E60" s="32" t="s">
        <v>249</v>
      </c>
      <c r="F60" s="32" t="s">
        <v>216</v>
      </c>
      <c r="I60" s="37" t="s">
        <v>76</v>
      </c>
      <c r="J60" s="32" t="s">
        <v>348</v>
      </c>
      <c r="K60" s="33" t="s">
        <v>351</v>
      </c>
      <c r="S60" s="39"/>
    </row>
    <row r="61" ht="15.75" customHeight="1">
      <c r="A61" s="32" t="s">
        <v>182</v>
      </c>
      <c r="B61" s="33" t="s">
        <v>352</v>
      </c>
      <c r="C61" s="35" t="s">
        <v>35</v>
      </c>
      <c r="D61" s="36" t="s">
        <v>29</v>
      </c>
      <c r="E61" s="32" t="s">
        <v>323</v>
      </c>
      <c r="F61" s="32" t="s">
        <v>291</v>
      </c>
      <c r="I61" s="37" t="s">
        <v>76</v>
      </c>
      <c r="J61" s="32" t="s">
        <v>348</v>
      </c>
      <c r="K61" s="33" t="s">
        <v>353</v>
      </c>
      <c r="S61" s="39"/>
    </row>
    <row r="62" ht="15.75" customHeight="1">
      <c r="A62" s="32" t="s">
        <v>190</v>
      </c>
      <c r="B62" s="33" t="s">
        <v>354</v>
      </c>
      <c r="C62" s="70" t="s">
        <v>193</v>
      </c>
      <c r="D62" s="36" t="s">
        <v>29</v>
      </c>
      <c r="E62" s="32" t="s">
        <v>335</v>
      </c>
      <c r="F62" s="32" t="s">
        <v>216</v>
      </c>
      <c r="I62" s="37" t="s">
        <v>76</v>
      </c>
      <c r="J62" s="32" t="s">
        <v>348</v>
      </c>
      <c r="K62" s="33" t="s">
        <v>187</v>
      </c>
      <c r="S62" s="71"/>
    </row>
    <row r="63" ht="15.75" customHeight="1">
      <c r="A63" s="32" t="s">
        <v>355</v>
      </c>
      <c r="B63" s="33" t="s">
        <v>356</v>
      </c>
      <c r="C63" s="35" t="s">
        <v>35</v>
      </c>
      <c r="D63" s="36" t="s">
        <v>29</v>
      </c>
      <c r="E63" s="32" t="s">
        <v>335</v>
      </c>
      <c r="F63" s="32" t="s">
        <v>291</v>
      </c>
      <c r="I63" s="37" t="s">
        <v>76</v>
      </c>
      <c r="J63" s="32" t="s">
        <v>348</v>
      </c>
      <c r="K63" s="33" t="s">
        <v>357</v>
      </c>
      <c r="S63" s="39"/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">
    <mergeCell ref="B38:K38"/>
    <mergeCell ref="B45:K45"/>
    <mergeCell ref="B51:K51"/>
    <mergeCell ref="B54:K54"/>
    <mergeCell ref="B58:K58"/>
    <mergeCell ref="A1:K1"/>
    <mergeCell ref="A2:K2"/>
    <mergeCell ref="B5:K5"/>
    <mergeCell ref="B10:K10"/>
    <mergeCell ref="B18:K18"/>
    <mergeCell ref="B25:K25"/>
    <mergeCell ref="B31:K31"/>
  </mergeCells>
  <dataValidations>
    <dataValidation type="list" allowBlank="1" sqref="C6:C9 C11:C17 C19:C24 C26:C30 C32:C37 C39:C44 C46:C50 C52:C53 C55:C57 C59:C63">
      <formula1>"전원,PM,A,B,C,D,B·C,B·D,A·B,D·B,A·PM"</formula1>
    </dataValidation>
    <dataValidation type="list" allowBlank="1" sqref="I6:I9 I11:I17 I19:I24 I26:I30 I32:I37 I39:I44 I46:I50 I52:I53 I55:I57 I59:I63">
      <formula1>"Must,Should,Could"</formula1>
    </dataValidation>
    <dataValidation type="list" allowBlank="1" sqref="D6:D9 D11:D17 D19:D24 D26:D30 D32:D37 D39:D44 D46:D50 D52:D53 D55:D57 D59:D63">
      <formula1>"예정,진행중,완료,보류"</formula1>
    </dataValidation>
  </dataValidation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/>
</file>