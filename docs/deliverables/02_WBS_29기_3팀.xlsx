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864e03b9a944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갠트 차트 템플릿" sheetId="1" r:id="Ra5a926b303d34f1a"/>
  </x:sheets>
</x:workbook>
</file>

<file path=xl/sharedStrings.xml><?xml version="1.0" encoding="utf-8"?>
<x:sst xmlns:x="http://schemas.openxmlformats.org/spreadsheetml/2006/main">
  <x:si>
    <x:t xml:space="preserve">WBS</x:t>
  </x:si>
  <x:si>
    <x:t xml:space="preserve">Smartsheet 
도움말 ➜</x:t>
  </x:si>
  <x:si>
    <x:t xml:space="preserve">갠트 차트의 시각적 타임라인을 사용하면 각 작업의 세부정보는 물론 프로젝트 간의 상호 의존성을 확인할 수 있습니다.</x:t>
  </x:si>
  <x:si>
    <x:t xml:space="preserve">프로젝트 이름</x:t>
  </x:si>
  <x:si>
    <x:t xml:space="preserve">회사명</x:t>
  </x:si>
  <x:si>
    <x:t xml:space="preserve">프로젝트 관리자</x:t>
  </x:si>
  <x:si>
    <x:t xml:space="preserve">날짜</x:t>
  </x:si>
  <x:si>
    <x:t xml:space="preserve">WBS 번호</x:t>
  </x:si>
  <x:si>
    <x:t xml:space="preserve">작업 제목</x:t>
  </x:si>
  <x:si>
    <x:t xml:space="preserve">작업 소유자</x:t>
  </x:si>
  <x:si>
    <x:t xml:space="preserve">시작일</x:t>
  </x:si>
  <x:si>
    <x:t xml:space="preserve">마감일</x:t>
  </x:si>
  <x:si>
    <x:t xml:space="preserve">기간</x:t>
  </x:si>
  <x:si>
    <x:t xml:space="preserve">작업 완료 비율</x:t>
  </x:si>
  <x:si>
    <x:t xml:space="preserve">1단계</x:t>
  </x:si>
  <x:si>
    <x:t xml:space="preserve">2단계</x:t>
  </x:si>
  <x:si>
    <x:t xml:space="preserve">3단계</x:t>
  </x:si>
  <x:si>
    <x:t xml:space="preserve">4단계</x:t>
  </x:si>
</x:sst>
</file>

<file path=xl/styles.xml><?xml version="1.0" encoding="utf-8"?>
<x:styleSheet xmlns:x="http://schemas.openxmlformats.org/spreadsheetml/2006/main">
  <x:numFmts count="7">
    <x:numFmt numFmtId="164" formatCode="yy&quot;년 &quot;m&quot;월 &quot;d&quot;일&quot;"/>
    <x:numFmt numFmtId="165" formatCode="&quot;$&quot;#,##0.00"/>
    <x:numFmt numFmtId="200" formatCode="yy&quot;년&quot; m&quot;월&quot; d&quot;일&quot;"/>
    <x:numFmt numFmtId="201" formatCode="[$-ko-KR]aaa"/>
    <x:numFmt numFmtId="202" formatCode="0"/>
    <x:numFmt numFmtId="203" formatCode="0%"/>
    <x:numFmt numFmtId="204" formatCode=";;;"/>
  </x:numFmts>
  <x:fonts count="39">
    <x:font>
      <x:sz val="10"/>
      <x:color rgb="FF000000"/>
      <x:name val="Arial"/>
    </x:font>
    <x:font>
      <x:sz val="11"/>
      <x:name val="Poppins"/>
    </x:font>
    <x:font>
      <x:b/>
      <x:sz val="30"/>
      <x:color rgb="FF0B5394"/>
      <x:name val="Poppins"/>
    </x:font>
    <x:font>
      <x:b/>
      <x:sz val="11"/>
      <x:color rgb="FF0B5394"/>
      <x:name val="Poppins"/>
    </x:font>
    <x:font>
      <x:name val="Poppins"/>
    </x:font>
    <x:font>
      <x:sz val="11"/>
      <x:color rgb="FF000000"/>
      <x:name val="Poppins"/>
    </x:font>
    <x:font>
      <x:sz val="11"/>
      <x:color rgb="FFFFFFFF"/>
      <x:name val="Poppins"/>
    </x:font>
    <x:font>
      <x:b/>
      <x:sz val="30"/>
      <x:color rgb="FF0B5394"/>
      <x:name val="Roboto"/>
    </x:font>
    <x:font/>
    <x:font>
      <x:b/>
      <x:sz val="32"/>
      <x:color rgb="FF0B5394"/>
      <x:name val="Roboto"/>
    </x:font>
    <x:font>
      <x:b/>
      <x:sz val="12"/>
      <x:color rgb="FF0B5394"/>
      <x:name val="Roboto"/>
    </x:font>
    <x:font>
      <x:sz val="12"/>
      <x:color rgb="FF0B5394"/>
      <x:name val="Roboto"/>
    </x:font>
    <x:font>
      <x:sz val="12"/>
      <x:color rgb="FF000000"/>
      <x:name val="Poppins"/>
    </x:font>
    <x:font>
      <x:b/>
      <x:sz val="11"/>
      <x:color rgb="FF434343"/>
      <x:name val="Poppins"/>
    </x:font>
    <x:font>
      <x:sz val="11"/>
      <x:color rgb="FF434343"/>
      <x:name val="Poppins"/>
    </x:font>
    <x:font>
      <x:sz val="11"/>
      <x:color rgb="FF000000"/>
      <x:name val="Century Gothic"/>
    </x:font>
    <x:font>
      <x:sz val="11"/>
      <x:name val="Century Gothic"/>
    </x:font>
    <x:font>
      <x:b/>
      <x:sz val="10"/>
      <x:color rgb="FF666666"/>
      <x:name val="Roboto"/>
    </x:font>
    <x:font>
      <x:sz val="10"/>
      <x:color rgb="FF999999"/>
      <x:name val="Roboto"/>
    </x:font>
    <x:font>
      <x:sz val="11"/>
      <x:name val="Roboto"/>
    </x:font>
    <x:font>
      <x:sz val="11"/>
      <x:color rgb="FF000000"/>
      <x:name val="Roboto"/>
    </x:font>
    <x:font>
      <x:b/>
      <x:sz val="8"/>
      <x:color rgb="FF000000"/>
      <x:name val="Roboto"/>
    </x:font>
    <x:font>
      <x:b/>
      <x:sz val="9"/>
      <x:color rgb="FFFFFFFF"/>
      <x:name val="Roboto"/>
    </x:font>
    <x:font>
      <x:b/>
      <x:sz val="8"/>
      <x:name val="Roboto"/>
    </x:font>
    <x:font>
      <x:sz val="9"/>
      <x:name val="Roboto"/>
    </x:font>
    <x:font>
      <x:b/>
      <x:sz val="9"/>
      <x:color rgb="FF000000"/>
      <x:name val="Roboto"/>
    </x:font>
    <x:font>
      <x:b/>
      <x:sz val="11"/>
      <x:color rgb="FF000000"/>
      <x:name val="Roboto"/>
    </x:font>
    <x:font>
      <x:sz val="10"/>
      <x:name val="Roboto"/>
    </x:font>
    <x:font>
      <x:sz val="10"/>
      <x:color rgb="FF434343"/>
      <x:name val="Roboto"/>
    </x:font>
    <x:font>
      <x:b/>
      <x:sz val="10"/>
      <x:color rgb="FF000000"/>
      <x:name val="Roboto"/>
    </x:font>
    <x:font>
      <x:name val="Arial"/>
    </x:font>
    <x:font>
      <x:sz val="11"/>
      <x:color rgb="FFFFFFFF"/>
      <x:name val="Roboto"/>
    </x:font>
    <x:font>
      <x:b/>
      <x:sz val="11"/>
      <x:color rgb="FF1F1F1F"/>
      <x:name val="Roboto"/>
    </x:font>
    <x:font>
      <x:sz val="10"/>
      <x:color rgb="FF404040"/>
      <x:name val="Roboto"/>
    </x:font>
    <x:font>
      <x:sz val="11"/>
      <x:color rgb="FF404040"/>
      <x:name val="Roboto"/>
    </x:font>
    <x:font>
      <x:color rgb="FF404040"/>
      <x:name val="Arial"/>
    </x:font>
    <x:font>
      <x:b/>
      <x:sz val="10"/>
      <x:color rgb="FF1F1F1F"/>
      <x:name val="Roboto"/>
    </x:font>
    <x:font>
      <x:sz val="10"/>
      <x:color rgb="FF404040"/>
      <x:name val="Arial"/>
    </x:font>
    <x:font>
      <x:b/>
      <x:sz val="10"/>
      <x:color rgb="FF1F1F1F"/>
      <x:name val="Arial"/>
    </x:font>
  </x:fonts>
  <x:fills count="29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EFEFEF"/>
      </x:patternFill>
    </x:fill>
    <x:fill>
      <x:patternFill patternType="solid">
        <x:fgColor rgb="FF0B5394"/>
      </x:patternFill>
    </x:fill>
    <x:fill>
      <x:patternFill patternType="solid">
        <x:fgColor rgb="FF45818E"/>
      </x:patternFill>
    </x:fill>
    <x:fill>
      <x:patternFill patternType="solid">
        <x:fgColor rgb="FF833C0C"/>
      </x:patternFill>
    </x:fill>
    <x:fill>
      <x:patternFill patternType="solid">
        <x:fgColor rgb="FF806000"/>
      </x:patternFill>
    </x:fill>
    <x:fill>
      <x:patternFill patternType="solid">
        <x:fgColor rgb="FF2F75B5"/>
      </x:patternFill>
    </x:fill>
    <x:fill>
      <x:patternFill patternType="solid">
        <x:fgColor rgb="FFA2C4C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  <x:fill>
      <x:patternFill patternType="solid">
        <x:fgColor rgb="FFBDD7EE"/>
      </x:patternFill>
    </x:fill>
    <x:fill>
      <x:patternFill patternType="solid">
        <x:fgColor rgb="FFD0E0E3"/>
      </x:patternFill>
    </x:fill>
    <x:fill>
      <x:patternFill patternType="solid">
        <x:fgColor rgb="FFF8CBAD"/>
      </x:patternFill>
    </x:fill>
    <x:fill>
      <x:patternFill patternType="solid">
        <x:fgColor rgb="FFFFE699"/>
      </x:patternFill>
    </x:fill>
    <x:fill>
      <x:patternFill patternType="solid">
        <x:fgColor rgb="FFCCCCCC"/>
      </x:patternFill>
    </x:fill>
    <x:fill>
      <x:patternFill patternType="solid">
        <x:fgColor rgb="FF5B9BD5"/>
      </x:patternFill>
    </x:fill>
    <x:fill>
      <x:patternFill patternType="solid">
        <x:fgColor rgb="FFDDEBF7"/>
      </x:patternFill>
    </x:fill>
    <x:fill>
      <x:patternFill patternType="solid">
        <x:fgColor rgb="FFEDEDE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73C79E"/>
      </x:patternFill>
    </x:fill>
    <x:fill>
      <x:patternFill patternType="solid">
        <x:fgColor rgb="FFD9D9D9"/>
      </x:patternFill>
    </x:fill>
    <x:fill>
      <x:patternFill patternType="solid">
        <x:fgColor rgb="FFFFFFFF"/>
      </x:patternFill>
    </x:fill>
    <x:fill>
      <x:patternFill patternType="solid">
        <x:fgColor rgb="FFEAF2F8"/>
      </x:patternFill>
    </x:fill>
    <x:fill>
      <x:patternFill patternType="solid">
        <x:fgColor rgb="FFEAF4F4"/>
      </x:patternFill>
    </x:fill>
    <x:fill>
      <x:patternFill patternType="solid">
        <x:fgColor rgb="FFFCEDE3"/>
      </x:patternFill>
    </x:fill>
    <x:fill>
      <x:patternFill patternType="solid">
        <x:fgColor rgb="FFFFF7D6"/>
      </x:patternFill>
    </x:fill>
  </x:fills>
  <x:borders count="21">
    <x:border/>
    <x:border>
      <x:bottom style="thick">
        <x:color rgb="FF0B5394"/>
      </x:bottom>
    </x:border>
    <x:border>
      <x:bottom style="thin">
        <x:color rgb="FFD9D9D9"/>
      </x:bottom>
    </x:border>
    <x:border>
      <x:left style="thin">
        <x:color rgb="FFB7B7B7"/>
      </x:left>
    </x:border>
    <x:border>
      <x:right style="thin">
        <x:color rgb="FFCCCCCC"/>
      </x:right>
    </x:border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</x:border>
    <x:border>
      <x:bottom style="thin">
        <x:color rgb="FFCCCCCC"/>
      </x:bottom>
    </x:border>
    <x:border>
      <x:bottom style="thin">
        <x:color rgb="FFB7B7B7"/>
      </x:bottom>
    </x:border>
    <x:border>
      <x:left style="thin">
        <x:color rgb="FFB7B7B7"/>
      </x:left>
      <x:right style="hair">
        <x:color rgb="FFB7B7B7"/>
      </x:right>
      <x:bottom style="hair">
        <x:color rgb="FFB7B7B7"/>
      </x:bottom>
    </x:border>
    <x:border>
      <x:left style="hair">
        <x:color rgb="FFB7B7B7"/>
      </x:left>
      <x:right style="hair">
        <x:color rgb="FFB7B7B7"/>
      </x:right>
      <x:bottom style="hair">
        <x:color rgb="FFB7B7B7"/>
      </x:bottom>
    </x:border>
    <x:border>
      <x:left style="hair">
        <x:color rgb="FFB7B7B7"/>
      </x:left>
      <x:right style="thin">
        <x:color rgb="FFB7B7B7"/>
      </x:right>
      <x:bottom style="hair">
        <x:color rgb="FFB7B7B7"/>
      </x:bottom>
    </x:border>
    <x:border>
      <x:left style="thin">
        <x:color rgb="FFB7B7B7"/>
      </x:left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hair">
        <x:color rgb="FFB7B7B7"/>
      </x:left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hair">
        <x:color rgb="FFB7B7B7"/>
      </x:left>
      <x:right style="thin">
        <x:color rgb="FFB7B7B7"/>
      </x:right>
      <x:top style="hair">
        <x:color rgb="FFB7B7B7"/>
      </x:top>
      <x:bottom style="hair">
        <x:color rgb="FFB7B7B7"/>
      </x:bottom>
    </x:border>
    <x:border>
      <x:left style="thin">
        <x:color rgb="FFB7B7B7"/>
      </x:left>
      <x:right style="hair">
        <x:color rgb="FFB7B7B7"/>
      </x:right>
      <x:top style="hair">
        <x:color rgb="FFB7B7B7"/>
      </x:top>
    </x:border>
    <x:border>
      <x:left style="hair">
        <x:color rgb="FFB7B7B7"/>
      </x:left>
      <x:right style="hair">
        <x:color rgb="FFB7B7B7"/>
      </x:right>
      <x:top style="hair">
        <x:color rgb="FFB7B7B7"/>
      </x:top>
    </x:border>
    <x:border>
      <x:left style="hair">
        <x:color rgb="FFB7B7B7"/>
      </x:left>
      <x:right style="thin">
        <x:color rgb="FFB7B7B7"/>
      </x:right>
      <x:top style="hair">
        <x:color rgb="FFB7B7B7"/>
      </x:top>
    </x:border>
    <x:border>
      <x:right style="hair">
        <x:color rgb="FFB7B7B7"/>
      </x:right>
      <x:top style="hair">
        <x:color rgb="FFB7B7B7"/>
      </x:top>
      <x:bottom style="hair">
        <x:color rgb="FFB7B7B7"/>
      </x:bottom>
    </x:border>
  </x:borders>
  <x:cellStyleXfs count="1">
    <x:xf numFmtId="0" fontId="0" fillId="0" borderId="0" applyFont="1" applyAlignment="1"/>
  </x:cellStyleXfs>
  <x:cellXfs count="431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2" borderId="0" xfId="0" applyFont="1" applyFill="1" applyAlignment="1">
      <x:alignment vertical="center" wrapText="0"/>
    </x:xf>
    <x:xf numFmtId="0" fontId="3" fillId="2" borderId="0" xfId="0" applyFont="1" applyAlignment="1">
      <x:alignment vertical="center" wrapText="0"/>
    </x:xf>
    <x:xf numFmtId="0" fontId="4" fillId="0" borderId="0" xfId="0" applyFont="1" applyAlignment="1">
      <x:alignment vertical="center"/>
    </x:xf>
    <x:xf numFmtId="0" fontId="3" fillId="2" borderId="0" xfId="0" applyFont="1" applyAlignment="1">
      <x:alignment horizontal="center" vertical="center" wrapText="0"/>
    </x:xf>
    <x:xf numFmtId="0" fontId="5" fillId="2" borderId="0" xfId="0" applyFont="1" applyAlignment="1">
      <x:alignment horizontal="center" vertical="center" wrapText="0"/>
    </x:xf>
    <x:xf numFmtId="0" fontId="5" fillId="2" borderId="0" xfId="0" applyFont="1" applyAlignment="1">
      <x:alignment vertical="center" wrapText="0"/>
    </x:xf>
    <x:xf numFmtId="0" fontId="5" fillId="0" borderId="0" xfId="0" applyFont="1" applyAlignment="1">
      <x:alignment horizontal="left" vertical="center" wrapText="0"/>
    </x:xf>
    <x:xf numFmtId="0" fontId="5" fillId="2" borderId="0" xfId="0" applyFont="1" applyAlignment="1">
      <x:alignment vertical="center" wrapText="0"/>
    </x:xf>
    <x:xf numFmtId="0" fontId="6" fillId="0" borderId="0" xfId="0" applyFont="1" applyAlignment="1">
      <x:alignment vertical="center"/>
    </x:xf>
    <x:xf numFmtId="0" fontId="7" fillId="2" borderId="1" xfId="0" applyFont="1" applyBorder="1" applyAlignment="1">
      <x:alignment vertical="center" wrapText="0"/>
    </x:xf>
    <x:xf numFmtId="0" fontId="8" fillId="0" borderId="1" xfId="0" applyFont="1" applyBorder="1"/>
    <x:xf numFmtId="0" fontId="9" fillId="2" borderId="1" xfId="0" applyFont="1" applyBorder="1" applyAlignment="1">
      <x:alignment vertical="center" wrapText="0"/>
    </x:xf>
    <x:xf numFmtId="0" fontId="10" fillId="2" borderId="1" xfId="0" applyFont="1" applyBorder="1" applyAlignment="1">
      <x:alignment vertical="center" wrapText="1"/>
    </x:xf>
    <x:xf numFmtId="0" fontId="11" fillId="2" borderId="1" xfId="0" applyFont="1" applyBorder="1" applyAlignment="1">
      <x:alignment vertical="center" wrapText="1"/>
    </x:xf>
    <x:xf numFmtId="0" fontId="12" fillId="2" borderId="0" xfId="0" applyFont="1" applyAlignment="1">
      <x:alignment vertical="center" wrapText="0"/>
    </x:xf>
    <x:xf numFmtId="0" fontId="13" fillId="0" borderId="0" xfId="0" applyFont="1" applyAlignment="1">
      <x:alignment horizontal="left" vertical="center" wrapText="0"/>
    </x:xf>
    <x:xf numFmtId="0" fontId="14" fillId="2" borderId="0" xfId="0" applyFont="1" applyAlignment="1">
      <x:alignment vertical="center" wrapText="0"/>
    </x:xf>
    <x:xf numFmtId="0" fontId="15" fillId="2" borderId="0" xfId="0" applyFont="1" applyAlignment="1">
      <x:alignment vertical="center" wrapText="0"/>
    </x:xf>
    <x:xf numFmtId="0" fontId="16" fillId="0" borderId="0" xfId="0" applyFont="1" applyAlignment="1">
      <x:alignment vertical="center"/>
    </x:xf>
    <x:xf numFmtId="0" fontId="17" fillId="0" borderId="2" xfId="0" applyFont="1" applyBorder="1" applyAlignment="1">
      <x:alignment horizontal="left" vertical="center" wrapText="0"/>
    </x:xf>
    <x:xf numFmtId="0" fontId="8" fillId="0" borderId="2" xfId="0" applyFont="1" applyBorder="1"/>
    <x:xf numFmtId="0" fontId="18" fillId="2" borderId="2" xfId="0" applyFont="1" applyBorder="1" applyAlignment="1">
      <x:alignment vertical="center" wrapText="0"/>
    </x:xf>
    <x:xf numFmtId="0" fontId="18" fillId="2" borderId="0" xfId="0" applyFont="1" applyAlignment="1">
      <x:alignment vertical="center" wrapText="0"/>
    </x:xf>
    <x:xf numFmtId="0" fontId="18" fillId="0" borderId="2" xfId="0" applyFont="1" applyBorder="1" applyAlignment="1">
      <x:alignment horizontal="left" vertical="center"/>
    </x:xf>
    <x:xf numFmtId="0" fontId="4" fillId="0" borderId="0" xfId="0" applyFont="1"/>
    <x:xf numFmtId="0" fontId="18" fillId="0" borderId="2" xfId="0" applyFont="1" applyBorder="1" applyAlignment="1">
      <x:alignment vertical="center" wrapText="0"/>
    </x:xf>
    <x:xf numFmtId="0" fontId="18" fillId="0" borderId="0" xfId="0" applyFont="1" applyAlignment="1">
      <x:alignment vertical="center" wrapText="0"/>
    </x:xf>
    <x:xf numFmtId="164" fontId="18" fillId="0" borderId="2" xfId="0" applyNumberFormat="1" applyFont="1" applyBorder="1" applyAlignment="1">
      <x:alignment horizontal="left" vertical="center"/>
    </x:xf>
    <x:xf numFmtId="0" fontId="18" fillId="0" borderId="2" xfId="0" applyFont="1" applyBorder="1"/>
    <x:xf numFmtId="0" fontId="1" fillId="0" borderId="0" xfId="0" applyFont="1"/>
    <x:xf numFmtId="0" fontId="19" fillId="0" borderId="0" xfId="0" applyFont="1" applyAlignment="1">
      <x:alignment vertical="center"/>
    </x:xf>
    <x:xf numFmtId="0" fontId="20" fillId="2" borderId="0" xfId="0" applyFont="1" applyAlignment="1">
      <x:alignment vertical="center" wrapText="0"/>
    </x:xf>
    <x:xf numFmtId="0" fontId="20" fillId="2" borderId="0" xfId="0" applyFont="1" applyAlignment="1">
      <x:alignment horizontal="center" vertical="center" wrapText="0"/>
    </x:xf>
    <x:xf numFmtId="0" fontId="20" fillId="0" borderId="0" xfId="0" applyFont="1" applyAlignment="1">
      <x:alignment vertical="center" wrapText="0"/>
    </x:xf>
    <x:xf numFmtId="0" fontId="21" fillId="3" borderId="0" xfId="0" applyFont="1" applyFill="1" applyAlignment="1">
      <x:alignment horizontal="center" vertical="center" wrapText="1"/>
    </x:xf>
    <x:xf numFmtId="0" fontId="22" fillId="4" borderId="3" xfId="0" applyFont="1" applyFill="1" applyBorder="1" applyAlignment="1">
      <x:alignment horizontal="center" vertical="center" wrapText="0"/>
    </x:xf>
    <x:xf numFmtId="0" fontId="22" fillId="5" borderId="3" xfId="0" applyFont="1" applyFill="1" applyBorder="1" applyAlignment="1">
      <x:alignment horizontal="center" vertical="center" wrapText="0"/>
    </x:xf>
    <x:xf numFmtId="0" fontId="22" fillId="6" borderId="3" xfId="0" applyFont="1" applyFill="1" applyBorder="1" applyAlignment="1">
      <x:alignment horizontal="center" vertical="center" wrapText="0"/>
    </x:xf>
    <x:xf numFmtId="0" fontId="22" fillId="7" borderId="3" xfId="0" applyFont="1" applyFill="1" applyBorder="1" applyAlignment="1">
      <x:alignment horizontal="center" vertical="center" wrapText="0"/>
    </x:xf>
    <x:xf numFmtId="0" fontId="8" fillId="0" borderId="4" xfId="0" applyFont="1" applyBorder="1"/>
    <x:xf numFmtId="0" fontId="23" fillId="0" borderId="0" xfId="0" applyFont="1" applyAlignment="1">
      <x:alignment vertical="center"/>
    </x:xf>
    <x:xf numFmtId="0" fontId="22" fillId="8" borderId="5" xfId="0" applyFont="1" applyFill="1" applyBorder="1" applyAlignment="1">
      <x:alignment horizontal="center" vertical="center" wrapText="0"/>
    </x:xf>
    <x:xf numFmtId="0" fontId="8" fillId="0" borderId="6" xfId="0" applyFont="1" applyBorder="1"/>
    <x:xf numFmtId="0" fontId="8" fillId="0" borderId="7" xfId="0" applyFont="1" applyBorder="1"/>
    <x:xf numFmtId="0" fontId="22" fillId="9" borderId="5" xfId="0" applyFont="1" applyFill="1" applyBorder="1" applyAlignment="1">
      <x:alignment horizontal="center" vertical="center" wrapText="0"/>
    </x:xf>
    <x:xf numFmtId="0" fontId="22" fillId="10" borderId="5" xfId="0" applyFont="1" applyFill="1" applyBorder="1" applyAlignment="1">
      <x:alignment horizontal="center" vertical="center" wrapText="0"/>
    </x:xf>
    <x:xf numFmtId="0" fontId="22" fillId="11" borderId="5" xfId="0" applyFont="1" applyFill="1" applyBorder="1" applyAlignment="1">
      <x:alignment horizontal="center" vertical="center" wrapText="0"/>
    </x:xf>
    <x:xf numFmtId="0" fontId="24" fillId="0" borderId="0" xfId="0" applyFont="1" applyAlignment="1">
      <x:alignment vertical="center"/>
    </x:xf>
    <x:xf numFmtId="0" fontId="25" fillId="12" borderId="8" xfId="0" applyFont="1" applyFill="1" applyBorder="1" applyAlignment="1">
      <x:alignment horizontal="center" vertical="center" wrapText="0"/>
    </x:xf>
    <x:xf numFmtId="0" fontId="25" fillId="13" borderId="8" xfId="0" applyFont="1" applyFill="1" applyBorder="1" applyAlignment="1">
      <x:alignment horizontal="center" vertical="center" wrapText="0"/>
    </x:xf>
    <x:xf numFmtId="0" fontId="25" fillId="14" borderId="8" xfId="0" applyFont="1" applyFill="1" applyBorder="1" applyAlignment="1">
      <x:alignment horizontal="center" vertical="center" wrapText="0"/>
    </x:xf>
    <x:xf numFmtId="0" fontId="25" fillId="15" borderId="8" xfId="0" applyFont="1" applyFill="1" applyBorder="1" applyAlignment="1">
      <x:alignment horizontal="center" vertical="center" wrapText="0"/>
    </x:xf>
    <x:xf numFmtId="0" fontId="26" fillId="16" borderId="9" xfId="0" applyFont="1" applyFill="1" applyBorder="1" applyAlignment="1">
      <x:alignment horizontal="left" vertical="center" wrapText="1"/>
    </x:xf>
    <x:xf numFmtId="0" fontId="26" fillId="16" borderId="9" xfId="0" applyFont="1" applyBorder="1" applyAlignment="1">
      <x:alignment vertical="center" wrapText="0"/>
    </x:xf>
    <x:xf numFmtId="0" fontId="26" fillId="16" borderId="9" xfId="0" applyFont="1" applyBorder="1" applyAlignment="1">
      <x:alignment vertical="center" wrapText="1"/>
    </x:xf>
    <x:xf numFmtId="0" fontId="26" fillId="16" borderId="0" xfId="0" applyFont="1" applyAlignment="1">
      <x:alignment horizontal="center" vertical="center" wrapText="0"/>
    </x:xf>
    <x:xf numFmtId="165" fontId="26" fillId="16" borderId="0" xfId="0" applyNumberFormat="1" applyFont="1" applyAlignment="1">
      <x:alignment horizontal="center" vertical="center" wrapText="0"/>
    </x:xf>
    <x:xf numFmtId="3" fontId="26" fillId="16" borderId="0" xfId="0" applyNumberFormat="1" applyFont="1" applyAlignment="1">
      <x:alignment horizontal="center" vertical="center" wrapText="0"/>
    </x:xf>
    <x:xf numFmtId="0" fontId="26" fillId="16" borderId="0" xfId="0" applyFont="1" applyAlignment="1">
      <x:alignment horizontal="center" vertical="center" wrapText="0"/>
    </x:xf>
    <x:xf numFmtId="0" fontId="27" fillId="0" borderId="0" xfId="0" applyFont="1" applyAlignment="1">
      <x:alignment vertical="center"/>
    </x:xf>
    <x:xf numFmtId="0" fontId="28" fillId="0" borderId="10" xfId="0" applyFont="1" applyBorder="1" applyAlignment="1">
      <x:alignment horizontal="left" vertical="center" wrapText="1"/>
    </x:xf>
    <x:xf numFmtId="0" fontId="28" fillId="0" borderId="10" xfId="0" applyFont="1" applyBorder="1" applyAlignment="1">
      <x:alignment vertical="center" wrapText="1"/>
    </x:xf>
    <x:xf numFmtId="164" fontId="28" fillId="0" borderId="10" xfId="0" applyNumberFormat="1" applyFont="1" applyBorder="1" applyAlignment="1">
      <x:alignment horizontal="left" vertical="center" wrapText="1"/>
    </x:xf>
    <x:xf numFmtId="0" fontId="28" fillId="0" borderId="10" xfId="0" applyFont="1" applyBorder="1" applyAlignment="1">
      <x:alignment horizontal="center" vertical="center" wrapText="1"/>
    </x:xf>
    <x:xf numFmtId="9" fontId="28" fillId="0" borderId="10" xfId="0" applyNumberFormat="1" applyFont="1" applyBorder="1" applyAlignment="1">
      <x:alignment horizontal="center" vertical="center" wrapText="1"/>
    </x:xf>
    <x:xf numFmtId="9" fontId="29" fillId="0" borderId="11" xfId="0" applyNumberFormat="1" applyFont="1" applyBorder="1" applyAlignment="1">
      <x:alignment horizontal="center" vertical="center" wrapText="0"/>
    </x:xf>
    <x:xf numFmtId="165" fontId="29" fillId="0" borderId="12" xfId="0" applyNumberFormat="1" applyFont="1" applyBorder="1" applyAlignment="1">
      <x:alignment horizontal="center" vertical="center" wrapText="0"/>
    </x:xf>
    <x:xf numFmtId="0" fontId="29" fillId="0" borderId="12" xfId="0" applyFont="1" applyBorder="1" applyAlignment="1">
      <x:alignment horizontal="center" vertical="center" wrapText="0"/>
    </x:xf>
    <x:xf numFmtId="0" fontId="29" fillId="17" borderId="12" xfId="0" applyFont="1" applyFill="1" applyBorder="1" applyAlignment="1">
      <x:alignment horizontal="center" vertical="center" wrapText="0"/>
    </x:xf>
    <x:xf numFmtId="0" fontId="29" fillId="17" borderId="12" xfId="0" applyFont="1" applyBorder="1" applyAlignment="1">
      <x:alignment horizontal="center" vertical="center" wrapText="0"/>
    </x:xf>
    <x:xf numFmtId="0" fontId="29" fillId="18" borderId="12" xfId="0" applyFont="1" applyFill="1" applyBorder="1" applyAlignment="1">
      <x:alignment horizontal="center" vertical="center" wrapText="0"/>
    </x:xf>
    <x:xf numFmtId="0" fontId="29" fillId="0" borderId="12" xfId="0" applyFont="1" applyBorder="1" applyAlignment="1">
      <x:alignment horizontal="center" vertical="center" wrapText="0"/>
    </x:xf>
    <x:xf numFmtId="0" fontId="29" fillId="19" borderId="12" xfId="0" applyFont="1" applyFill="1" applyBorder="1" applyAlignment="1">
      <x:alignment horizontal="center" vertical="center" wrapText="0"/>
    </x:xf>
    <x:xf numFmtId="0" fontId="29" fillId="20" borderId="12" xfId="0" applyFont="1" applyFill="1" applyBorder="1" applyAlignment="1">
      <x:alignment horizontal="center" vertical="center" wrapText="0"/>
    </x:xf>
    <x:xf numFmtId="0" fontId="29" fillId="21" borderId="12" xfId="0" applyFont="1" applyFill="1" applyBorder="1" applyAlignment="1">
      <x:alignment horizontal="center" vertical="center" wrapText="0"/>
    </x:xf>
    <x:xf numFmtId="0" fontId="29" fillId="0" borderId="13" xfId="0" applyFont="1" applyBorder="1" applyAlignment="1">
      <x:alignment horizontal="center" vertical="center" wrapText="0"/>
    </x:xf>
    <x:xf numFmtId="9" fontId="29" fillId="0" borderId="14" xfId="0" applyNumberFormat="1" applyFont="1" applyBorder="1" applyAlignment="1">
      <x:alignment horizontal="center" vertical="center" wrapText="0"/>
    </x:xf>
    <x:xf numFmtId="165" fontId="29" fillId="0" borderId="15" xfId="0" applyNumberFormat="1" applyFont="1" applyBorder="1" applyAlignment="1">
      <x:alignment horizontal="center" vertical="center" wrapText="0"/>
    </x:xf>
    <x:xf numFmtId="0" fontId="29" fillId="0" borderId="15" xfId="0" applyFont="1" applyBorder="1" applyAlignment="1">
      <x:alignment horizontal="center" vertical="center" wrapText="0"/>
    </x:xf>
    <x:xf numFmtId="0" fontId="29" fillId="0" borderId="15" xfId="0" applyFont="1" applyBorder="1" applyAlignment="1">
      <x:alignment horizontal="center" vertical="center" wrapText="0"/>
    </x:xf>
    <x:xf numFmtId="0" fontId="29" fillId="18" borderId="15" xfId="0" applyFont="1" applyBorder="1" applyAlignment="1">
      <x:alignment horizontal="center" vertical="center" wrapText="0"/>
    </x:xf>
    <x:xf numFmtId="0" fontId="29" fillId="18" borderId="15" xfId="0" applyFont="1" applyBorder="1" applyAlignment="1">
      <x:alignment horizontal="center" vertical="center" wrapText="0"/>
    </x:xf>
    <x:xf numFmtId="0" fontId="29" fillId="17" borderId="15" xfId="0" applyFont="1" applyBorder="1" applyAlignment="1">
      <x:alignment horizontal="center" vertical="center" wrapText="0"/>
    </x:xf>
    <x:xf numFmtId="0" fontId="29" fillId="19" borderId="15" xfId="0" applyFont="1" applyBorder="1" applyAlignment="1">
      <x:alignment horizontal="center" vertical="center" wrapText="0"/>
    </x:xf>
    <x:xf numFmtId="0" fontId="29" fillId="20" borderId="15" xfId="0" applyFont="1" applyBorder="1" applyAlignment="1">
      <x:alignment horizontal="center" vertical="center" wrapText="0"/>
    </x:xf>
    <x:xf numFmtId="0" fontId="29" fillId="21" borderId="15" xfId="0" applyFont="1" applyBorder="1" applyAlignment="1">
      <x:alignment horizontal="center" vertical="center" wrapText="0"/>
    </x:xf>
    <x:xf numFmtId="0" fontId="29" fillId="0" borderId="16" xfId="0" applyFont="1" applyBorder="1" applyAlignment="1">
      <x:alignment horizontal="center" vertical="center" wrapText="0"/>
    </x:xf>
    <x:xf numFmtId="9" fontId="28" fillId="22" borderId="10" xfId="0" applyNumberFormat="1" applyFont="1" applyFill="1" applyBorder="1" applyAlignment="1">
      <x:alignment horizontal="center" vertical="center" wrapText="1"/>
    </x:xf>
    <x:xf numFmtId="0" fontId="28" fillId="0" borderId="0" xfId="0" applyFont="1" applyAlignment="1">
      <x:alignment horizontal="left" vertical="center" wrapText="1"/>
    </x:xf>
    <x:xf numFmtId="0" fontId="28" fillId="0" borderId="0" xfId="0" applyFont="1" applyAlignment="1">
      <x:alignment vertical="center" wrapText="1"/>
    </x:xf>
    <x:xf numFmtId="164" fontId="28" fillId="0" borderId="0" xfId="0" applyNumberFormat="1" applyFont="1" applyAlignment="1">
      <x:alignment horizontal="left" vertical="center" wrapText="1"/>
    </x:xf>
    <x:xf numFmtId="0" fontId="28" fillId="0" borderId="0" xfId="0" applyFont="1" applyAlignment="1">
      <x:alignment horizontal="center" vertical="center" wrapText="1"/>
    </x:xf>
    <x:xf numFmtId="9" fontId="28" fillId="0" borderId="0" xfId="0" applyNumberFormat="1" applyFont="1" applyAlignment="1">
      <x:alignment horizontal="center" vertical="center" wrapText="1"/>
    </x:xf>
    <x:xf numFmtId="9" fontId="29" fillId="0" borderId="17" xfId="0" applyNumberFormat="1" applyFont="1" applyBorder="1" applyAlignment="1">
      <x:alignment horizontal="center" vertical="center" wrapText="0"/>
    </x:xf>
    <x:xf numFmtId="165" fontId="29" fillId="0" borderId="18" xfId="0" applyNumberFormat="1" applyFont="1" applyBorder="1" applyAlignment="1">
      <x:alignment horizontal="center" vertical="center" wrapText="0"/>
    </x:xf>
    <x:xf numFmtId="0" fontId="29" fillId="0" borderId="18" xfId="0" applyFont="1" applyBorder="1" applyAlignment="1">
      <x:alignment horizontal="center" vertical="center" wrapText="0"/>
    </x:xf>
    <x:xf numFmtId="0" fontId="29" fillId="18" borderId="18" xfId="0" applyFont="1" applyBorder="1" applyAlignment="1">
      <x:alignment horizontal="center" vertical="center" wrapText="0"/>
    </x:xf>
    <x:xf numFmtId="0" fontId="29" fillId="17" borderId="18" xfId="0" applyFont="1" applyBorder="1" applyAlignment="1">
      <x:alignment horizontal="center" vertical="center" wrapText="0"/>
    </x:xf>
    <x:xf numFmtId="0" fontId="29" fillId="19" borderId="18" xfId="0" applyFont="1" applyBorder="1" applyAlignment="1">
      <x:alignment horizontal="center" vertical="center" wrapText="0"/>
    </x:xf>
    <x:xf numFmtId="0" fontId="29" fillId="20" borderId="18" xfId="0" applyFont="1" applyBorder="1" applyAlignment="1">
      <x:alignment horizontal="center" vertical="center" wrapText="0"/>
    </x:xf>
    <x:xf numFmtId="0" fontId="29" fillId="21" borderId="18" xfId="0" applyFont="1" applyBorder="1" applyAlignment="1">
      <x:alignment horizontal="center" vertical="center" wrapText="0"/>
    </x:xf>
    <x:xf numFmtId="0" fontId="29" fillId="0" borderId="19" xfId="0" applyFont="1" applyBorder="1" applyAlignment="1">
      <x:alignment horizontal="center" vertical="center" wrapText="0"/>
    </x:xf>
    <x:xf numFmtId="0" fontId="29" fillId="13" borderId="12" xfId="0" applyFont="1" applyBorder="1" applyAlignment="1">
      <x:alignment horizontal="center" vertical="center" wrapText="0"/>
    </x:xf>
    <x:xf numFmtId="0" fontId="30" fillId="13" borderId="15" xfId="0" applyFont="1" applyBorder="1"/>
    <x:xf numFmtId="0" fontId="30" fillId="13" borderId="20" xfId="0" applyFont="1" applyBorder="1"/>
    <x:xf numFmtId="0" fontId="19" fillId="0" borderId="0" xfId="0" applyFont="1" applyAlignment="1">
      <x:alignment horizontal="center" vertical="center"/>
    </x:xf>
    <x:xf numFmtId="0" fontId="0" fillId="0" borderId="0" xfId="0" applyNumberFormat="1" applyFont="1" applyFill="1" applyBorder="1" applyAlignment="1">
      <x:alignment vertical="bottom" wrapText="0"/>
    </x:xf>
    <x:xf numFmtId="0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 wrapText="0"/>
    </x:xf>
    <x:xf numFmtId="0" fontId="5" fillId="2" borderId="0" xfId="0" applyNumberFormat="1" applyFont="1" applyFill="1" applyBorder="1" applyAlignment="1">
      <x:alignment horizontal="center" vertical="center" wrapText="0"/>
    </x:xf>
    <x:xf numFmtId="0" fontId="5" fillId="2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horizontal="left" vertical="center" wrapText="0"/>
    </x:xf>
    <x:xf numFmtId="0" fontId="6" fillId="0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 wrapText="0"/>
    </x:xf>
    <x:xf numFmtId="0" fontId="8" fillId="0" borderId="1" xfId="0" applyNumberFormat="1" applyFont="1" applyFill="1" applyBorder="1"/>
    <x:xf numFmtId="0" fontId="9" fillId="2" borderId="1" xfId="0" applyNumberFormat="1" applyFont="1" applyFill="1" applyBorder="1" applyAlignment="1">
      <x:alignment vertical="center" wrapText="0"/>
    </x:xf>
    <x:xf numFmtId="0" fontId="10" fillId="2" borderId="1" xfId="0" applyNumberFormat="1" applyFont="1" applyFill="1" applyBorder="1" applyAlignment="1">
      <x:alignment vertical="center" wrapText="1"/>
    </x:xf>
    <x:xf numFmtId="0" fontId="11" fillId="2" borderId="1" xfId="0" applyNumberFormat="1" applyFont="1" applyFill="1" applyBorder="1" applyAlignment="1">
      <x:alignment vertical="center" wrapText="1"/>
    </x:xf>
    <x:xf numFmtId="0" fontId="12" fillId="2" borderId="0" xfId="0" applyNumberFormat="1" applyFont="1" applyFill="1" applyBorder="1" applyAlignment="1">
      <x:alignment vertical="center" wrapText="0"/>
    </x:xf>
    <x:xf numFmtId="0" fontId="13" fillId="0" borderId="0" xfId="0" applyNumberFormat="1" applyFont="1" applyFill="1" applyBorder="1" applyAlignment="1">
      <x:alignment horizontal="left" vertical="center" wrapText="0"/>
    </x:xf>
    <x:xf numFmtId="0" fontId="14" fillId="2" borderId="0" xfId="0" applyNumberFormat="1" applyFont="1" applyFill="1" applyBorder="1" applyAlignment="1">
      <x:alignment vertical="center" wrapText="0"/>
    </x:xf>
    <x:xf numFmtId="0" fontId="15" fillId="2" borderId="0" xfId="0" applyNumberFormat="1" applyFont="1" applyFill="1" applyBorder="1" applyAlignment="1">
      <x:alignment vertical="center" wrapText="0"/>
    </x:xf>
    <x:xf numFmtId="0" fontId="16" fillId="0" borderId="0" xfId="0" applyNumberFormat="1" applyFont="1" applyFill="1" applyBorder="1" applyAlignment="1">
      <x:alignment vertical="center"/>
    </x:xf>
    <x:xf numFmtId="0" fontId="17" fillId="0" borderId="2" xfId="0" applyNumberFormat="1" applyFont="1" applyFill="1" applyBorder="1" applyAlignment="1">
      <x:alignment horizontal="left" vertical="center" wrapText="0"/>
    </x:xf>
    <x:xf numFmtId="0" fontId="8" fillId="0" borderId="2" xfId="0" applyNumberFormat="1" applyFont="1" applyFill="1" applyBorder="1"/>
    <x:xf numFmtId="0" fontId="18" fillId="2" borderId="2" xfId="0" applyNumberFormat="1" applyFont="1" applyFill="1" applyBorder="1" applyAlignment="1">
      <x:alignment vertical="center" wrapText="0"/>
    </x:xf>
    <x:xf numFmtId="0" fontId="18" fillId="2" borderId="0" xfId="0" applyNumberFormat="1" applyFont="1" applyFill="1" applyBorder="1" applyAlignment="1">
      <x:alignment vertical="center" wrapText="0"/>
    </x:xf>
    <x:xf numFmtId="0" fontId="18" fillId="0" borderId="2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18" fillId="0" borderId="2" xfId="0" applyNumberFormat="1" applyFont="1" applyFill="1" applyBorder="1" applyAlignment="1">
      <x:alignment vertical="center" wrapText="0"/>
    </x:xf>
    <x:xf numFmtId="0" fontId="18" fillId="0" borderId="0" xfId="0" applyNumberFormat="1" applyFont="1" applyFill="1" applyBorder="1" applyAlignment="1">
      <x:alignment vertical="center" wrapText="0"/>
    </x:xf>
    <x:xf numFmtId="164" fontId="18" fillId="0" borderId="2" xfId="0" applyNumberFormat="1" applyFont="1" applyFill="1" applyBorder="1" applyAlignment="1">
      <x:alignment horizontal="left" vertical="center"/>
    </x:xf>
    <x:xf numFmtId="0" fontId="18" fillId="0" borderId="2" xfId="0" applyNumberFormat="1" applyFont="1" applyFill="1" applyBorder="1"/>
    <x:xf numFmtId="0" fontId="1" fillId="0" borderId="0" xfId="0" applyNumberFormat="1" applyFont="1" applyFill="1" applyBorder="1"/>
    <x:xf numFmtId="0" fontId="19" fillId="0" borderId="0" xfId="0" applyNumberFormat="1" applyFont="1" applyFill="1" applyBorder="1" applyAlignment="1">
      <x:alignment vertical="center"/>
    </x:xf>
    <x:xf numFmtId="0" fontId="20" fillId="2" borderId="0" xfId="0" applyNumberFormat="1" applyFont="1" applyFill="1" applyBorder="1" applyAlignment="1">
      <x:alignment vertical="center" wrapText="0"/>
    </x:xf>
    <x:xf numFmtId="0" fontId="20" fillId="2" borderId="0" xfId="0" applyNumberFormat="1" applyFont="1" applyFill="1" applyBorder="1" applyAlignment="1">
      <x:alignment horizontal="center" vertical="center" wrapText="0"/>
    </x:xf>
    <x:xf numFmtId="0" fontId="20" fillId="0" borderId="0" xfId="0" applyNumberFormat="1" applyFont="1" applyFill="1" applyBorder="1" applyAlignment="1">
      <x:alignment vertical="center" wrapText="0"/>
    </x:xf>
    <x:xf numFmtId="0" fontId="21" fillId="3" borderId="0" xfId="0" applyNumberFormat="1" applyFont="1" applyFill="1" applyBorder="1" applyAlignment="1">
      <x:alignment horizontal="center" vertical="center" wrapText="1"/>
    </x:xf>
    <x:xf numFmtId="0" fontId="22" fillId="4" borderId="3" xfId="0" applyNumberFormat="1" applyFont="1" applyFill="1" applyBorder="1" applyAlignment="1">
      <x:alignment horizontal="center" vertical="center" wrapText="0"/>
    </x:xf>
    <x:xf numFmtId="0" fontId="22" fillId="5" borderId="3" xfId="0" applyNumberFormat="1" applyFont="1" applyFill="1" applyBorder="1" applyAlignment="1">
      <x:alignment horizontal="center" vertical="center" wrapText="0"/>
    </x:xf>
    <x:xf numFmtId="0" fontId="22" fillId="6" borderId="3" xfId="0" applyNumberFormat="1" applyFont="1" applyFill="1" applyBorder="1" applyAlignment="1">
      <x:alignment horizontal="center" vertical="center" wrapText="0"/>
    </x:xf>
    <x:xf numFmtId="0" fontId="22" fillId="7" borderId="3" xfId="0" applyNumberFormat="1" applyFont="1" applyFill="1" applyBorder="1" applyAlignment="1">
      <x:alignment horizontal="center" vertical="center" wrapText="0"/>
    </x:xf>
    <x:xf numFmtId="0" fontId="8" fillId="0" borderId="4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2" fillId="8" borderId="5" xfId="0" applyNumberFormat="1" applyFont="1" applyFill="1" applyBorder="1" applyAlignment="1">
      <x:alignment horizontal="center" vertical="center" wrapText="0"/>
    </x:xf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22" fillId="9" borderId="5" xfId="0" applyNumberFormat="1" applyFont="1" applyFill="1" applyBorder="1" applyAlignment="1">
      <x:alignment horizontal="center" vertical="center" wrapText="0"/>
    </x:xf>
    <x:xf numFmtId="0" fontId="22" fillId="10" borderId="5" xfId="0" applyNumberFormat="1" applyFont="1" applyFill="1" applyBorder="1" applyAlignment="1">
      <x:alignment horizontal="center" vertical="center" wrapText="0"/>
    </x:xf>
    <x:xf numFmtId="0" fontId="22" fillId="11" borderId="5" xfId="0" applyNumberFormat="1" applyFont="1" applyFill="1" applyBorder="1" applyAlignment="1">
      <x:alignment horizontal="center" vertical="center" wrapText="0"/>
    </x:xf>
    <x:xf numFmtId="0" fontId="24" fillId="0" borderId="0" xfId="0" applyNumberFormat="1" applyFont="1" applyFill="1" applyBorder="1" applyAlignment="1">
      <x:alignment vertical="center"/>
    </x:xf>
    <x:xf numFmtId="0" fontId="25" fillId="12" borderId="8" xfId="0" applyNumberFormat="1" applyFont="1" applyFill="1" applyBorder="1" applyAlignment="1">
      <x:alignment horizontal="center" vertical="center" wrapText="0"/>
    </x:xf>
    <x:xf numFmtId="0" fontId="25" fillId="13" borderId="8" xfId="0" applyNumberFormat="1" applyFont="1" applyFill="1" applyBorder="1" applyAlignment="1">
      <x:alignment horizontal="center" vertical="center" wrapText="0"/>
    </x:xf>
    <x:xf numFmtId="0" fontId="25" fillId="14" borderId="8" xfId="0" applyNumberFormat="1" applyFont="1" applyFill="1" applyBorder="1" applyAlignment="1">
      <x:alignment horizontal="center" vertical="center" wrapText="0"/>
    </x:xf>
    <x:xf numFmtId="0" fontId="25" fillId="15" borderId="8" xfId="0" applyNumberFormat="1" applyFont="1" applyFill="1" applyBorder="1" applyAlignment="1">
      <x:alignment horizontal="center" vertical="center" wrapText="0"/>
    </x:xf>
    <x:xf numFmtId="0" fontId="26" fillId="16" borderId="9" xfId="0" applyNumberFormat="1" applyFont="1" applyFill="1" applyBorder="1" applyAlignment="1">
      <x:alignment horizontal="left" vertical="center" wrapText="1"/>
    </x:xf>
    <x:xf numFmtId="0" fontId="26" fillId="16" borderId="9" xfId="0" applyNumberFormat="1" applyFont="1" applyFill="1" applyBorder="1" applyAlignment="1">
      <x:alignment vertical="center" wrapText="0"/>
    </x:xf>
    <x:xf numFmtId="0" fontId="26" fillId="16" borderId="9" xfId="0" applyNumberFormat="1" applyFont="1" applyFill="1" applyBorder="1" applyAlignment="1">
      <x:alignment vertical="center" wrapText="1"/>
    </x:xf>
    <x:xf numFmtId="0" fontId="26" fillId="16" borderId="0" xfId="0" applyNumberFormat="1" applyFont="1" applyFill="1" applyBorder="1" applyAlignment="1">
      <x:alignment horizontal="center" vertical="center" wrapText="0"/>
    </x:xf>
    <x:xf numFmtId="165" fontId="26" fillId="16" borderId="0" xfId="0" applyNumberFormat="1" applyFont="1" applyFill="1" applyBorder="1" applyAlignment="1">
      <x:alignment horizontal="center" vertical="center" wrapText="0"/>
    </x:xf>
    <x:xf numFmtId="3" fontId="26" fillId="16" borderId="0" xfId="0" applyNumberFormat="1" applyFont="1" applyFill="1" applyBorder="1" applyAlignment="1">
      <x:alignment horizontal="center" vertical="center" wrapText="0"/>
    </x:xf>
    <x:xf numFmtId="0" fontId="27" fillId="0" borderId="0" xfId="0" applyNumberFormat="1" applyFont="1" applyFill="1" applyBorder="1" applyAlignment="1">
      <x:alignment vertical="center"/>
    </x:xf>
    <x:xf numFmtId="0" fontId="28" fillId="0" borderId="10" xfId="0" applyNumberFormat="1" applyFont="1" applyFill="1" applyBorder="1" applyAlignment="1">
      <x:alignment horizontal="left" vertical="center" wrapText="1"/>
    </x:xf>
    <x:xf numFmtId="0" fontId="28" fillId="0" borderId="10" xfId="0" applyNumberFormat="1" applyFont="1" applyFill="1" applyBorder="1" applyAlignment="1">
      <x:alignment vertical="center" wrapText="1"/>
    </x:xf>
    <x:xf numFmtId="164" fontId="28" fillId="0" borderId="10" xfId="0" applyNumberFormat="1" applyFont="1" applyFill="1" applyBorder="1" applyAlignment="1">
      <x:alignment horizontal="left" vertical="center" wrapText="1"/>
    </x:xf>
    <x:xf numFmtId="0" fontId="28" fillId="0" borderId="10" xfId="0" applyNumberFormat="1" applyFont="1" applyFill="1" applyBorder="1" applyAlignment="1">
      <x:alignment horizontal="center" vertical="center" wrapText="1"/>
    </x:xf>
    <x:xf numFmtId="9" fontId="28" fillId="0" borderId="10" xfId="0" applyNumberFormat="1" applyFont="1" applyFill="1" applyBorder="1" applyAlignment="1">
      <x:alignment horizontal="center" vertical="center" wrapText="1"/>
    </x:xf>
    <x:xf numFmtId="9" fontId="29" fillId="0" borderId="11" xfId="0" applyNumberFormat="1" applyFont="1" applyFill="1" applyBorder="1" applyAlignment="1">
      <x:alignment horizontal="center" vertical="center" wrapText="0"/>
    </x:xf>
    <x:xf numFmtId="165" fontId="29" fillId="0" borderId="12" xfId="0" applyNumberFormat="1" applyFont="1" applyFill="1" applyBorder="1" applyAlignment="1">
      <x:alignment horizontal="center" vertical="center" wrapText="0"/>
    </x:xf>
    <x:xf numFmtId="0" fontId="29" fillId="0" borderId="12" xfId="0" applyNumberFormat="1" applyFont="1" applyFill="1" applyBorder="1" applyAlignment="1">
      <x:alignment horizontal="center" vertical="center" wrapText="0"/>
    </x:xf>
    <x:xf numFmtId="0" fontId="29" fillId="17" borderId="12" xfId="0" applyNumberFormat="1" applyFont="1" applyFill="1" applyBorder="1" applyAlignment="1">
      <x:alignment horizontal="center" vertical="center" wrapText="0"/>
    </x:xf>
    <x:xf numFmtId="0" fontId="29" fillId="18" borderId="12" xfId="0" applyNumberFormat="1" applyFont="1" applyFill="1" applyBorder="1" applyAlignment="1">
      <x:alignment horizontal="center" vertical="center" wrapText="0"/>
    </x:xf>
    <x:xf numFmtId="0" fontId="29" fillId="19" borderId="12" xfId="0" applyNumberFormat="1" applyFont="1" applyFill="1" applyBorder="1" applyAlignment="1">
      <x:alignment horizontal="center" vertical="center" wrapText="0"/>
    </x:xf>
    <x:xf numFmtId="0" fontId="29" fillId="20" borderId="12" xfId="0" applyNumberFormat="1" applyFont="1" applyFill="1" applyBorder="1" applyAlignment="1">
      <x:alignment horizontal="center" vertical="center" wrapText="0"/>
    </x:xf>
    <x:xf numFmtId="0" fontId="29" fillId="21" borderId="12" xfId="0" applyNumberFormat="1" applyFont="1" applyFill="1" applyBorder="1" applyAlignment="1">
      <x:alignment horizontal="center" vertical="center" wrapText="0"/>
    </x:xf>
    <x:xf numFmtId="0" fontId="29" fillId="0" borderId="13" xfId="0" applyNumberFormat="1" applyFont="1" applyFill="1" applyBorder="1" applyAlignment="1">
      <x:alignment horizontal="center" vertical="center" wrapText="0"/>
    </x:xf>
    <x:xf numFmtId="9" fontId="29" fillId="0" borderId="14" xfId="0" applyNumberFormat="1" applyFont="1" applyFill="1" applyBorder="1" applyAlignment="1">
      <x:alignment horizontal="center" vertical="center" wrapText="0"/>
    </x:xf>
    <x:xf numFmtId="165" fontId="29" fillId="0" borderId="15" xfId="0" applyNumberFormat="1" applyFont="1" applyFill="1" applyBorder="1" applyAlignment="1">
      <x:alignment horizontal="center" vertical="center" wrapText="0"/>
    </x:xf>
    <x:xf numFmtId="0" fontId="29" fillId="0" borderId="15" xfId="0" applyNumberFormat="1" applyFont="1" applyFill="1" applyBorder="1" applyAlignment="1">
      <x:alignment horizontal="center" vertical="center" wrapText="0"/>
    </x:xf>
    <x:xf numFmtId="0" fontId="29" fillId="18" borderId="15" xfId="0" applyNumberFormat="1" applyFont="1" applyFill="1" applyBorder="1" applyAlignment="1">
      <x:alignment horizontal="center" vertical="center" wrapText="0"/>
    </x:xf>
    <x:xf numFmtId="0" fontId="29" fillId="17" borderId="15" xfId="0" applyNumberFormat="1" applyFont="1" applyFill="1" applyBorder="1" applyAlignment="1">
      <x:alignment horizontal="center" vertical="center" wrapText="0"/>
    </x:xf>
    <x:xf numFmtId="0" fontId="29" fillId="19" borderId="15" xfId="0" applyNumberFormat="1" applyFont="1" applyFill="1" applyBorder="1" applyAlignment="1">
      <x:alignment horizontal="center" vertical="center" wrapText="0"/>
    </x:xf>
    <x:xf numFmtId="0" fontId="29" fillId="20" borderId="15" xfId="0" applyNumberFormat="1" applyFont="1" applyFill="1" applyBorder="1" applyAlignment="1">
      <x:alignment horizontal="center" vertical="center" wrapText="0"/>
    </x:xf>
    <x:xf numFmtId="0" fontId="29" fillId="21" borderId="15" xfId="0" applyNumberFormat="1" applyFont="1" applyFill="1" applyBorder="1" applyAlignment="1">
      <x:alignment horizontal="center" vertical="center" wrapText="0"/>
    </x:xf>
    <x:xf numFmtId="0" fontId="29" fillId="0" borderId="16" xfId="0" applyNumberFormat="1" applyFont="1" applyFill="1" applyBorder="1" applyAlignment="1">
      <x:alignment horizontal="center" vertical="center" wrapText="0"/>
    </x:xf>
    <x:xf numFmtId="0" fontId="28" fillId="0" borderId="0" xfId="0" applyNumberFormat="1" applyFont="1" applyFill="1" applyBorder="1" applyAlignment="1">
      <x:alignment horizontal="left"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164" fontId="28" fillId="0" borderId="0" xfId="0" applyNumberFormat="1" applyFont="1" applyFill="1" applyBorder="1" applyAlignment="1">
      <x:alignment horizontal="left" vertical="center" wrapText="1"/>
    </x:xf>
    <x:xf numFmtId="0" fontId="28" fillId="0" borderId="0" xfId="0" applyNumberFormat="1" applyFont="1" applyFill="1" applyBorder="1" applyAlignment="1">
      <x:alignment horizontal="center" vertical="center" wrapText="1"/>
    </x:xf>
    <x:xf numFmtId="9" fontId="28" fillId="0" borderId="0" xfId="0" applyNumberFormat="1" applyFont="1" applyFill="1" applyBorder="1" applyAlignment="1">
      <x:alignment horizontal="center" vertical="center" wrapText="1"/>
    </x:xf>
    <x:xf numFmtId="9" fontId="29" fillId="0" borderId="17" xfId="0" applyNumberFormat="1" applyFont="1" applyFill="1" applyBorder="1" applyAlignment="1">
      <x:alignment horizontal="center" vertical="center" wrapText="0"/>
    </x:xf>
    <x:xf numFmtId="165" fontId="29" fillId="0" borderId="18" xfId="0" applyNumberFormat="1" applyFont="1" applyFill="1" applyBorder="1" applyAlignment="1">
      <x:alignment horizontal="center" vertical="center" wrapText="0"/>
    </x:xf>
    <x:xf numFmtId="0" fontId="29" fillId="0" borderId="18" xfId="0" applyNumberFormat="1" applyFont="1" applyFill="1" applyBorder="1" applyAlignment="1">
      <x:alignment horizontal="center" vertical="center" wrapText="0"/>
    </x:xf>
    <x:xf numFmtId="0" fontId="29" fillId="18" borderId="18" xfId="0" applyNumberFormat="1" applyFont="1" applyFill="1" applyBorder="1" applyAlignment="1">
      <x:alignment horizontal="center" vertical="center" wrapText="0"/>
    </x:xf>
    <x:xf numFmtId="0" fontId="29" fillId="17" borderId="18" xfId="0" applyNumberFormat="1" applyFont="1" applyFill="1" applyBorder="1" applyAlignment="1">
      <x:alignment horizontal="center" vertical="center" wrapText="0"/>
    </x:xf>
    <x:xf numFmtId="0" fontId="29" fillId="19" borderId="18" xfId="0" applyNumberFormat="1" applyFont="1" applyFill="1" applyBorder="1" applyAlignment="1">
      <x:alignment horizontal="center" vertical="center" wrapText="0"/>
    </x:xf>
    <x:xf numFmtId="0" fontId="29" fillId="20" borderId="18" xfId="0" applyNumberFormat="1" applyFont="1" applyFill="1" applyBorder="1" applyAlignment="1">
      <x:alignment horizontal="center" vertical="center" wrapText="0"/>
    </x:xf>
    <x:xf numFmtId="0" fontId="29" fillId="21" borderId="18" xfId="0" applyNumberFormat="1" applyFont="1" applyFill="1" applyBorder="1" applyAlignment="1">
      <x:alignment horizontal="center" vertical="center" wrapText="0"/>
    </x:xf>
    <x:xf numFmtId="0" fontId="29" fillId="0" borderId="19" xfId="0" applyNumberFormat="1" applyFont="1" applyFill="1" applyBorder="1" applyAlignment="1">
      <x:alignment horizontal="center" vertical="center" wrapText="0"/>
    </x:xf>
    <x:xf numFmtId="0" fontId="29" fillId="13" borderId="12" xfId="0" applyNumberFormat="1" applyFont="1" applyFill="1" applyBorder="1" applyAlignment="1">
      <x:alignment horizontal="center" vertical="center" wrapText="0"/>
    </x:xf>
    <x:xf numFmtId="0" fontId="30" fillId="13" borderId="15" xfId="0" applyNumberFormat="1" applyFont="1" applyFill="1" applyBorder="1"/>
    <x:xf numFmtId="0" fontId="30" fillId="13" borderId="20" xfId="0" applyNumberFormat="1" applyFont="1" applyFill="1" applyBorder="1"/>
    <x:xf numFmtId="0" fontId="19" fillId="0" borderId="0" xfId="0" applyNumberFormat="1" applyFont="1" applyFill="1" applyBorder="1" applyAlignment="1">
      <x:alignment horizontal="center" vertical="center"/>
    </x:xf>
    <x:xf numFmtId="200" fontId="18" fillId="0" borderId="2" xfId="0" applyNumberFormat="1" applyFont="1" applyFill="1" applyBorder="1" applyAlignment="1">
      <x:alignment horizontal="left" vertical="center"/>
    </x:xf>
    <x:xf numFmtId="201" fontId="25" fillId="12" borderId="8" xfId="0" applyNumberFormat="1" applyFont="1" applyFill="1" applyBorder="1" applyAlignment="1">
      <x:alignment horizontal="center" vertical="center" wrapText="0"/>
    </x:xf>
    <x:xf numFmtId="201" fontId="25" fillId="13" borderId="8" xfId="0" applyNumberFormat="1" applyFont="1" applyFill="1" applyBorder="1" applyAlignment="1">
      <x:alignment horizontal="center" vertical="center" wrapText="0"/>
    </x:xf>
    <x:xf numFmtId="201" fontId="25" fillId="14" borderId="8" xfId="0" applyNumberFormat="1" applyFont="1" applyFill="1" applyBorder="1" applyAlignment="1">
      <x:alignment horizontal="center" vertical="center" wrapText="0"/>
    </x:xf>
    <x:xf numFmtId="201" fontId="25" fillId="15" borderId="8" xfId="0" applyNumberFormat="1" applyFont="1" applyFill="1" applyBorder="1" applyAlignment="1">
      <x:alignment horizontal="center" vertical="center" wrapText="0"/>
    </x:xf>
    <x:xf numFmtId="0" fontId="19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200" fontId="26" fillId="16" borderId="9" xfId="0" applyNumberFormat="1" applyFont="1" applyFill="1" applyBorder="1" applyAlignment="1">
      <x:alignment vertical="center" wrapText="1"/>
    </x:xf>
    <x:xf numFmtId="200" fontId="28" fillId="0" borderId="10" xfId="0" applyNumberFormat="1" applyFont="1" applyFill="1" applyBorder="1" applyAlignment="1">
      <x:alignment horizontal="left" vertical="center" wrapText="1"/>
    </x:xf>
    <x:xf numFmtId="200" fontId="28" fillId="0" borderId="0" xfId="0" applyNumberFormat="1" applyFont="1" applyFill="1" applyBorder="1" applyAlignment="1">
      <x:alignment horizontal="left" vertical="center" wrapText="1"/>
    </x:xf>
    <x:xf numFmtId="200" fontId="19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bottom" wrapText="0"/>
    </x:xf>
    <x:xf numFmtId="202" fontId="26" fillId="16" borderId="9" xfId="0" applyNumberFormat="1" applyFont="1" applyFill="1" applyBorder="1" applyAlignment="1">
      <x:alignment vertical="center" wrapText="1"/>
    </x:xf>
    <x:xf numFmtId="202" fontId="28" fillId="0" borderId="10" xfId="0" applyNumberFormat="1" applyFont="1" applyFill="1" applyBorder="1" applyAlignment="1">
      <x:alignment horizontal="center" vertical="center" wrapText="1"/>
    </x:xf>
    <x:xf numFmtId="202" fontId="28" fillId="0" borderId="0" xfId="0" applyNumberFormat="1" applyFont="1" applyFill="1" applyBorder="1" applyAlignment="1">
      <x:alignment horizontal="center" vertical="center" wrapText="1"/>
    </x:xf>
    <x:xf numFmtId="202" fontId="19" fillId="0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 applyAlignment="1">
      <x:alignment vertical="bottom" wrapText="0"/>
    </x:xf>
    <x:xf numFmtId="203" fontId="26" fillId="16" borderId="9" xfId="0" applyNumberFormat="1" applyFont="1" applyFill="1" applyBorder="1" applyAlignment="1">
      <x:alignment vertical="center" wrapText="1"/>
    </x:xf>
    <x:xf numFmtId="203" fontId="28" fillId="0" borderId="10" xfId="0" applyNumberFormat="1" applyFont="1" applyFill="1" applyBorder="1" applyAlignment="1">
      <x:alignment horizontal="center" vertical="center" wrapText="1"/>
    </x:xf>
    <x:xf numFmtId="203" fontId="28" fillId="22" borderId="10" xfId="0" applyNumberFormat="1" applyFont="1" applyFill="1" applyBorder="1" applyAlignment="1">
      <x:alignment horizontal="center" vertical="center" wrapText="1"/>
    </x:xf>
    <x:xf numFmtId="203" fontId="28" fillId="0" borderId="0" xfId="0" applyNumberFormat="1" applyFont="1" applyFill="1" applyBorder="1" applyAlignment="1">
      <x:alignment horizontal="center" vertical="center" wrapText="1"/>
    </x:xf>
    <x:xf numFmtId="203" fontId="19" fillId="0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0"/>
    </x:xf>
    <x:xf numFmtId="202" fontId="0" fillId="0" borderId="0" xfId="0" applyNumberFormat="1" applyFont="1" applyFill="1" applyBorder="1" applyAlignment="1">
      <x:alignment vertical="center" wrapText="0"/>
    </x:xf>
    <x:xf numFmtId="203" fontId="0" fillId="0" borderId="0" xfId="0" applyNumberFormat="1" applyFont="1" applyFill="1" applyBorder="1" applyAlignment="1">
      <x:alignment vertical="center" wrapText="0"/>
    </x:xf>
    <x:xf numFmtId="0" fontId="30" fillId="13" borderId="15" xfId="0" applyNumberFormat="1" applyFont="1" applyFill="1" applyBorder="1" applyAlignment="1">
      <x:alignment horizontal="center"/>
    </x:xf>
    <x:xf numFmtId="0" fontId="30" fillId="13" borderId="2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bottom" wrapText="0"/>
    </x:xf>
    <x:xf numFmtId="0" fontId="30" fillId="13" borderId="15" xfId="0" applyNumberFormat="1" applyFont="1" applyFill="1" applyBorder="1" applyAlignment="1">
      <x:alignment horizontal="center" vertical="center"/>
    </x:xf>
    <x:xf numFmtId="0" fontId="30" fillId="13" borderId="2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 wrapText="0"/>
    </x:xf>
    <x:xf numFmtId="204" fontId="20" fillId="2" borderId="0" xfId="0" applyNumberFormat="1" applyFont="1" applyFill="1" applyBorder="1" applyAlignment="1">
      <x:alignment vertical="center" wrapText="0"/>
    </x:xf>
    <x:xf numFmtId="204" fontId="19" fillId="0" borderId="0" xfId="0" applyNumberFormat="1" applyFont="1" applyFill="1" applyBorder="1" applyAlignment="1">
      <x:alignment vertical="center"/>
    </x:xf>
    <x:xf numFmtId="204" fontId="31" fillId="2" borderId="0" xfId="0" applyNumberFormat="1" applyFont="1" applyFill="1" applyBorder="1" applyAlignment="1">
      <x:alignment vertical="center" wrapText="0"/>
    </x:xf>
    <x:xf numFmtId="204" fontId="31" fillId="0" borderId="0" xfId="0" applyNumberFormat="1" applyFont="1" applyFill="1" applyBorder="1" applyAlignment="1">
      <x:alignment vertical="center"/>
    </x:xf>
    <x:xf numFmtId="0" fontId="26" fillId="23" borderId="9" xfId="0" applyNumberFormat="1" applyFont="1" applyFill="1" applyBorder="1" applyAlignment="1">
      <x:alignment horizontal="left" vertical="center" wrapText="1"/>
    </x:xf>
    <x:xf numFmtId="0" fontId="26" fillId="23" borderId="9" xfId="0" applyNumberFormat="1" applyFont="1" applyFill="1" applyBorder="1" applyAlignment="1">
      <x:alignment vertical="center" wrapText="1"/>
    </x:xf>
    <x:xf numFmtId="200" fontId="26" fillId="23" borderId="9" xfId="0" applyNumberFormat="1" applyFont="1" applyFill="1" applyBorder="1" applyAlignment="1">
      <x:alignment vertical="center" wrapText="1"/>
    </x:xf>
    <x:xf numFmtId="202" fontId="26" fillId="23" borderId="9" xfId="0" applyNumberFormat="1" applyFont="1" applyFill="1" applyBorder="1" applyAlignment="1">
      <x:alignment vertical="center" wrapText="1"/>
    </x:xf>
    <x:xf numFmtId="203" fontId="26" fillId="23" borderId="9" xfId="0" applyNumberFormat="1" applyFont="1" applyFill="1" applyBorder="1" applyAlignment="1">
      <x:alignment vertical="center" wrapText="1"/>
    </x:xf>
    <x:xf numFmtId="0" fontId="26" fillId="23" borderId="0" xfId="0" applyNumberFormat="1" applyFont="1" applyFill="1" applyBorder="1" applyAlignment="1">
      <x:alignment horizontal="center" vertical="center" wrapText="0"/>
    </x:xf>
    <x:xf numFmtId="165" fontId="26" fillId="23" borderId="0" xfId="0" applyNumberFormat="1" applyFont="1" applyFill="1" applyBorder="1" applyAlignment="1">
      <x:alignment horizontal="center" vertical="center" wrapText="0"/>
    </x:xf>
    <x:xf numFmtId="3" fontId="26" fillId="23" borderId="0" xfId="0" applyNumberFormat="1" applyFont="1" applyFill="1" applyBorder="1" applyAlignment="1">
      <x:alignment horizontal="center" vertical="center" wrapText="0"/>
    </x:xf>
    <x:xf numFmtId="0" fontId="32" fillId="23" borderId="9" xfId="0" applyNumberFormat="1" applyFont="1" applyFill="1" applyBorder="1" applyAlignment="1">
      <x:alignment horizontal="left" vertical="center" wrapText="1"/>
    </x:xf>
    <x:xf numFmtId="0" fontId="32" fillId="23" borderId="9" xfId="0" applyNumberFormat="1" applyFont="1" applyFill="1" applyBorder="1" applyAlignment="1">
      <x:alignment vertical="center" wrapText="1"/>
    </x:xf>
    <x:xf numFmtId="200" fontId="32" fillId="23" borderId="9" xfId="0" applyNumberFormat="1" applyFont="1" applyFill="1" applyBorder="1" applyAlignment="1">
      <x:alignment vertical="center" wrapText="1"/>
    </x:xf>
    <x:xf numFmtId="202" fontId="32" fillId="23" borderId="9" xfId="0" applyNumberFormat="1" applyFont="1" applyFill="1" applyBorder="1" applyAlignment="1">
      <x:alignment vertical="center" wrapText="1"/>
    </x:xf>
    <x:xf numFmtId="203" fontId="32" fillId="23" borderId="9" xfId="0" applyNumberFormat="1" applyFont="1" applyFill="1" applyBorder="1" applyAlignment="1">
      <x:alignment vertical="center" wrapText="1"/>
    </x:xf>
    <x:xf numFmtId="0" fontId="32" fillId="23" borderId="0" xfId="0" applyNumberFormat="1" applyFont="1" applyFill="1" applyBorder="1" applyAlignment="1">
      <x:alignment horizontal="center" vertical="center" wrapText="0"/>
    </x:xf>
    <x:xf numFmtId="165" fontId="32" fillId="23" borderId="0" xfId="0" applyNumberFormat="1" applyFont="1" applyFill="1" applyBorder="1" applyAlignment="1">
      <x:alignment horizontal="center" vertical="center" wrapText="0"/>
    </x:xf>
    <x:xf numFmtId="3" fontId="32" fillId="23" borderId="0" xfId="0" applyNumberFormat="1" applyFont="1" applyFill="1" applyBorder="1" applyAlignment="1">
      <x:alignment horizontal="center" vertical="center" wrapText="0"/>
    </x:xf>
    <x:xf numFmtId="0" fontId="28" fillId="24" borderId="10" xfId="0" applyNumberFormat="1" applyFont="1" applyFill="1" applyBorder="1" applyAlignment="1">
      <x:alignment horizontal="left" vertical="center" wrapText="1"/>
    </x:xf>
    <x:xf numFmtId="0" fontId="28" fillId="24" borderId="10" xfId="0" applyNumberFormat="1" applyFont="1" applyFill="1" applyBorder="1" applyAlignment="1">
      <x:alignment vertical="center" wrapText="1"/>
    </x:xf>
    <x:xf numFmtId="200" fontId="28" fillId="24" borderId="10" xfId="0" applyNumberFormat="1" applyFont="1" applyFill="1" applyBorder="1" applyAlignment="1">
      <x:alignment horizontal="left" vertical="center" wrapText="1"/>
    </x:xf>
    <x:xf numFmtId="202" fontId="28" fillId="24" borderId="10" xfId="0" applyNumberFormat="1" applyFont="1" applyFill="1" applyBorder="1" applyAlignment="1">
      <x:alignment horizontal="center" vertical="center" wrapText="1"/>
    </x:xf>
    <x:xf numFmtId="203" fontId="28" fillId="24" borderId="10" xfId="0" applyNumberFormat="1" applyFont="1" applyFill="1" applyBorder="1" applyAlignment="1">
      <x:alignment horizontal="center" vertical="center" wrapText="1"/>
    </x:xf>
    <x:xf numFmtId="0" fontId="28" fillId="24" borderId="0" xfId="0" applyNumberFormat="1" applyFont="1" applyFill="1" applyBorder="1" applyAlignment="1">
      <x:alignment horizontal="left" vertical="center" wrapText="1"/>
    </x:xf>
    <x:xf numFmtId="0" fontId="28" fillId="24" borderId="0" xfId="0" applyNumberFormat="1" applyFont="1" applyFill="1" applyBorder="1" applyAlignment="1">
      <x:alignment vertical="center" wrapText="1"/>
    </x:xf>
    <x:xf numFmtId="200" fontId="28" fillId="24" borderId="0" xfId="0" applyNumberFormat="1" applyFont="1" applyFill="1" applyBorder="1" applyAlignment="1">
      <x:alignment horizontal="left" vertical="center" wrapText="1"/>
    </x:xf>
    <x:xf numFmtId="202" fontId="28" fillId="24" borderId="0" xfId="0" applyNumberFormat="1" applyFont="1" applyFill="1" applyBorder="1" applyAlignment="1">
      <x:alignment horizontal="center" vertical="center" wrapText="1"/>
    </x:xf>
    <x:xf numFmtId="203" fontId="28" fillId="24" borderId="0" xfId="0" applyNumberFormat="1" applyFont="1" applyFill="1" applyBorder="1" applyAlignment="1">
      <x:alignment horizontal="center" vertical="center" wrapText="1"/>
    </x:xf>
    <x:xf numFmtId="0" fontId="33" fillId="24" borderId="10" xfId="0" applyNumberFormat="1" applyFont="1" applyFill="1" applyBorder="1" applyAlignment="1">
      <x:alignment horizontal="left" vertical="center" wrapText="1"/>
    </x:xf>
    <x:xf numFmtId="0" fontId="33" fillId="24" borderId="10" xfId="0" applyNumberFormat="1" applyFont="1" applyFill="1" applyBorder="1" applyAlignment="1">
      <x:alignment vertical="center" wrapText="1"/>
    </x:xf>
    <x:xf numFmtId="200" fontId="33" fillId="24" borderId="10" xfId="0" applyNumberFormat="1" applyFont="1" applyFill="1" applyBorder="1" applyAlignment="1">
      <x:alignment horizontal="left" vertical="center" wrapText="1"/>
    </x:xf>
    <x:xf numFmtId="202" fontId="33" fillId="24" borderId="10" xfId="0" applyNumberFormat="1" applyFont="1" applyFill="1" applyBorder="1" applyAlignment="1">
      <x:alignment horizontal="center" vertical="center" wrapText="1"/>
    </x:xf>
    <x:xf numFmtId="203" fontId="33" fillId="24" borderId="10" xfId="0" applyNumberFormat="1" applyFont="1" applyFill="1" applyBorder="1" applyAlignment="1">
      <x:alignment horizontal="center" vertical="center" wrapText="1"/>
    </x:xf>
    <x:xf numFmtId="0" fontId="33" fillId="24" borderId="0" xfId="0" applyNumberFormat="1" applyFont="1" applyFill="1" applyBorder="1" applyAlignment="1">
      <x:alignment horizontal="left" vertical="center" wrapText="1"/>
    </x:xf>
    <x:xf numFmtId="0" fontId="33" fillId="24" borderId="0" xfId="0" applyNumberFormat="1" applyFont="1" applyFill="1" applyBorder="1" applyAlignment="1">
      <x:alignment vertical="center" wrapText="1"/>
    </x:xf>
    <x:xf numFmtId="200" fontId="33" fillId="24" borderId="0" xfId="0" applyNumberFormat="1" applyFont="1" applyFill="1" applyBorder="1" applyAlignment="1">
      <x:alignment horizontal="left" vertical="center" wrapText="1"/>
    </x:xf>
    <x:xf numFmtId="202" fontId="33" fillId="24" borderId="0" xfId="0" applyNumberFormat="1" applyFont="1" applyFill="1" applyBorder="1" applyAlignment="1">
      <x:alignment horizontal="center" vertical="center" wrapText="1"/>
    </x:xf>
    <x:xf numFmtId="203" fontId="33" fillId="24" borderId="0" xfId="0" applyNumberFormat="1" applyFont="1" applyFill="1" applyBorder="1" applyAlignment="1">
      <x:alignment horizontal="center" vertical="center" wrapText="1"/>
    </x:xf>
    <x:xf numFmtId="9" fontId="29" fillId="25" borderId="11" xfId="0" applyNumberFormat="1" applyFont="1" applyFill="1" applyBorder="1" applyAlignment="1">
      <x:alignment horizontal="center" vertical="center" wrapText="0"/>
    </x:xf>
    <x:xf numFmtId="165" fontId="29" fillId="25" borderId="12" xfId="0" applyNumberFormat="1" applyFont="1" applyFill="1" applyBorder="1" applyAlignment="1">
      <x:alignment horizontal="center" vertical="center" wrapText="0"/>
    </x:xf>
    <x:xf numFmtId="0" fontId="29" fillId="25" borderId="12" xfId="0" applyNumberFormat="1" applyFont="1" applyFill="1" applyBorder="1" applyAlignment="1">
      <x:alignment horizontal="center" vertical="center" wrapText="0"/>
    </x:xf>
    <x:xf numFmtId="9" fontId="29" fillId="25" borderId="14" xfId="0" applyNumberFormat="1" applyFont="1" applyFill="1" applyBorder="1" applyAlignment="1">
      <x:alignment horizontal="center" vertical="center" wrapText="0"/>
    </x:xf>
    <x:xf numFmtId="165" fontId="29" fillId="25" borderId="15" xfId="0" applyNumberFormat="1" applyFont="1" applyFill="1" applyBorder="1" applyAlignment="1">
      <x:alignment horizontal="center" vertical="center" wrapText="0"/>
    </x:xf>
    <x:xf numFmtId="0" fontId="29" fillId="25" borderId="15" xfId="0" applyNumberFormat="1" applyFont="1" applyFill="1" applyBorder="1" applyAlignment="1">
      <x:alignment horizontal="center" vertical="center" wrapText="0"/>
    </x:xf>
    <x:xf numFmtId="9" fontId="29" fillId="25" borderId="17" xfId="0" applyNumberFormat="1" applyFont="1" applyFill="1" applyBorder="1" applyAlignment="1">
      <x:alignment horizontal="center" vertical="center" wrapText="0"/>
    </x:xf>
    <x:xf numFmtId="165" fontId="29" fillId="25" borderId="18" xfId="0" applyNumberFormat="1" applyFont="1" applyFill="1" applyBorder="1" applyAlignment="1">
      <x:alignment horizontal="center" vertical="center" wrapText="0"/>
    </x:xf>
    <x:xf numFmtId="0" fontId="29" fillId="25" borderId="18" xfId="0" applyNumberFormat="1" applyFont="1" applyFill="1" applyBorder="1" applyAlignment="1">
      <x:alignment horizontal="center" vertical="center" wrapText="0"/>
    </x:xf>
    <x:xf numFmtId="9" fontId="33" fillId="25" borderId="11" xfId="0" applyNumberFormat="1" applyFont="1" applyFill="1" applyBorder="1" applyAlignment="1">
      <x:alignment horizontal="center" vertical="center" wrapText="0"/>
    </x:xf>
    <x:xf numFmtId="165" fontId="33" fillId="25" borderId="12" xfId="0" applyNumberFormat="1" applyFont="1" applyFill="1" applyBorder="1" applyAlignment="1">
      <x:alignment horizontal="center" vertical="center" wrapText="0"/>
    </x:xf>
    <x:xf numFmtId="0" fontId="33" fillId="25" borderId="12" xfId="0" applyNumberFormat="1" applyFont="1" applyFill="1" applyBorder="1" applyAlignment="1">
      <x:alignment horizontal="center" vertical="center" wrapText="0"/>
    </x:xf>
    <x:xf numFmtId="9" fontId="33" fillId="25" borderId="14" xfId="0" applyNumberFormat="1" applyFont="1" applyFill="1" applyBorder="1" applyAlignment="1">
      <x:alignment horizontal="center" vertical="center" wrapText="0"/>
    </x:xf>
    <x:xf numFmtId="165" fontId="33" fillId="25" borderId="15" xfId="0" applyNumberFormat="1" applyFont="1" applyFill="1" applyBorder="1" applyAlignment="1">
      <x:alignment horizontal="center" vertical="center" wrapText="0"/>
    </x:xf>
    <x:xf numFmtId="0" fontId="33" fillId="25" borderId="15" xfId="0" applyNumberFormat="1" applyFont="1" applyFill="1" applyBorder="1" applyAlignment="1">
      <x:alignment horizontal="center" vertical="center" wrapText="0"/>
    </x:xf>
    <x:xf numFmtId="9" fontId="33" fillId="25" borderId="17" xfId="0" applyNumberFormat="1" applyFont="1" applyFill="1" applyBorder="1" applyAlignment="1">
      <x:alignment horizontal="center" vertical="center" wrapText="0"/>
    </x:xf>
    <x:xf numFmtId="165" fontId="33" fillId="25" borderId="18" xfId="0" applyNumberFormat="1" applyFont="1" applyFill="1" applyBorder="1" applyAlignment="1">
      <x:alignment horizontal="center" vertical="center" wrapText="0"/>
    </x:xf>
    <x:xf numFmtId="0" fontId="33" fillId="25" borderId="18" xfId="0" applyNumberFormat="1" applyFont="1" applyFill="1" applyBorder="1" applyAlignment="1">
      <x:alignment horizontal="center" vertical="center" wrapText="0"/>
    </x:xf>
    <x:xf numFmtId="0" fontId="29" fillId="26" borderId="12" xfId="0" applyNumberFormat="1" applyFont="1" applyFill="1" applyBorder="1" applyAlignment="1">
      <x:alignment horizontal="center" vertical="center" wrapText="0"/>
    </x:xf>
    <x:xf numFmtId="0" fontId="29" fillId="26" borderId="15" xfId="0" applyNumberFormat="1" applyFont="1" applyFill="1" applyBorder="1" applyAlignment="1">
      <x:alignment horizontal="center" vertical="center" wrapText="0"/>
    </x:xf>
    <x:xf numFmtId="0" fontId="29" fillId="26" borderId="18" xfId="0" applyNumberFormat="1" applyFont="1" applyFill="1" applyBorder="1" applyAlignment="1">
      <x:alignment horizontal="center" vertical="center" wrapText="0"/>
    </x:xf>
    <x:xf numFmtId="0" fontId="33" fillId="26" borderId="12" xfId="0" applyNumberFormat="1" applyFont="1" applyFill="1" applyBorder="1" applyAlignment="1">
      <x:alignment horizontal="center" vertical="center" wrapText="0"/>
    </x:xf>
    <x:xf numFmtId="0" fontId="33" fillId="26" borderId="15" xfId="0" applyNumberFormat="1" applyFont="1" applyFill="1" applyBorder="1" applyAlignment="1">
      <x:alignment horizontal="center" vertical="center" wrapText="0"/>
    </x:xf>
    <x:xf numFmtId="0" fontId="33" fillId="26" borderId="18" xfId="0" applyNumberFormat="1" applyFont="1" applyFill="1" applyBorder="1" applyAlignment="1">
      <x:alignment horizontal="center" vertical="center" wrapText="0"/>
    </x:xf>
    <x:xf numFmtId="0" fontId="29" fillId="27" borderId="12" xfId="0" applyNumberFormat="1" applyFont="1" applyFill="1" applyBorder="1" applyAlignment="1">
      <x:alignment horizontal="center" vertical="center" wrapText="0"/>
    </x:xf>
    <x:xf numFmtId="0" fontId="29" fillId="27" borderId="15" xfId="0" applyNumberFormat="1" applyFont="1" applyFill="1" applyBorder="1" applyAlignment="1">
      <x:alignment horizontal="center" vertical="center" wrapText="0"/>
    </x:xf>
    <x:xf numFmtId="0" fontId="29" fillId="27" borderId="18" xfId="0" applyNumberFormat="1" applyFont="1" applyFill="1" applyBorder="1" applyAlignment="1">
      <x:alignment horizontal="center" vertical="center" wrapText="0"/>
    </x:xf>
    <x:xf numFmtId="0" fontId="33" fillId="27" borderId="12" xfId="0" applyNumberFormat="1" applyFont="1" applyFill="1" applyBorder="1" applyAlignment="1">
      <x:alignment horizontal="center" vertical="center" wrapText="0"/>
    </x:xf>
    <x:xf numFmtId="0" fontId="33" fillId="27" borderId="15" xfId="0" applyNumberFormat="1" applyFont="1" applyFill="1" applyBorder="1" applyAlignment="1">
      <x:alignment horizontal="center" vertical="center" wrapText="0"/>
    </x:xf>
    <x:xf numFmtId="0" fontId="33" fillId="27" borderId="18" xfId="0" applyNumberFormat="1" applyFont="1" applyFill="1" applyBorder="1" applyAlignment="1">
      <x:alignment horizontal="center" vertical="center" wrapText="0"/>
    </x:xf>
    <x:xf numFmtId="0" fontId="29" fillId="28" borderId="12" xfId="0" applyNumberFormat="1" applyFont="1" applyFill="1" applyBorder="1" applyAlignment="1">
      <x:alignment horizontal="center" vertical="center" wrapText="0"/>
    </x:xf>
    <x:xf numFmtId="0" fontId="29" fillId="28" borderId="13" xfId="0" applyNumberFormat="1" applyFont="1" applyFill="1" applyBorder="1" applyAlignment="1">
      <x:alignment horizontal="center" vertical="center" wrapText="0"/>
    </x:xf>
    <x:xf numFmtId="0" fontId="29" fillId="28" borderId="15" xfId="0" applyNumberFormat="1" applyFont="1" applyFill="1" applyBorder="1" applyAlignment="1">
      <x:alignment horizontal="center" vertical="center" wrapText="0"/>
    </x:xf>
    <x:xf numFmtId="0" fontId="29" fillId="28" borderId="16" xfId="0" applyNumberFormat="1" applyFont="1" applyFill="1" applyBorder="1" applyAlignment="1">
      <x:alignment horizontal="center" vertical="center" wrapText="0"/>
    </x:xf>
    <x:xf numFmtId="0" fontId="29" fillId="28" borderId="18" xfId="0" applyNumberFormat="1" applyFont="1" applyFill="1" applyBorder="1" applyAlignment="1">
      <x:alignment horizontal="center" vertical="center" wrapText="0"/>
    </x:xf>
    <x:xf numFmtId="0" fontId="29" fillId="28" borderId="19" xfId="0" applyNumberFormat="1" applyFont="1" applyFill="1" applyBorder="1" applyAlignment="1">
      <x:alignment horizontal="center" vertical="center" wrapText="0"/>
    </x:xf>
    <x:xf numFmtId="0" fontId="33" fillId="28" borderId="12" xfId="0" applyNumberFormat="1" applyFont="1" applyFill="1" applyBorder="1" applyAlignment="1">
      <x:alignment horizontal="center" vertical="center" wrapText="0"/>
    </x:xf>
    <x:xf numFmtId="0" fontId="33" fillId="28" borderId="13" xfId="0" applyNumberFormat="1" applyFont="1" applyFill="1" applyBorder="1" applyAlignment="1">
      <x:alignment horizontal="center" vertical="center" wrapText="0"/>
    </x:xf>
    <x:xf numFmtId="0" fontId="33" fillId="28" borderId="15" xfId="0" applyNumberFormat="1" applyFont="1" applyFill="1" applyBorder="1" applyAlignment="1">
      <x:alignment horizontal="center" vertical="center" wrapText="0"/>
    </x:xf>
    <x:xf numFmtId="0" fontId="33" fillId="28" borderId="16" xfId="0" applyNumberFormat="1" applyFont="1" applyFill="1" applyBorder="1" applyAlignment="1">
      <x:alignment horizontal="center" vertical="center" wrapText="0"/>
    </x:xf>
    <x:xf numFmtId="0" fontId="33" fillId="28" borderId="18" xfId="0" applyNumberFormat="1" applyFont="1" applyFill="1" applyBorder="1" applyAlignment="1">
      <x:alignment horizontal="center" vertical="center" wrapText="0"/>
    </x:xf>
    <x:xf numFmtId="0" fontId="33" fillId="28" borderId="19" xfId="0" applyNumberFormat="1" applyFont="1" applyFill="1" applyBorder="1" applyAlignment="1">
      <x:alignment horizontal="center" vertical="center" wrapText="0"/>
    </x:xf>
    <x:xf numFmtId="0" fontId="26" fillId="24" borderId="9" xfId="0" applyNumberFormat="1" applyFont="1" applyFill="1" applyBorder="1" applyAlignment="1">
      <x:alignment horizontal="left" vertical="center" wrapText="1"/>
    </x:xf>
    <x:xf numFmtId="0" fontId="26" fillId="24" borderId="9" xfId="0" applyNumberFormat="1" applyFont="1" applyFill="1" applyBorder="1" applyAlignment="1">
      <x:alignment vertical="center" wrapText="1"/>
    </x:xf>
    <x:xf numFmtId="200" fontId="26" fillId="24" borderId="9" xfId="0" applyNumberFormat="1" applyFont="1" applyFill="1" applyBorder="1" applyAlignment="1">
      <x:alignment vertical="center" wrapText="1"/>
    </x:xf>
    <x:xf numFmtId="202" fontId="26" fillId="24" borderId="9" xfId="0" applyNumberFormat="1" applyFont="1" applyFill="1" applyBorder="1" applyAlignment="1">
      <x:alignment vertical="center" wrapText="1"/>
    </x:xf>
    <x:xf numFmtId="203" fontId="26" fillId="24" borderId="9" xfId="0" applyNumberFormat="1" applyFont="1" applyFill="1" applyBorder="1" applyAlignment="1">
      <x:alignment vertical="center" wrapText="1"/>
    </x:xf>
    <x:xf numFmtId="0" fontId="34" fillId="24" borderId="9" xfId="0" applyNumberFormat="1" applyFont="1" applyFill="1" applyBorder="1" applyAlignment="1">
      <x:alignment horizontal="left" vertical="center" wrapText="1"/>
    </x:xf>
    <x:xf numFmtId="0" fontId="34" fillId="24" borderId="9" xfId="0" applyNumberFormat="1" applyFont="1" applyFill="1" applyBorder="1" applyAlignment="1">
      <x:alignment vertical="center" wrapText="1"/>
    </x:xf>
    <x:xf numFmtId="200" fontId="34" fillId="24" borderId="9" xfId="0" applyNumberFormat="1" applyFont="1" applyFill="1" applyBorder="1" applyAlignment="1">
      <x:alignment vertical="center" wrapText="1"/>
    </x:xf>
    <x:xf numFmtId="202" fontId="34" fillId="24" borderId="9" xfId="0" applyNumberFormat="1" applyFont="1" applyFill="1" applyBorder="1" applyAlignment="1">
      <x:alignment vertical="center" wrapText="1"/>
    </x:xf>
    <x:xf numFmtId="203" fontId="34" fillId="24" borderId="9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 applyAlignment="1">
      <x:alignment horizontal="center" vertical="center" wrapText="0"/>
    </x:xf>
    <x:xf numFmtId="165" fontId="26" fillId="25" borderId="0" xfId="0" applyNumberFormat="1" applyFont="1" applyFill="1" applyBorder="1" applyAlignment="1">
      <x:alignment horizontal="center" vertical="center" wrapText="0"/>
    </x:xf>
    <x:xf numFmtId="3" fontId="26" fillId="25" borderId="0" xfId="0" applyNumberFormat="1" applyFont="1" applyFill="1" applyBorder="1" applyAlignment="1">
      <x:alignment horizontal="center" vertical="center" wrapText="0"/>
    </x:xf>
    <x:xf numFmtId="0" fontId="34" fillId="25" borderId="0" xfId="0" applyNumberFormat="1" applyFont="1" applyFill="1" applyBorder="1" applyAlignment="1">
      <x:alignment horizontal="center" vertical="center" wrapText="0"/>
    </x:xf>
    <x:xf numFmtId="165" fontId="34" fillId="25" borderId="0" xfId="0" applyNumberFormat="1" applyFont="1" applyFill="1" applyBorder="1" applyAlignment="1">
      <x:alignment horizontal="center" vertical="center" wrapText="0"/>
    </x:xf>
    <x:xf numFmtId="3" fontId="34" fillId="25" borderId="0" xfId="0" applyNumberFormat="1" applyFont="1" applyFill="1" applyBorder="1" applyAlignment="1">
      <x:alignment horizontal="center" vertical="center" wrapText="0"/>
    </x:xf>
    <x:xf numFmtId="0" fontId="30" fillId="26" borderId="15" xfId="0" applyNumberFormat="1" applyFont="1" applyFill="1" applyBorder="1" applyAlignment="1">
      <x:alignment horizontal="center" vertical="center"/>
    </x:xf>
    <x:xf numFmtId="0" fontId="30" fillId="26" borderId="20" xfId="0" applyNumberFormat="1" applyFont="1" applyFill="1" applyBorder="1" applyAlignment="1">
      <x:alignment horizontal="center" vertical="center"/>
    </x:xf>
    <x:xf numFmtId="0" fontId="26" fillId="26" borderId="0" xfId="0" applyNumberFormat="1" applyFont="1" applyFill="1" applyBorder="1" applyAlignment="1">
      <x:alignment horizontal="center" vertical="center" wrapText="0"/>
    </x:xf>
    <x:xf numFmtId="0" fontId="35" fillId="26" borderId="15" xfId="0" applyNumberFormat="1" applyFont="1" applyFill="1" applyBorder="1" applyAlignment="1">
      <x:alignment horizontal="center" vertical="center"/>
    </x:xf>
    <x:xf numFmtId="0" fontId="35" fillId="26" borderId="20" xfId="0" applyNumberFormat="1" applyFont="1" applyFill="1" applyBorder="1" applyAlignment="1">
      <x:alignment horizontal="center" vertical="center"/>
    </x:xf>
    <x:xf numFmtId="0" fontId="34" fillId="26" borderId="0" xfId="0" applyNumberFormat="1" applyFont="1" applyFill="1" applyBorder="1" applyAlignment="1">
      <x:alignment horizontal="center" vertical="center" wrapText="0"/>
    </x:xf>
    <x:xf numFmtId="0" fontId="26" fillId="27" borderId="0" xfId="0" applyNumberFormat="1" applyFont="1" applyFill="1" applyBorder="1" applyAlignment="1">
      <x:alignment horizontal="center" vertical="center" wrapText="0"/>
    </x:xf>
    <x:xf numFmtId="0" fontId="34" fillId="27" borderId="0" xfId="0" applyNumberFormat="1" applyFont="1" applyFill="1" applyBorder="1" applyAlignment="1">
      <x:alignment horizontal="center" vertical="center" wrapText="0"/>
    </x:xf>
    <x:xf numFmtId="0" fontId="26" fillId="28" borderId="0" xfId="0" applyNumberFormat="1" applyFont="1" applyFill="1" applyBorder="1" applyAlignment="1">
      <x:alignment horizontal="center" vertical="center" wrapText="0"/>
    </x:xf>
    <x:xf numFmtId="0" fontId="34" fillId="28" borderId="0" xfId="0" applyNumberFormat="1" applyFont="1" applyFill="1" applyBorder="1" applyAlignment="1">
      <x:alignment horizontal="center" vertical="center" wrapText="0"/>
    </x:xf>
    <x:xf numFmtId="0" fontId="28" fillId="23" borderId="10" xfId="0" applyNumberFormat="1" applyFont="1" applyFill="1" applyBorder="1" applyAlignment="1">
      <x:alignment horizontal="left" vertical="center" wrapText="1"/>
    </x:xf>
    <x:xf numFmtId="0" fontId="28" fillId="23" borderId="10" xfId="0" applyNumberFormat="1" applyFont="1" applyFill="1" applyBorder="1" applyAlignment="1">
      <x:alignment vertical="center" wrapText="1"/>
    </x:xf>
    <x:xf numFmtId="200" fontId="28" fillId="23" borderId="10" xfId="0" applyNumberFormat="1" applyFont="1" applyFill="1" applyBorder="1" applyAlignment="1">
      <x:alignment horizontal="left" vertical="center" wrapText="1"/>
    </x:xf>
    <x:xf numFmtId="202" fontId="28" fillId="23" borderId="10" xfId="0" applyNumberFormat="1" applyFont="1" applyFill="1" applyBorder="1" applyAlignment="1">
      <x:alignment horizontal="center" vertical="center" wrapText="1"/>
    </x:xf>
    <x:xf numFmtId="203" fontId="28" fillId="23" borderId="10" xfId="0" applyNumberFormat="1" applyFont="1" applyFill="1" applyBorder="1" applyAlignment="1">
      <x:alignment horizontal="center" vertical="center" wrapText="1"/>
    </x:xf>
    <x:xf numFmtId="9" fontId="29" fillId="23" borderId="14" xfId="0" applyNumberFormat="1" applyFont="1" applyFill="1" applyBorder="1" applyAlignment="1">
      <x:alignment horizontal="center" vertical="center" wrapText="0"/>
    </x:xf>
    <x:xf numFmtId="165" fontId="29" fillId="23" borderId="15" xfId="0" applyNumberFormat="1" applyFont="1" applyFill="1" applyBorder="1" applyAlignment="1">
      <x:alignment horizontal="center" vertical="center" wrapText="0"/>
    </x:xf>
    <x:xf numFmtId="0" fontId="29" fillId="23" borderId="15" xfId="0" applyNumberFormat="1" applyFont="1" applyFill="1" applyBorder="1" applyAlignment="1">
      <x:alignment horizontal="center" vertical="center" wrapText="0"/>
    </x:xf>
    <x:xf numFmtId="0" fontId="29" fillId="23" borderId="12" xfId="0" applyNumberFormat="1" applyFont="1" applyFill="1" applyBorder="1" applyAlignment="1">
      <x:alignment horizontal="center" vertical="center" wrapText="0"/>
    </x:xf>
    <x:xf numFmtId="0" fontId="29" fillId="23" borderId="16" xfId="0" applyNumberFormat="1" applyFont="1" applyFill="1" applyBorder="1" applyAlignment="1">
      <x:alignment horizontal="center" vertical="center" wrapText="0"/>
    </x:xf>
    <x:xf numFmtId="0" fontId="36" fillId="23" borderId="10" xfId="0" applyNumberFormat="1" applyFont="1" applyFill="1" applyBorder="1" applyAlignment="1">
      <x:alignment horizontal="left" vertical="center" wrapText="1"/>
    </x:xf>
    <x:xf numFmtId="0" fontId="36" fillId="23" borderId="10" xfId="0" applyNumberFormat="1" applyFont="1" applyFill="1" applyBorder="1" applyAlignment="1">
      <x:alignment vertical="center" wrapText="1"/>
    </x:xf>
    <x:xf numFmtId="200" fontId="36" fillId="23" borderId="10" xfId="0" applyNumberFormat="1" applyFont="1" applyFill="1" applyBorder="1" applyAlignment="1">
      <x:alignment horizontal="left" vertical="center" wrapText="1"/>
    </x:xf>
    <x:xf numFmtId="202" fontId="36" fillId="23" borderId="10" xfId="0" applyNumberFormat="1" applyFont="1" applyFill="1" applyBorder="1" applyAlignment="1">
      <x:alignment horizontal="center" vertical="center" wrapText="1"/>
    </x:xf>
    <x:xf numFmtId="203" fontId="36" fillId="23" borderId="10" xfId="0" applyNumberFormat="1" applyFont="1" applyFill="1" applyBorder="1" applyAlignment="1">
      <x:alignment horizontal="center" vertical="center" wrapText="1"/>
    </x:xf>
    <x:xf numFmtId="9" fontId="36" fillId="23" borderId="14" xfId="0" applyNumberFormat="1" applyFont="1" applyFill="1" applyBorder="1" applyAlignment="1">
      <x:alignment horizontal="center" vertical="center" wrapText="0"/>
    </x:xf>
    <x:xf numFmtId="165" fontId="36" fillId="23" borderId="15" xfId="0" applyNumberFormat="1" applyFont="1" applyFill="1" applyBorder="1" applyAlignment="1">
      <x:alignment horizontal="center" vertical="center" wrapText="0"/>
    </x:xf>
    <x:xf numFmtId="0" fontId="36" fillId="23" borderId="15" xfId="0" applyNumberFormat="1" applyFont="1" applyFill="1" applyBorder="1" applyAlignment="1">
      <x:alignment horizontal="center" vertical="center" wrapText="0"/>
    </x:xf>
    <x:xf numFmtId="0" fontId="36" fillId="23" borderId="12" xfId="0" applyNumberFormat="1" applyFont="1" applyFill="1" applyBorder="1" applyAlignment="1">
      <x:alignment horizontal="center" vertical="center" wrapText="0"/>
    </x:xf>
    <x:xf numFmtId="0" fontId="36" fillId="23" borderId="16" xfId="0" applyNumberFormat="1" applyFont="1" applyFill="1" applyBorder="1" applyAlignment="1">
      <x:alignment horizontal="center" vertical="center" wrapText="0"/>
    </x:xf>
    <x:xf numFmtId="0" fontId="19" fillId="24" borderId="0" xfId="0" applyNumberFormat="1" applyFont="1" applyFill="1" applyBorder="1" applyAlignment="1">
      <x:alignment vertical="center"/>
    </x:xf>
    <x:xf numFmtId="0" fontId="19" fillId="24" borderId="0" xfId="0" applyNumberFormat="1" applyFont="1" applyFill="1" applyBorder="1" applyAlignment="1">
      <x:alignment vertical="center" wrapText="1"/>
    </x:xf>
    <x:xf numFmtId="200" fontId="19" fillId="24" borderId="0" xfId="0" applyNumberFormat="1" applyFont="1" applyFill="1" applyBorder="1" applyAlignment="1">
      <x:alignment vertical="center"/>
    </x:xf>
    <x:xf numFmtId="202" fontId="19" fillId="24" borderId="0" xfId="0" applyNumberFormat="1" applyFont="1" applyFill="1" applyBorder="1" applyAlignment="1">
      <x:alignment horizontal="center" vertical="center"/>
    </x:xf>
    <x:xf numFmtId="203" fontId="19" fillId="24" borderId="0" xfId="0" applyNumberFormat="1" applyFont="1" applyFill="1" applyBorder="1" applyAlignment="1">
      <x:alignment horizontal="center" vertical="center"/>
    </x:xf>
    <x:xf numFmtId="0" fontId="34" fillId="24" borderId="0" xfId="0" applyNumberFormat="1" applyFont="1" applyFill="1" applyBorder="1" applyAlignment="1">
      <x:alignment vertical="center"/>
    </x:xf>
    <x:xf numFmtId="0" fontId="34" fillId="24" borderId="0" xfId="0" applyNumberFormat="1" applyFont="1" applyFill="1" applyBorder="1" applyAlignment="1">
      <x:alignment vertical="center" wrapText="1"/>
    </x:xf>
    <x:xf numFmtId="200" fontId="34" fillId="24" borderId="0" xfId="0" applyNumberFormat="1" applyFont="1" applyFill="1" applyBorder="1" applyAlignment="1">
      <x:alignment vertical="center"/>
    </x:xf>
    <x:xf numFmtId="202" fontId="34" fillId="24" borderId="0" xfId="0" applyNumberFormat="1" applyFont="1" applyFill="1" applyBorder="1" applyAlignment="1">
      <x:alignment horizontal="center" vertical="center"/>
    </x:xf>
    <x:xf numFmtId="203" fontId="34" fillId="24" borderId="0" xfId="0" applyNumberFormat="1" applyFont="1" applyFill="1" applyBorder="1" applyAlignment="1">
      <x:alignment horizontal="center" vertical="center"/>
    </x:xf>
    <x:xf numFmtId="0" fontId="19" fillId="25" borderId="0" xfId="0" applyNumberFormat="1" applyFont="1" applyFill="1" applyBorder="1" applyAlignment="1">
      <x:alignment horizontal="center" vertical="center"/>
    </x:xf>
    <x:xf numFmtId="0" fontId="34" fillId="25" borderId="0" xfId="0" applyNumberFormat="1" applyFont="1" applyFill="1" applyBorder="1" applyAlignment="1">
      <x:alignment horizontal="center" vertical="center"/>
    </x:xf>
    <x:xf numFmtId="0" fontId="19" fillId="26" borderId="0" xfId="0" applyNumberFormat="1" applyFont="1" applyFill="1" applyBorder="1" applyAlignment="1">
      <x:alignment horizontal="center" vertical="center"/>
    </x:xf>
    <x:xf numFmtId="0" fontId="34" fillId="26" borderId="0" xfId="0" applyNumberFormat="1" applyFont="1" applyFill="1" applyBorder="1" applyAlignment="1">
      <x:alignment horizontal="center" vertical="center"/>
    </x:xf>
    <x:xf numFmtId="0" fontId="19" fillId="27" borderId="0" xfId="0" applyNumberFormat="1" applyFont="1" applyFill="1" applyBorder="1" applyAlignment="1">
      <x:alignment horizontal="center" vertical="center"/>
    </x:xf>
    <x:xf numFmtId="0" fontId="34" fillId="27" borderId="0" xfId="0" applyNumberFormat="1" applyFont="1" applyFill="1" applyBorder="1" applyAlignment="1">
      <x:alignment horizontal="center" vertical="center"/>
    </x:xf>
    <x:xf numFmtId="0" fontId="19" fillId="28" borderId="0" xfId="0" applyNumberFormat="1" applyFont="1" applyFill="1" applyBorder="1" applyAlignment="1">
      <x:alignment horizontal="center" vertical="center"/>
    </x:xf>
    <x:xf numFmtId="0" fontId="34" fillId="28" borderId="0" xfId="0" applyNumberFormat="1" applyFont="1" applyFill="1" applyBorder="1" applyAlignment="1">
      <x:alignment horizontal="center" vertical="center"/>
    </x:xf>
    <x:xf numFmtId="0" fontId="19" fillId="23" borderId="0" xfId="0" applyNumberFormat="1" applyFont="1" applyFill="1" applyBorder="1" applyAlignment="1">
      <x:alignment vertical="center"/>
    </x:xf>
    <x:xf numFmtId="0" fontId="19" fillId="23" borderId="0" xfId="0" applyNumberFormat="1" applyFont="1" applyFill="1" applyBorder="1" applyAlignment="1">
      <x:alignment vertical="center" wrapText="1"/>
    </x:xf>
    <x:xf numFmtId="200" fontId="19" fillId="23" borderId="0" xfId="0" applyNumberFormat="1" applyFont="1" applyFill="1" applyBorder="1" applyAlignment="1">
      <x:alignment vertical="center"/>
    </x:xf>
    <x:xf numFmtId="202" fontId="19" fillId="23" borderId="0" xfId="0" applyNumberFormat="1" applyFont="1" applyFill="1" applyBorder="1" applyAlignment="1">
      <x:alignment horizontal="center" vertical="center"/>
    </x:xf>
    <x:xf numFmtId="203" fontId="19" fillId="23" borderId="0" xfId="0" applyNumberFormat="1" applyFont="1" applyFill="1" applyBorder="1" applyAlignment="1">
      <x:alignment horizontal="center" vertical="center"/>
    </x:xf>
    <x:xf numFmtId="0" fontId="19" fillId="23" borderId="0" xfId="0" applyNumberFormat="1" applyFont="1" applyFill="1" applyBorder="1" applyAlignment="1">
      <x:alignment horizontal="center" vertical="center"/>
    </x:xf>
    <x:xf numFmtId="0" fontId="32" fillId="23" borderId="0" xfId="0" applyNumberFormat="1" applyFont="1" applyFill="1" applyBorder="1" applyAlignment="1">
      <x:alignment vertical="center"/>
    </x:xf>
    <x:xf numFmtId="0" fontId="32" fillId="23" borderId="0" xfId="0" applyNumberFormat="1" applyFont="1" applyFill="1" applyBorder="1" applyAlignment="1">
      <x:alignment vertical="center" wrapText="1"/>
    </x:xf>
    <x:xf numFmtId="200" fontId="32" fillId="23" borderId="0" xfId="0" applyNumberFormat="1" applyFont="1" applyFill="1" applyBorder="1" applyAlignment="1">
      <x:alignment vertical="center"/>
    </x:xf>
    <x:xf numFmtId="202" fontId="32" fillId="23" borderId="0" xfId="0" applyNumberFormat="1" applyFont="1" applyFill="1" applyBorder="1" applyAlignment="1">
      <x:alignment horizontal="center" vertical="center"/>
    </x:xf>
    <x:xf numFmtId="203" fontId="32" fillId="23" borderId="0" xfId="0" applyNumberFormat="1" applyFont="1" applyFill="1" applyBorder="1" applyAlignment="1">
      <x:alignment horizontal="center" vertical="center"/>
    </x:xf>
    <x:xf numFmtId="0" fontId="32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 applyAlignment="1">
      <x:alignment vertical="center" wrapText="0"/>
    </x:xf>
    <x:xf numFmtId="0" fontId="0" fillId="24" borderId="0" xfId="0" applyNumberFormat="1" applyFont="1" applyFill="1" applyBorder="1" applyAlignment="1">
      <x:alignment vertical="center" wrapText="1"/>
    </x:xf>
    <x:xf numFmtId="200" fontId="0" fillId="24" borderId="0" xfId="0" applyNumberFormat="1" applyFont="1" applyFill="1" applyBorder="1" applyAlignment="1">
      <x:alignment vertical="center" wrapText="0"/>
    </x:xf>
    <x:xf numFmtId="202" fontId="0" fillId="24" borderId="0" xfId="0" applyNumberFormat="1" applyFont="1" applyFill="1" applyBorder="1" applyAlignment="1">
      <x:alignment vertical="center" wrapText="0"/>
    </x:xf>
    <x:xf numFmtId="203" fontId="0" fillId="24" borderId="0" xfId="0" applyNumberFormat="1" applyFont="1" applyFill="1" applyBorder="1" applyAlignment="1">
      <x:alignment vertical="center" wrapText="0"/>
    </x:xf>
    <x:xf numFmtId="0" fontId="37" fillId="24" borderId="0" xfId="0" applyNumberFormat="1" applyFont="1" applyFill="1" applyBorder="1" applyAlignment="1">
      <x:alignment vertical="center" wrapText="0"/>
    </x:xf>
    <x:xf numFmtId="0" fontId="37" fillId="24" borderId="0" xfId="0" applyNumberFormat="1" applyFont="1" applyFill="1" applyBorder="1" applyAlignment="1">
      <x:alignment vertical="center" wrapText="1"/>
    </x:xf>
    <x:xf numFmtId="200" fontId="37" fillId="24" borderId="0" xfId="0" applyNumberFormat="1" applyFont="1" applyFill="1" applyBorder="1" applyAlignment="1">
      <x:alignment vertical="center" wrapText="0"/>
    </x:xf>
    <x:xf numFmtId="202" fontId="37" fillId="24" borderId="0" xfId="0" applyNumberFormat="1" applyFont="1" applyFill="1" applyBorder="1" applyAlignment="1">
      <x:alignment vertical="center" wrapText="0"/>
    </x:xf>
    <x:xf numFmtId="203" fontId="37" fillId="24" borderId="0" xfId="0" applyNumberFormat="1" applyFont="1" applyFill="1" applyBorder="1" applyAlignment="1">
      <x:alignment vertical="center" wrapText="0"/>
    </x:xf>
    <x:xf numFmtId="0" fontId="0" fillId="25" borderId="0" xfId="0" applyNumberFormat="1" applyFont="1" applyFill="1" applyBorder="1" applyAlignment="1">
      <x:alignment horizontal="center" vertical="center" wrapText="0"/>
    </x:xf>
    <x:xf numFmtId="0" fontId="37" fillId="25" borderId="0" xfId="0" applyNumberFormat="1" applyFont="1" applyFill="1" applyBorder="1" applyAlignment="1">
      <x:alignment horizontal="center" vertical="center" wrapText="0"/>
    </x:xf>
    <x:xf numFmtId="0" fontId="0" fillId="26" borderId="0" xfId="0" applyNumberFormat="1" applyFont="1" applyFill="1" applyBorder="1" applyAlignment="1">
      <x:alignment horizontal="center" vertical="center" wrapText="0"/>
    </x:xf>
    <x:xf numFmtId="0" fontId="37" fillId="26" borderId="0" xfId="0" applyNumberFormat="1" applyFont="1" applyFill="1" applyBorder="1" applyAlignment="1">
      <x:alignment horizontal="center" vertical="center" wrapText="0"/>
    </x:xf>
    <x:xf numFmtId="0" fontId="0" fillId="27" borderId="0" xfId="0" applyNumberFormat="1" applyFont="1" applyFill="1" applyBorder="1" applyAlignment="1">
      <x:alignment horizontal="center" vertical="center" wrapText="0"/>
    </x:xf>
    <x:xf numFmtId="0" fontId="37" fillId="27" borderId="0" xfId="0" applyNumberFormat="1" applyFont="1" applyFill="1" applyBorder="1" applyAlignment="1">
      <x:alignment horizontal="center" vertical="center" wrapText="0"/>
    </x:xf>
    <x:xf numFmtId="0" fontId="0" fillId="28" borderId="0" xfId="0" applyNumberFormat="1" applyFont="1" applyFill="1" applyBorder="1" applyAlignment="1">
      <x:alignment horizontal="center" vertical="center" wrapText="0"/>
    </x:xf>
    <x:xf numFmtId="0" fontId="37" fillId="28" borderId="0" xfId="0" applyNumberFormat="1" applyFont="1" applyFill="1" applyBorder="1" applyAlignment="1">
      <x:alignment horizontal="center" vertical="center" wrapText="0"/>
    </x:xf>
    <x:xf numFmtId="0" fontId="0" fillId="23" borderId="0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 applyAlignment="1">
      <x:alignment vertical="center" wrapText="1"/>
    </x:xf>
    <x:xf numFmtId="200" fontId="0" fillId="23" borderId="0" xfId="0" applyNumberFormat="1" applyFont="1" applyFill="1" applyBorder="1" applyAlignment="1">
      <x:alignment vertical="center" wrapText="0"/>
    </x:xf>
    <x:xf numFmtId="202" fontId="0" fillId="23" borderId="0" xfId="0" applyNumberFormat="1" applyFont="1" applyFill="1" applyBorder="1" applyAlignment="1">
      <x:alignment vertical="center" wrapText="0"/>
    </x:xf>
    <x:xf numFmtId="203" fontId="0" fillId="23" borderId="0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 applyAlignment="1">
      <x:alignment horizontal="center" vertical="center" wrapText="0"/>
    </x:xf>
    <x:xf numFmtId="0" fontId="38" fillId="23" borderId="0" xfId="0" applyNumberFormat="1" applyFont="1" applyFill="1" applyBorder="1" applyAlignment="1">
      <x:alignment vertical="center" wrapText="0"/>
    </x:xf>
    <x:xf numFmtId="0" fontId="38" fillId="23" borderId="0" xfId="0" applyNumberFormat="1" applyFont="1" applyFill="1" applyBorder="1" applyAlignment="1">
      <x:alignment vertical="center" wrapText="1"/>
    </x:xf>
    <x:xf numFmtId="200" fontId="38" fillId="23" borderId="0" xfId="0" applyNumberFormat="1" applyFont="1" applyFill="1" applyBorder="1" applyAlignment="1">
      <x:alignment vertical="center" wrapText="0"/>
    </x:xf>
    <x:xf numFmtId="202" fontId="38" fillId="23" borderId="0" xfId="0" applyNumberFormat="1" applyFont="1" applyFill="1" applyBorder="1" applyAlignment="1">
      <x:alignment vertical="center" wrapText="0"/>
    </x:xf>
    <x:xf numFmtId="203" fontId="38" fillId="23" borderId="0" xfId="0" applyNumberFormat="1" applyFont="1" applyFill="1" applyBorder="1" applyAlignment="1">
      <x:alignment vertical="center" wrapText="0"/>
    </x:xf>
    <x:xf numFmtId="0" fontId="38" fillId="23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16">
    <x:dxf>
      <x:font>
        <x:color rgb="FF5B9BD5"/>
      </x:font>
      <x:fill>
        <x:patternFill patternType="solid">
          <x:bgColor rgb="FF5B9BD5"/>
        </x:patternFill>
      </x:fill>
    </x:dxf>
    <x:dxf>
      <x:font>
        <x:color rgb="FF5B9BD5"/>
      </x:font>
      <x:fill>
        <x:patternFill patternType="solid">
          <x:bgColor rgb="FF5B9BD5"/>
        </x:patternFill>
      </x:fill>
    </x:dxf>
    <x:dxf>
      <x:font>
        <x:color rgb="FF5B9EA6"/>
      </x:font>
      <x:fill>
        <x:patternFill patternType="solid">
          <x:bgColor rgb="FF5B9EA6"/>
        </x:patternFill>
      </x:fill>
    </x:dxf>
    <x:dxf>
      <x:font>
        <x:color rgb="FF5B9EA6"/>
      </x:font>
      <x:fill>
        <x:patternFill patternType="solid">
          <x:bgColor rgb="FF5B9EA6"/>
        </x:patternFill>
      </x:fill>
    </x:dxf>
    <x:dxf>
      <x:font>
        <x:color rgb="FFED7D31"/>
      </x:font>
      <x:fill>
        <x:patternFill patternType="solid">
          <x:bgColor rgb="FFED7D31"/>
        </x:patternFill>
      </x:fill>
    </x:dxf>
    <x:dxf>
      <x:font>
        <x:color rgb="FFED7D31"/>
      </x:font>
      <x:fill>
        <x:patternFill patternType="solid">
          <x:bgColor rgb="FFED7D31"/>
        </x:patternFill>
      </x:fill>
    </x:dxf>
    <x:dxf>
      <x:font>
        <x:color rgb="FFD6B656"/>
      </x:font>
      <x:fill>
        <x:patternFill patternType="solid">
          <x:bgColor rgb="FFD6B656"/>
        </x:patternFill>
      </x:fill>
    </x:dxf>
    <x:dxf>
      <x:font>
        <x:color rgb="FFD6B656"/>
      </x:font>
      <x:fill>
        <x:patternFill patternType="solid">
          <x:bgColor rgb="FFD6B656"/>
        </x:patternFill>
      </x:fill>
    </x:dxf>
    <x:dxf>
      <x:font>
        <x:color rgb="FF5B9BD5"/>
      </x:font>
      <x:fill>
        <x:patternFill patternType="solid">
          <x:bgColor rgb="FF5B9BD5"/>
        </x:patternFill>
      </x:fill>
    </x:dxf>
    <x:dxf>
      <x:font>
        <x:color rgb="FF5B9BD5"/>
      </x:font>
      <x:fill>
        <x:patternFill patternType="solid">
          <x:bgColor rgb="FF5B9BD5"/>
        </x:patternFill>
      </x:fill>
    </x:dxf>
    <x:dxf>
      <x:font>
        <x:color rgb="FF5B9EA6"/>
      </x:font>
      <x:fill>
        <x:patternFill patternType="solid">
          <x:bgColor rgb="FF5B9EA6"/>
        </x:patternFill>
      </x:fill>
    </x:dxf>
    <x:dxf>
      <x:font>
        <x:color rgb="FF5B9EA6"/>
      </x:font>
      <x:fill>
        <x:patternFill patternType="solid">
          <x:bgColor rgb="FF5B9EA6"/>
        </x:patternFill>
      </x:fill>
    </x:dxf>
    <x:dxf>
      <x:font>
        <x:color rgb="FFED7D31"/>
      </x:font>
      <x:fill>
        <x:patternFill patternType="solid">
          <x:bgColor rgb="FFED7D31"/>
        </x:patternFill>
      </x:fill>
    </x:dxf>
    <x:dxf>
      <x:font>
        <x:color rgb="FFED7D31"/>
      </x:font>
      <x:fill>
        <x:patternFill patternType="solid">
          <x:bgColor rgb="FFED7D31"/>
        </x:patternFill>
      </x:fill>
    </x:dxf>
    <x:dxf>
      <x:font>
        <x:color rgb="FFD6B656"/>
      </x:font>
      <x:fill>
        <x:patternFill patternType="solid">
          <x:bgColor rgb="FFD6B656"/>
        </x:patternFill>
      </x:fill>
    </x:dxf>
    <x:dxf>
      <x:font>
        <x:color rgb="FFD6B656"/>
      </x:font>
      <x:fill>
        <x:patternFill patternType="solid">
          <x:bgColor rgb="FFD6B65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ad54f456494785" /><Relationship Type="http://schemas.openxmlformats.org/officeDocument/2006/relationships/theme" Target="/xl/theme/theme1.xml" Id="Rcbd603216b014e00" /><Relationship Type="http://schemas.openxmlformats.org/officeDocument/2006/relationships/sharedStrings" Target="/xl/sharedStrings.xml" Id="Reb86105c5793456f" /><Relationship Type="http://schemas.openxmlformats.org/officeDocument/2006/relationships/worksheet" Target="/xl/worksheets/sheet1.xml" Id="Ra5a926b303d34f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D85C6"/>
  </x:sheetPr>
  <x:sheetViews>
    <x:sheetView showGridLines="0" workbookViewId="0"/>
  </x:sheetViews>
  <x:sheetFormatPr defaultColWidth="12.630000114440918" defaultRowHeight="15.75"/>
  <x:cols>
    <x:col min="1" max="1" width="4.25" customWidth="1"/>
    <x:col min="2" max="2" width="11" hidden="0" customWidth="1"/>
    <x:col min="3" max="3" width="48" hidden="0" customWidth="1"/>
    <x:col min="4" max="4" width="22" hidden="0" customWidth="1"/>
    <x:col min="5" max="6" width="12.5" customWidth="1"/>
    <x:col min="7" max="7" width="9" hidden="0" customWidth="1"/>
    <x:col min="9" max="68" width="3" customWidth="1"/>
    <x:col min="69" max="69" width="3.380000114440918" customWidth="1"/>
    <x:col min="5" max="5" width="13" hidden="0" customWidth="1"/>
    <x:col min="6" max="6" width="13" hidden="0" customWidth="1"/>
    <x:col min="8" max="8" width="13" hidden="0" customWidth="1"/>
  </x:cols>
  <x:sheetData>
    <x:row r="1" ht="21" customHeight="1">
      <x:c r="A1" s="1"/>
      <x:c r="B1" s="2"/>
      <x:c r="C1" s="3"/>
      <x:c r="D1" s="3"/>
      <x:c r="E1" s="3"/>
      <x:c r="F1" s="4"/>
      <x:c r="G1" s="4"/>
      <x:c r="H1" s="3"/>
      <x:c r="I1" s="5"/>
      <x:c r="J1" s="6"/>
      <x:c r="K1" s="7"/>
      <x:c r="L1" s="8"/>
      <x:c r="M1" s="7"/>
      <x:c r="N1" s="9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0"/>
      <x:c r="AE1" s="10"/>
      <x:c r="AF1" s="10"/>
      <x:c r="AG1" s="10"/>
      <x:c r="AH1" s="10"/>
      <x:c r="AI1" s="10"/>
      <x:c r="AJ1" s="10"/>
      <x:c r="AK1" s="10"/>
      <x:c r="AL1" s="10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1" customHeight="1">
      <x:c r="A2" s="1"/>
      <x:c r="B2" s="11" t="s">
        <x:v>0</x:v>
      </x:c>
      <x:c r="C2" s="12"/>
      <x:c r="D2" s="12"/>
      <x:c r="E2" s="12"/>
      <x:c r="F2" s="12"/>
      <x:c r="G2" s="12"/>
      <x:c r="H2" s="13"/>
      <x:c r="I2" s="14" t="s">
        <x:v>1</x:v>
      </x:c>
      <x:c r="J2" s="12"/>
      <x:c r="K2" s="12"/>
      <x:c r="L2" s="12"/>
      <x:c r="M2" s="12"/>
      <x:c r="N2" s="12"/>
      <x:c r="O2" s="15" t="s">
        <x:v>2</x:v>
      </x:c>
      <x:c r="P2" s="12"/>
      <x:c r="Q2" s="12"/>
      <x:c r="R2" s="1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  <x:c r="AH2" s="16"/>
      <x:c r="AI2" s="16"/>
      <x:c r="AJ2" s="16"/>
      <x:c r="AK2" s="16"/>
      <x:c r="AL2" s="16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" customHeight="1">
      <x:c r="A3" s="1"/>
      <x:c r="B3" s="17"/>
      <x:c r="C3" s="17"/>
      <x:c r="D3" s="18"/>
      <x:c r="E3" s="18"/>
      <x:c r="F3" s="18"/>
      <x:c r="G3" s="18"/>
      <x:c r="H3" s="18"/>
      <x:c r="I3" s="19"/>
      <x:c r="J3" s="19"/>
      <x:c r="K3" s="19"/>
      <x:c r="L3" s="19"/>
      <x:c r="M3" s="20"/>
      <x:c r="N3" s="20"/>
      <x:c r="O3" s="20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0"/>
      <x:c r="AE3" s="10"/>
      <x:c r="AF3" s="10"/>
      <x:c r="AG3" s="10"/>
      <x:c r="AH3" s="10"/>
      <x:c r="AI3" s="10"/>
      <x:c r="AJ3" s="10"/>
      <x:c r="AK3" s="10"/>
      <x:c r="AL3" s="10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1" customHeight="1">
      <x:c r="A4" s="1"/>
      <x:c r="B4" s="21" t="s">
        <x:v>3</x:v>
      </x:c>
      <x:c r="C4" s="22"/>
      <x:c r="D4" s="23" t="str">
        <x:v>SensePlace — 호텔 VOC·운영 지원 플랫폼</x:v>
      </x:c>
      <x:c r="E4" s="22"/>
      <x:c r="F4" s="22"/>
      <x:c r="G4" s="22"/>
      <x:c r="H4" s="24"/>
      <x:c r="I4" s="21" t="s">
        <x:v>4</x:v>
      </x:c>
      <x:c r="J4" s="22"/>
      <x:c r="K4" s="22"/>
      <x:c r="L4" s="22"/>
      <x:c r="M4" s="22"/>
      <x:c r="N4" s="22"/>
      <x:c r="O4" s="22"/>
      <x:c r="P4" s="25" t="str">
        <x:v>SK네트웍스 Family AI 캠프 27기 3팀</x:v>
      </x:c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6"/>
      <x:c r="AD4" s="10"/>
      <x:c r="AE4" s="10"/>
      <x:c r="AF4" s="10"/>
      <x:c r="AG4" s="10"/>
      <x:c r="AH4" s="10"/>
      <x:c r="AI4" s="10"/>
      <x:c r="AJ4" s="10"/>
      <x:c r="AK4" s="10"/>
      <x:c r="AL4" s="10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1" customHeight="1">
      <x:c r="A5" s="1"/>
      <x:c r="B5" s="21" t="s">
        <x:v>5</x:v>
      </x:c>
      <x:c r="C5" s="22"/>
      <x:c r="D5" s="27" t="str">
        <x:v>박준희</x:v>
      </x:c>
      <x:c r="E5" s="22"/>
      <x:c r="F5" s="22"/>
      <x:c r="G5" s="22"/>
      <x:c r="H5" s="28"/>
      <x:c r="I5" s="21" t="s">
        <x:v>6</x:v>
      </x:c>
      <x:c r="J5" s="22"/>
      <x:c r="K5" s="22"/>
      <x:c r="L5" s="22"/>
      <x:c r="M5" s="22"/>
      <x:c r="N5" s="22"/>
      <x:c r="O5" s="22"/>
      <x:c r="P5" s="209" t="n">
        <x:v>46226</x:v>
      </x:c>
      <x:c r="Q5" s="22"/>
      <x:c r="R5" s="22"/>
      <x:c r="S5" s="22"/>
      <x:c r="T5" s="22"/>
      <x:c r="U5" s="22"/>
      <x:c r="V5" s="22"/>
      <x:c r="W5" s="22"/>
      <x:c r="X5" s="22"/>
      <x:c r="Y5" s="22"/>
      <x:c r="Z5" s="22"/>
      <x:c r="AA5" s="22"/>
      <x:c r="AB5" s="30"/>
      <x:c r="AC5" s="26"/>
      <x:c r="AD5" s="1"/>
      <x:c r="AE5" s="1"/>
      <x:c r="AF5" s="1"/>
      <x:c r="AG5" s="1"/>
      <x:c r="AH5" s="1"/>
      <x:c r="AI5" s="1"/>
      <x:c r="AJ5" s="1"/>
      <x:c r="AK5" s="1"/>
      <x:c r="AL5" s="3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1" customHeight="1">
      <x:c r="A6" s="32"/>
      <x:c r="B6" s="33"/>
      <x:c r="C6" s="33"/>
      <x:c r="D6" s="33"/>
      <x:c r="E6" s="33"/>
      <x:c r="F6" s="33"/>
      <x:c r="G6" s="34"/>
      <x:c r="H6" s="34"/>
      <x:c r="I6" s="33"/>
      <x:c r="J6" s="33"/>
      <x:c r="K6" s="33"/>
      <x:c r="L6" s="33"/>
      <x:c r="M6" s="32"/>
      <x:c r="N6" s="32"/>
      <x:c r="O6" s="32"/>
      <x:c r="P6" s="32"/>
      <x:c r="Q6" s="32"/>
      <x:c r="R6" s="32"/>
      <x:c r="S6" s="32"/>
      <x:c r="T6" s="32"/>
      <x:c r="U6" s="32"/>
      <x:c r="V6" s="32"/>
      <x:c r="W6" s="32"/>
      <x:c r="X6" s="32"/>
      <x:c r="Y6" s="32"/>
      <x:c r="Z6" s="32"/>
      <x:c r="AA6" s="32"/>
      <x:c r="AB6" s="32"/>
      <x:c r="AC6" s="32"/>
      <x:c r="AD6" s="32"/>
      <x:c r="AE6" s="32"/>
      <x:c r="AF6" s="32"/>
      <x:c r="AG6" s="32"/>
      <x:c r="AH6" s="32"/>
      <x:c r="AI6" s="32"/>
      <x:c r="AJ6" s="32"/>
      <x:c r="AK6" s="32"/>
      <x:c r="AL6" s="32"/>
      <x:c r="AM6" s="32"/>
      <x:c r="AN6" s="32"/>
      <x:c r="AO6" s="32"/>
      <x:c r="AP6" s="32"/>
      <x:c r="AQ6" s="32"/>
      <x:c r="AR6" s="32"/>
      <x:c r="AS6" s="32"/>
      <x:c r="AT6" s="32"/>
      <x:c r="AU6" s="32"/>
      <x:c r="AV6" s="32"/>
      <x:c r="AW6" s="32"/>
      <x:c r="AX6" s="32"/>
      <x:c r="AY6" s="32"/>
      <x:c r="AZ6" s="32"/>
      <x:c r="BA6" s="32"/>
      <x:c r="BB6" s="32"/>
      <x:c r="BC6" s="32"/>
      <x:c r="BD6" s="32"/>
      <x:c r="BE6" s="32"/>
      <x:c r="BF6" s="32"/>
      <x:c r="BG6" s="32"/>
      <x:c r="BH6" s="32"/>
      <x:c r="BI6" s="32"/>
      <x:c r="BJ6" s="32"/>
      <x:c r="BK6" s="32"/>
      <x:c r="BL6" s="32"/>
      <x:c r="BM6" s="32"/>
      <x:c r="BN6" s="32"/>
      <x:c r="BO6" s="32"/>
      <x:c r="BP6" s="32"/>
      <x:c r="BQ6" s="32"/>
    </x:row>
    <x:row r="7" ht="2" customHeight="1">
      <x:c r="A7" s="32"/>
      <x:c r="B7" s="33"/>
      <x:c r="C7" s="33"/>
      <x:c r="D7" s="33"/>
      <x:c r="E7" s="33"/>
      <x:c r="F7" s="33"/>
      <x:c r="G7" s="34"/>
      <x:c r="H7" s="34"/>
      <x:c r="I7" s="245" t="n">
        <x:v>46209</x:v>
      </x:c>
      <x:c r="J7" s="245" t="n">
        <x:v>46210</x:v>
      </x:c>
      <x:c r="K7" s="245" t="n">
        <x:v>46211</x:v>
      </x:c>
      <x:c r="L7" s="245" t="n">
        <x:v>46212</x:v>
      </x:c>
      <x:c r="M7" s="246" t="n">
        <x:v>46213</x:v>
      </x:c>
      <x:c r="N7" s="246" t="n">
        <x:v>46216</x:v>
      </x:c>
      <x:c r="O7" s="246" t="n">
        <x:v>46217</x:v>
      </x:c>
      <x:c r="P7" s="246" t="n">
        <x:v>46218</x:v>
      </x:c>
      <x:c r="Q7" s="246" t="n">
        <x:v>46219</x:v>
      </x:c>
      <x:c r="R7" s="246" t="n">
        <x:v>46220</x:v>
      </x:c>
      <x:c r="S7" s="246" t="n">
        <x:v>46223</x:v>
      </x:c>
      <x:c r="T7" s="246" t="n">
        <x:v>46224</x:v>
      </x:c>
      <x:c r="U7" s="246" t="n">
        <x:v>46225</x:v>
      </x:c>
      <x:c r="V7" s="246" t="n">
        <x:v>46226</x:v>
      </x:c>
      <x:c r="W7" s="246" t="n">
        <x:v>46227</x:v>
      </x:c>
      <x:c r="X7" s="246" t="n">
        <x:v>46230</x:v>
      </x:c>
      <x:c r="Y7" s="246" t="n">
        <x:v>46231</x:v>
      </x:c>
      <x:c r="Z7" s="246" t="n">
        <x:v>46232</x:v>
      </x:c>
      <x:c r="AA7" s="246" t="n">
        <x:v>46233</x:v>
      </x:c>
      <x:c r="AB7" s="246" t="n">
        <x:v>46234</x:v>
      </x:c>
      <x:c r="AC7" s="246" t="n">
        <x:v>46237</x:v>
      </x:c>
      <x:c r="AD7" s="246" t="n">
        <x:v>46238</x:v>
      </x:c>
      <x:c r="AE7" s="246" t="n">
        <x:v>46239</x:v>
      </x:c>
      <x:c r="AF7" s="246" t="n">
        <x:v>46240</x:v>
      </x:c>
      <x:c r="AG7" s="246" t="n">
        <x:v>46241</x:v>
      </x:c>
      <x:c r="AH7" s="246" t="n">
        <x:v>46244</x:v>
      </x:c>
      <x:c r="AI7" s="246" t="n">
        <x:v>46245</x:v>
      </x:c>
      <x:c r="AJ7" s="246" t="n">
        <x:v>46246</x:v>
      </x:c>
      <x:c r="AK7" s="246" t="n">
        <x:v>46247</x:v>
      </x:c>
      <x:c r="AL7" s="246" t="n">
        <x:v>46248</x:v>
      </x:c>
      <x:c r="AM7" s="246" t="n">
        <x:v>46251</x:v>
      </x:c>
      <x:c r="AN7" s="246" t="n">
        <x:v>46252</x:v>
      </x:c>
      <x:c r="AO7" s="246" t="n">
        <x:v>46253</x:v>
      </x:c>
      <x:c r="AP7" s="246" t="n">
        <x:v>46254</x:v>
      </x:c>
      <x:c r="AQ7" s="246" t="n">
        <x:v>46255</x:v>
      </x:c>
      <x:c r="AR7" s="246" t="n">
        <x:v>46258</x:v>
      </x:c>
      <x:c r="AS7" s="246" t="n">
        <x:v>46259</x:v>
      </x:c>
      <x:c r="AT7" s="246" t="n">
        <x:v>46260</x:v>
      </x:c>
      <x:c r="AU7" s="246" t="n">
        <x:v>46261</x:v>
      </x:c>
      <x:c r="AV7" s="246" t="n">
        <x:v>46262</x:v>
      </x:c>
      <x:c r="AW7" s="246" t="n">
        <x:v>46265</x:v>
      </x:c>
      <x:c r="AX7" s="246" t="n">
        <x:v>46266</x:v>
      </x:c>
      <x:c r="AY7" s="246" t="n">
        <x:v>46267</x:v>
      </x:c>
      <x:c r="AZ7" s="246" t="n">
        <x:v>46268</x:v>
      </x:c>
      <x:c r="BA7" s="246" t="n">
        <x:v>46269</x:v>
      </x:c>
      <x:c r="BB7" s="246" t="n">
        <x:v>46272</x:v>
      </x:c>
      <x:c r="BC7" s="246" t="n">
        <x:v>46273</x:v>
      </x:c>
      <x:c r="BD7" s="246" t="n">
        <x:v>46274</x:v>
      </x:c>
      <x:c r="BE7" s="246" t="n">
        <x:v>46275</x:v>
      </x:c>
      <x:c r="BF7" s="246" t="n">
        <x:v>46276</x:v>
      </x:c>
      <x:c r="BG7" s="246" t="n">
        <x:v>46279</x:v>
      </x:c>
      <x:c r="BH7" s="246" t="n">
        <x:v>46280</x:v>
      </x:c>
      <x:c r="BI7" s="246" t="n">
        <x:v>46281</x:v>
      </x:c>
      <x:c r="BJ7" s="246" t="n">
        <x:v>46282</x:v>
      </x:c>
      <x:c r="BK7" s="246" t="n">
        <x:v>46283</x:v>
      </x:c>
      <x:c r="BL7" s="246" t="n">
        <x:v>46286</x:v>
      </x:c>
      <x:c r="BM7" s="246" t="n">
        <x:v>46287</x:v>
      </x:c>
      <x:c r="BN7" s="246" t="n">
        <x:v>46288</x:v>
      </x:c>
      <x:c r="BO7" s="246" t="n">
        <x:v>46289</x:v>
      </x:c>
      <x:c r="BP7" s="246" t="n">
        <x:v>46290</x:v>
      </x:c>
      <x:c r="BQ7" s="32"/>
    </x:row>
    <x:row r="8" ht="17.25" customHeight="1">
      <x:c r="A8" s="35"/>
      <x:c r="B8" s="36" t="s">
        <x:v>7</x:v>
      </x:c>
      <x:c r="C8" s="36" t="s">
        <x:v>8</x:v>
      </x:c>
      <x:c r="D8" s="36" t="s">
        <x:v>9</x:v>
      </x:c>
      <x:c r="E8" s="36" t="s">
        <x:v>10</x:v>
      </x:c>
      <x:c r="F8" s="36" t="s">
        <x:v>11</x:v>
      </x:c>
      <x:c r="G8" s="36" t="s">
        <x:v>12</x:v>
      </x:c>
      <x:c r="H8" s="36" t="s">
        <x:v>13</x:v>
      </x:c>
      <x:c r="I8" s="37" t="s">
        <x:v>14</x:v>
      </x:c>
      <x:c r="X8" s="38" t="s">
        <x:v>15</x:v>
      </x:c>
      <x:c r="AM8" s="39" t="s">
        <x:v>16</x:v>
      </x:c>
      <x:c r="BB8" s="40" t="s">
        <x:v>17</x:v>
      </x:c>
      <x:c r="BP8" s="41"/>
      <x:c r="BQ8" s="32"/>
    </x:row>
    <x:row r="9" ht="17.25" customHeight="1">
      <x:c r="A9" s="42"/>
      <x:c r="I9" s="43" t="str">
        <x:v>1주</x:v>
      </x:c>
      <x:c r="J9" s="44"/>
      <x:c r="K9" s="44"/>
      <x:c r="L9" s="44"/>
      <x:c r="M9" s="45"/>
      <x:c r="N9" s="43" t="str">
        <x:v>2주</x:v>
      </x:c>
      <x:c r="O9" s="44"/>
      <x:c r="P9" s="44"/>
      <x:c r="Q9" s="44"/>
      <x:c r="R9" s="45"/>
      <x:c r="S9" s="43" t="str">
        <x:v>3주</x:v>
      </x:c>
      <x:c r="T9" s="44"/>
      <x:c r="U9" s="44"/>
      <x:c r="V9" s="44"/>
      <x:c r="W9" s="45"/>
      <x:c r="X9" s="46" t="str">
        <x:v>4주</x:v>
      </x:c>
      <x:c r="Y9" s="44"/>
      <x:c r="Z9" s="44"/>
      <x:c r="AA9" s="44"/>
      <x:c r="AB9" s="45"/>
      <x:c r="AC9" s="46" t="str">
        <x:v>5주</x:v>
      </x:c>
      <x:c r="AD9" s="44"/>
      <x:c r="AE9" s="44"/>
      <x:c r="AF9" s="44"/>
      <x:c r="AG9" s="45"/>
      <x:c r="AH9" s="46" t="str">
        <x:v>6주</x:v>
      </x:c>
      <x:c r="AI9" s="44"/>
      <x:c r="AJ9" s="44"/>
      <x:c r="AK9" s="44"/>
      <x:c r="AL9" s="45"/>
      <x:c r="AM9" s="47" t="str">
        <x:v>7주</x:v>
      </x:c>
      <x:c r="AN9" s="44"/>
      <x:c r="AO9" s="44"/>
      <x:c r="AP9" s="44"/>
      <x:c r="AQ9" s="45"/>
      <x:c r="AR9" s="47" t="str">
        <x:v>8주</x:v>
      </x:c>
      <x:c r="AS9" s="44"/>
      <x:c r="AT9" s="44"/>
      <x:c r="AU9" s="44"/>
      <x:c r="AV9" s="45"/>
      <x:c r="AW9" s="47" t="str">
        <x:v>9주</x:v>
      </x:c>
      <x:c r="AX9" s="44"/>
      <x:c r="AY9" s="44"/>
      <x:c r="AZ9" s="44"/>
      <x:c r="BA9" s="45"/>
      <x:c r="BB9" s="48" t="str">
        <x:v>10주</x:v>
      </x:c>
      <x:c r="BC9" s="44"/>
      <x:c r="BD9" s="44"/>
      <x:c r="BE9" s="44"/>
      <x:c r="BF9" s="45"/>
      <x:c r="BG9" s="48" t="str">
        <x:v>11주</x:v>
      </x:c>
      <x:c r="BH9" s="44"/>
      <x:c r="BI9" s="44"/>
      <x:c r="BJ9" s="44"/>
      <x:c r="BK9" s="45"/>
      <x:c r="BL9" s="48" t="str">
        <x:v>12주</x:v>
      </x:c>
      <x:c r="BM9" s="44"/>
      <x:c r="BN9" s="44"/>
      <x:c r="BO9" s="44"/>
      <x:c r="BP9" s="45"/>
      <x:c r="BQ9" s="42"/>
    </x:row>
    <x:row r="10" ht="17.25" customHeight="1">
      <x:c r="A10" s="49"/>
      <x:c r="I10" s="210" t="str">
        <x:v>월</x:v>
      </x:c>
      <x:c r="J10" s="210" t="str">
        <x:v>화</x:v>
      </x:c>
      <x:c r="K10" s="210" t="str">
        <x:v>수</x:v>
      </x:c>
      <x:c r="L10" s="210" t="str">
        <x:v>목</x:v>
      </x:c>
      <x:c r="M10" s="210" t="str">
        <x:v>금</x:v>
      </x:c>
      <x:c r="N10" s="210" t="str">
        <x:v>월</x:v>
      </x:c>
      <x:c r="O10" s="210" t="str">
        <x:v>화</x:v>
      </x:c>
      <x:c r="P10" s="210" t="str">
        <x:v>수</x:v>
      </x:c>
      <x:c r="Q10" s="210" t="str">
        <x:v>목</x:v>
      </x:c>
      <x:c r="R10" s="210" t="str">
        <x:v>금</x:v>
      </x:c>
      <x:c r="S10" s="210" t="str">
        <x:v>월</x:v>
      </x:c>
      <x:c r="T10" s="210" t="str">
        <x:v>화</x:v>
      </x:c>
      <x:c r="U10" s="210" t="str">
        <x:v>수</x:v>
      </x:c>
      <x:c r="V10" s="210" t="str">
        <x:v>목</x:v>
      </x:c>
      <x:c r="W10" s="210" t="str">
        <x:v>금</x:v>
      </x:c>
      <x:c r="X10" s="211" t="str">
        <x:v>월</x:v>
      </x:c>
      <x:c r="Y10" s="211" t="str">
        <x:v>화</x:v>
      </x:c>
      <x:c r="Z10" s="211" t="str">
        <x:v>수</x:v>
      </x:c>
      <x:c r="AA10" s="211" t="str">
        <x:v>목</x:v>
      </x:c>
      <x:c r="AB10" s="211" t="str">
        <x:v>금</x:v>
      </x:c>
      <x:c r="AC10" s="211" t="str">
        <x:v>월</x:v>
      </x:c>
      <x:c r="AD10" s="211" t="str">
        <x:v>화</x:v>
      </x:c>
      <x:c r="AE10" s="211" t="str">
        <x:v>수</x:v>
      </x:c>
      <x:c r="AF10" s="211" t="str">
        <x:v>목</x:v>
      </x:c>
      <x:c r="AG10" s="211" t="str">
        <x:v>금</x:v>
      </x:c>
      <x:c r="AH10" s="211" t="str">
        <x:v>월</x:v>
      </x:c>
      <x:c r="AI10" s="211" t="str">
        <x:v>화</x:v>
      </x:c>
      <x:c r="AJ10" s="211" t="str">
        <x:v>수</x:v>
      </x:c>
      <x:c r="AK10" s="211" t="str">
        <x:v>목</x:v>
      </x:c>
      <x:c r="AL10" s="211" t="str">
        <x:v>금</x:v>
      </x:c>
      <x:c r="AM10" s="212" t="str">
        <x:v>월</x:v>
      </x:c>
      <x:c r="AN10" s="212" t="str">
        <x:v>화</x:v>
      </x:c>
      <x:c r="AO10" s="212" t="str">
        <x:v>수</x:v>
      </x:c>
      <x:c r="AP10" s="212" t="str">
        <x:v>목</x:v>
      </x:c>
      <x:c r="AQ10" s="212" t="str">
        <x:v>금</x:v>
      </x:c>
      <x:c r="AR10" s="212" t="str">
        <x:v>월</x:v>
      </x:c>
      <x:c r="AS10" s="212" t="str">
        <x:v>화</x:v>
      </x:c>
      <x:c r="AT10" s="212" t="str">
        <x:v>수</x:v>
      </x:c>
      <x:c r="AU10" s="212" t="str">
        <x:v>목</x:v>
      </x:c>
      <x:c r="AV10" s="212" t="str">
        <x:v>금</x:v>
      </x:c>
      <x:c r="AW10" s="212" t="str">
        <x:v>월</x:v>
      </x:c>
      <x:c r="AX10" s="212" t="str">
        <x:v>화</x:v>
      </x:c>
      <x:c r="AY10" s="212" t="str">
        <x:v>수</x:v>
      </x:c>
      <x:c r="AZ10" s="212" t="str">
        <x:v>목</x:v>
      </x:c>
      <x:c r="BA10" s="212" t="str">
        <x:v>금</x:v>
      </x:c>
      <x:c r="BB10" s="213" t="str">
        <x:v>월</x:v>
      </x:c>
      <x:c r="BC10" s="213" t="str">
        <x:v>화</x:v>
      </x:c>
      <x:c r="BD10" s="213" t="str">
        <x:v>수</x:v>
      </x:c>
      <x:c r="BE10" s="213" t="str">
        <x:v>목</x:v>
      </x:c>
      <x:c r="BF10" s="213" t="str">
        <x:v>금</x:v>
      </x:c>
      <x:c r="BG10" s="213" t="str">
        <x:v>월</x:v>
      </x:c>
      <x:c r="BH10" s="213" t="str">
        <x:v>화</x:v>
      </x:c>
      <x:c r="BI10" s="213" t="str">
        <x:v>수</x:v>
      </x:c>
      <x:c r="BJ10" s="213" t="str">
        <x:v>목</x:v>
      </x:c>
      <x:c r="BK10" s="213" t="str">
        <x:v>금</x:v>
      </x:c>
      <x:c r="BL10" s="213" t="str">
        <x:v>월</x:v>
      </x:c>
      <x:c r="BM10" s="213" t="str">
        <x:v>화</x:v>
      </x:c>
      <x:c r="BN10" s="213" t="str">
        <x:v>수</x:v>
      </x:c>
      <x:c r="BO10" s="213" t="str">
        <x:v>목</x:v>
      </x:c>
      <x:c r="BP10" s="213" t="str">
        <x:v>금</x:v>
      </x:c>
      <x:c r="BQ10" s="49"/>
    </x:row>
    <x:row r="11" ht="24" customHeight="1">
      <x:c r="A11" s="32"/>
      <x:c r="B11" s="255" t="str">
        <x:v>1</x:v>
      </x:c>
      <x:c r="C11" s="256" t="str">
        <x:v>기획 및 설계</x:v>
      </x:c>
      <x:c r="D11" s="256"/>
      <x:c r="E11" s="257"/>
      <x:c r="F11" s="257"/>
      <x:c r="G11" s="258"/>
      <x:c r="H11" s="259"/>
      <x:c r="I11" s="260"/>
      <x:c r="J11" s="261"/>
      <x:c r="K11" s="262"/>
      <x:c r="L11" s="262"/>
      <x:c r="M11" s="260"/>
      <x:c r="N11" s="260"/>
      <x:c r="O11" s="260"/>
      <x:c r="P11" s="260"/>
      <x:c r="Q11" s="260"/>
      <x:c r="R11" s="260"/>
      <x:c r="S11" s="260"/>
      <x:c r="T11" s="260"/>
      <x:c r="U11" s="260"/>
      <x:c r="V11" s="260"/>
      <x:c r="W11" s="260"/>
      <x:c r="X11" s="260"/>
      <x:c r="Y11" s="260"/>
      <x:c r="Z11" s="260"/>
      <x:c r="AA11" s="260"/>
      <x:c r="AB11" s="260"/>
      <x:c r="AC11" s="260"/>
      <x:c r="AD11" s="260"/>
      <x:c r="AE11" s="260"/>
      <x:c r="AF11" s="260"/>
      <x:c r="AG11" s="260"/>
      <x:c r="AH11" s="260"/>
      <x:c r="AI11" s="260"/>
      <x:c r="AJ11" s="260"/>
      <x:c r="AK11" s="260"/>
      <x:c r="AL11" s="260"/>
      <x:c r="AM11" s="260"/>
      <x:c r="AN11" s="260"/>
      <x:c r="AO11" s="260"/>
      <x:c r="AP11" s="260"/>
      <x:c r="AQ11" s="260"/>
      <x:c r="AR11" s="260"/>
      <x:c r="AS11" s="260"/>
      <x:c r="AT11" s="260"/>
      <x:c r="AU11" s="260"/>
      <x:c r="AV11" s="260"/>
      <x:c r="AW11" s="260"/>
      <x:c r="AX11" s="260"/>
      <x:c r="AY11" s="260"/>
      <x:c r="AZ11" s="260"/>
      <x:c r="BA11" s="260"/>
      <x:c r="BB11" s="260"/>
      <x:c r="BC11" s="260"/>
      <x:c r="BD11" s="260"/>
      <x:c r="BE11" s="260"/>
      <x:c r="BF11" s="260"/>
      <x:c r="BG11" s="260"/>
      <x:c r="BH11" s="260"/>
      <x:c r="BI11" s="260"/>
      <x:c r="BJ11" s="260"/>
      <x:c r="BK11" s="260"/>
      <x:c r="BL11" s="260"/>
      <x:c r="BM11" s="260"/>
      <x:c r="BN11" s="260"/>
      <x:c r="BO11" s="260"/>
      <x:c r="BP11" s="260"/>
      <x:c r="BQ11" s="32"/>
    </x:row>
    <x:row r="12" ht="38" customHeight="1">
      <x:c r="A12" s="61"/>
      <x:c r="B12" s="273" t="str">
        <x:v>1.1</x:v>
      </x:c>
      <x:c r="C12" s="274" t="str">
        <x:v>킥오프 및 프로젝트 목표 확정
[완료] 산출물: 프로젝트 범위</x:v>
      </x:c>
      <x:c r="D12" s="274" t="str">
        <x:v>전원</x:v>
      </x:c>
      <x:c r="E12" s="275" t="n">
        <x:v>46213</x:v>
      </x:c>
      <x:c r="F12" s="275" t="n">
        <x:v>46213</x:v>
      </x:c>
      <x:c r="G12" s="276" t="n">
        <x:f t="shared" ref="G12:G18" si="1">MAX(0,F12-E12)</x:f>
        <x:v>0</x:v>
      </x:c>
      <x:c r="H12" s="277" t="n">
        <x:v>1</x:v>
      </x:c>
      <x:c r="I12" s="292" t="str">
        <x:f>IF(AND(I$7&gt;=$E12,I$7&lt;=$F12),"■","")</x:f>
      </x:c>
      <x:c r="J12" s="293" t="str">
        <x:f>IF(AND(J$7&gt;=$E12,J$7&lt;=$F12),"■","")</x:f>
      </x:c>
      <x:c r="K12" s="294" t="str">
        <x:f>IF(AND(K$7&gt;=$E12,K$7&lt;=$F12),"■","")</x:f>
      </x:c>
      <x:c r="L12" s="294" t="str">
        <x:f>IF(AND(L$7&gt;=$E12,L$7&lt;=$F12),"■","")</x:f>
      </x:c>
      <x:c r="M12" s="294" t="str">
        <x:f>IF(AND(M$7&gt;=$E12,M$7&lt;=$F12),"■","")</x:f>
        <x:v>■</x:v>
      </x:c>
      <x:c r="N12" s="294" t="str">
        <x:f>IF(AND(N$7&gt;=$E12,N$7&lt;=$F12),"■","")</x:f>
      </x:c>
      <x:c r="O12" s="294" t="str">
        <x:f>IF(AND(O$7&gt;=$E12,O$7&lt;=$F12),"■","")</x:f>
      </x:c>
      <x:c r="P12" s="294" t="str">
        <x:f>IF(AND(P$7&gt;=$E12,P$7&lt;=$F12),"■","")</x:f>
      </x:c>
      <x:c r="Q12" s="294" t="str">
        <x:f>IF(AND(Q$7&gt;=$E12,Q$7&lt;=$F12),"■","")</x:f>
      </x:c>
      <x:c r="R12" s="294" t="str">
        <x:f>IF(AND(R$7&gt;=$E12,R$7&lt;=$F12),"■","")</x:f>
      </x:c>
      <x:c r="S12" s="294" t="str">
        <x:f>IF(AND(S$7&gt;=$E12,S$7&lt;=$F12),"■","")</x:f>
      </x:c>
      <x:c r="T12" s="294" t="str">
        <x:f>IF(AND(T$7&gt;=$E12,T$7&lt;=$F12),"■","")</x:f>
      </x:c>
      <x:c r="U12" s="294" t="str">
        <x:f>IF(AND(U$7&gt;=$E12,U$7&lt;=$F12),"■","")</x:f>
      </x:c>
      <x:c r="V12" s="294" t="str">
        <x:f>IF(AND(V$7&gt;=$E12,V$7&lt;=$F12),"■","")</x:f>
      </x:c>
      <x:c r="W12" s="294" t="str">
        <x:f>IF(AND(W$7&gt;=$E12,W$7&lt;=$F12),"■","")</x:f>
      </x:c>
      <x:c r="X12" s="304" t="str">
        <x:f>IF(AND(X$7&gt;=$E12,X$7&lt;=$F12),"■","")</x:f>
      </x:c>
      <x:c r="Y12" s="304" t="str">
        <x:f>IF(AND(Y$7&gt;=$E12,Y$7&lt;=$F12),"■","")</x:f>
      </x:c>
      <x:c r="Z12" s="304" t="str">
        <x:f>IF(AND(Z$7&gt;=$E12,Z$7&lt;=$F12),"■","")</x:f>
      </x:c>
      <x:c r="AA12" s="304" t="str">
        <x:f>IF(AND(AA$7&gt;=$E12,AA$7&lt;=$F12),"■","")</x:f>
      </x:c>
      <x:c r="AB12" s="304" t="str">
        <x:f>IF(AND(AB$7&gt;=$E12,AB$7&lt;=$F12),"■","")</x:f>
      </x:c>
      <x:c r="AC12" s="304" t="str">
        <x:f>IF(AND(AC$7&gt;=$E12,AC$7&lt;=$F12),"■","")</x:f>
      </x:c>
      <x:c r="AD12" s="304" t="str">
        <x:f>IF(AND(AD$7&gt;=$E12,AD$7&lt;=$F12),"■","")</x:f>
      </x:c>
      <x:c r="AE12" s="304" t="str">
        <x:f>IF(AND(AE$7&gt;=$E12,AE$7&lt;=$F12),"■","")</x:f>
      </x:c>
      <x:c r="AF12" s="304" t="str">
        <x:f>IF(AND(AF$7&gt;=$E12,AF$7&lt;=$F12),"■","")</x:f>
      </x:c>
      <x:c r="AG12" s="304" t="str">
        <x:f>IF(AND(AG$7&gt;=$E12,AG$7&lt;=$F12),"■","")</x:f>
      </x:c>
      <x:c r="AH12" s="304" t="str">
        <x:f>IF(AND(AH$7&gt;=$E12,AH$7&lt;=$F12),"■","")</x:f>
      </x:c>
      <x:c r="AI12" s="304" t="str">
        <x:f>IF(AND(AI$7&gt;=$E12,AI$7&lt;=$F12),"■","")</x:f>
      </x:c>
      <x:c r="AJ12" s="304" t="str">
        <x:f>IF(AND(AJ$7&gt;=$E12,AJ$7&lt;=$F12),"■","")</x:f>
      </x:c>
      <x:c r="AK12" s="304" t="str">
        <x:f>IF(AND(AK$7&gt;=$E12,AK$7&lt;=$F12),"■","")</x:f>
      </x:c>
      <x:c r="AL12" s="304" t="str">
        <x:f>IF(AND(AL$7&gt;=$E12,AL$7&lt;=$F12),"■","")</x:f>
      </x:c>
      <x:c r="AM12" s="310" t="str">
        <x:f>IF(AND(AM$7&gt;=$E12,AM$7&lt;=$F12),"■","")</x:f>
      </x:c>
      <x:c r="AN12" s="310" t="str">
        <x:f>IF(AND(AN$7&gt;=$E12,AN$7&lt;=$F12),"■","")</x:f>
      </x:c>
      <x:c r="AO12" s="310" t="str">
        <x:f>IF(AND(AO$7&gt;=$E12,AO$7&lt;=$F12),"■","")</x:f>
      </x:c>
      <x:c r="AP12" s="310" t="str">
        <x:f>IF(AND(AP$7&gt;=$E12,AP$7&lt;=$F12),"■","")</x:f>
      </x:c>
      <x:c r="AQ12" s="310" t="str">
        <x:f>IF(AND(AQ$7&gt;=$E12,AQ$7&lt;=$F12),"■","")</x:f>
      </x:c>
      <x:c r="AR12" s="310" t="str">
        <x:f>IF(AND(AR$7&gt;=$E12,AR$7&lt;=$F12),"■","")</x:f>
      </x:c>
      <x:c r="AS12" s="310" t="str">
        <x:f>IF(AND(AS$7&gt;=$E12,AS$7&lt;=$F12),"■","")</x:f>
      </x:c>
      <x:c r="AT12" s="310" t="str">
        <x:f>IF(AND(AT$7&gt;=$E12,AT$7&lt;=$F12),"■","")</x:f>
      </x:c>
      <x:c r="AU12" s="310" t="str">
        <x:f>IF(AND(AU$7&gt;=$E12,AU$7&lt;=$F12),"■","")</x:f>
      </x:c>
      <x:c r="AV12" s="310" t="str">
        <x:f>IF(AND(AV$7&gt;=$E12,AV$7&lt;=$F12),"■","")</x:f>
      </x:c>
      <x:c r="AW12" s="310" t="str">
        <x:f>IF(AND(AW$7&gt;=$E12,AW$7&lt;=$F12),"■","")</x:f>
      </x:c>
      <x:c r="AX12" s="310" t="str">
        <x:f>IF(AND(AX$7&gt;=$E12,AX$7&lt;=$F12),"■","")</x:f>
      </x:c>
      <x:c r="AY12" s="310" t="str">
        <x:f>IF(AND(AY$7&gt;=$E12,AY$7&lt;=$F12),"■","")</x:f>
      </x:c>
      <x:c r="AZ12" s="310" t="str">
        <x:f>IF(AND(AZ$7&gt;=$E12,AZ$7&lt;=$F12),"■","")</x:f>
      </x:c>
      <x:c r="BA12" s="310" t="str">
        <x:f>IF(AND(BA$7&gt;=$E12,BA$7&lt;=$F12),"■","")</x:f>
      </x:c>
      <x:c r="BB12" s="319" t="str">
        <x:f>IF(AND(BB$7&gt;=$E12,BB$7&lt;=$F12),"■","")</x:f>
      </x:c>
      <x:c r="BC12" s="319" t="str">
        <x:f>IF(AND(BC$7&gt;=$E12,BC$7&lt;=$F12),"■","")</x:f>
      </x:c>
      <x:c r="BD12" s="319" t="str">
        <x:f>IF(AND(BD$7&gt;=$E12,BD$7&lt;=$F12),"■","")</x:f>
      </x:c>
      <x:c r="BE12" s="319" t="str">
        <x:f>IF(AND(BE$7&gt;=$E12,BE$7&lt;=$F12),"■","")</x:f>
      </x:c>
      <x:c r="BF12" s="319" t="str">
        <x:f>IF(AND(BF$7&gt;=$E12,BF$7&lt;=$F12),"■","")</x:f>
      </x:c>
      <x:c r="BG12" s="319" t="str">
        <x:f>IF(AND(BG$7&gt;=$E12,BG$7&lt;=$F12),"■","")</x:f>
      </x:c>
      <x:c r="BH12" s="319" t="str">
        <x:f>IF(AND(BH$7&gt;=$E12,BH$7&lt;=$F12),"■","")</x:f>
      </x:c>
      <x:c r="BI12" s="319" t="str">
        <x:f>IF(AND(BI$7&gt;=$E12,BI$7&lt;=$F12),"■","")</x:f>
      </x:c>
      <x:c r="BJ12" s="319" t="str">
        <x:f>IF(AND(BJ$7&gt;=$E12,BJ$7&lt;=$F12),"■","")</x:f>
      </x:c>
      <x:c r="BK12" s="319" t="str">
        <x:f>IF(AND(BK$7&gt;=$E12,BK$7&lt;=$F12),"■","")</x:f>
      </x:c>
      <x:c r="BL12" s="319" t="str">
        <x:f>IF(AND(BL$7&gt;=$E12,BL$7&lt;=$F12),"■","")</x:f>
      </x:c>
      <x:c r="BM12" s="319" t="str">
        <x:f>IF(AND(BM$7&gt;=$E12,BM$7&lt;=$F12),"■","")</x:f>
      </x:c>
      <x:c r="BN12" s="319" t="str">
        <x:f>IF(AND(BN$7&gt;=$E12,BN$7&lt;=$F12),"■","")</x:f>
      </x:c>
      <x:c r="BO12" s="319" t="str">
        <x:f>IF(AND(BO$7&gt;=$E12,BO$7&lt;=$F12),"■","")</x:f>
      </x:c>
      <x:c r="BP12" s="320" t="str">
        <x:f>IF(AND(BP$7&gt;=$E12,BP$7&lt;=$F12),"■","")</x:f>
      </x:c>
      <x:c r="BQ12" s="61"/>
    </x:row>
    <x:row r="13" ht="38" customHeight="1">
      <x:c r="A13" s="61"/>
      <x:c r="B13" s="273" t="str">
        <x:v>1.2</x:v>
      </x:c>
      <x:c r="C13" s="274" t="str">
        <x:v>사용자·업무 시나리오 정의
[완료] 산출물: 서비스 시나리오</x:v>
      </x:c>
      <x:c r="D13" s="274" t="str">
        <x:v>박준희·송민지</x:v>
      </x:c>
      <x:c r="E13" s="275" t="n">
        <x:v>46213</x:v>
      </x:c>
      <x:c r="F13" s="275" t="n">
        <x:v>46216</x:v>
      </x:c>
      <x:c r="G13" s="276" t="n">
        <x:f t="shared" si="1">MAX(0,F13-E13)</x:f>
        <x:v>3</x:v>
      </x:c>
      <x:c r="H13" s="277" t="n">
        <x:v>1</x:v>
      </x:c>
      <x:c r="I13" s="295" t="str">
        <x:f>IF(AND(I$7&gt;=$E13,I$7&lt;=$F13),"■","")</x:f>
      </x:c>
      <x:c r="J13" s="296" t="str">
        <x:f>IF(AND(J$7&gt;=$E13,J$7&lt;=$F13),"■","")</x:f>
      </x:c>
      <x:c r="K13" s="297" t="str">
        <x:f>IF(AND(K$7&gt;=$E13,K$7&lt;=$F13),"■","")</x:f>
      </x:c>
      <x:c r="L13" s="297" t="str">
        <x:f>IF(AND(L$7&gt;=$E13,L$7&lt;=$F13),"■","")</x:f>
      </x:c>
      <x:c r="M13" s="297" t="str">
        <x:f>IF(AND(M$7&gt;=$E13,M$7&lt;=$F13),"■","")</x:f>
        <x:v>■</x:v>
      </x:c>
      <x:c r="N13" s="297" t="str">
        <x:f>IF(AND(N$7&gt;=$E13,N$7&lt;=$F13),"■","")</x:f>
        <x:v>■</x:v>
      </x:c>
      <x:c r="O13" s="297" t="str">
        <x:f>IF(AND(O$7&gt;=$E13,O$7&lt;=$F13),"■","")</x:f>
      </x:c>
      <x:c r="P13" s="297" t="str">
        <x:f>IF(AND(P$7&gt;=$E13,P$7&lt;=$F13),"■","")</x:f>
      </x:c>
      <x:c r="Q13" s="297" t="str">
        <x:f>IF(AND(Q$7&gt;=$E13,Q$7&lt;=$F13),"■","")</x:f>
      </x:c>
      <x:c r="R13" s="297" t="str">
        <x:f>IF(AND(R$7&gt;=$E13,R$7&lt;=$F13),"■","")</x:f>
      </x:c>
      <x:c r="S13" s="297" t="str">
        <x:f>IF(AND(S$7&gt;=$E13,S$7&lt;=$F13),"■","")</x:f>
      </x:c>
      <x:c r="T13" s="297" t="str">
        <x:f>IF(AND(T$7&gt;=$E13,T$7&lt;=$F13),"■","")</x:f>
      </x:c>
      <x:c r="U13" s="297" t="str">
        <x:f>IF(AND(U$7&gt;=$E13,U$7&lt;=$F13),"■","")</x:f>
      </x:c>
      <x:c r="V13" s="297" t="str">
        <x:f>IF(AND(V$7&gt;=$E13,V$7&lt;=$F13),"■","")</x:f>
      </x:c>
      <x:c r="W13" s="297" t="str">
        <x:f>IF(AND(W$7&gt;=$E13,W$7&lt;=$F13),"■","")</x:f>
      </x:c>
      <x:c r="X13" s="305" t="str">
        <x:f>IF(AND(X$7&gt;=$E13,X$7&lt;=$F13),"■","")</x:f>
      </x:c>
      <x:c r="Y13" s="305" t="str">
        <x:f>IF(AND(Y$7&gt;=$E13,Y$7&lt;=$F13),"■","")</x:f>
      </x:c>
      <x:c r="Z13" s="305" t="str">
        <x:f>IF(AND(Z$7&gt;=$E13,Z$7&lt;=$F13),"■","")</x:f>
      </x:c>
      <x:c r="AA13" s="305" t="str">
        <x:f>IF(AND(AA$7&gt;=$E13,AA$7&lt;=$F13),"■","")</x:f>
      </x:c>
      <x:c r="AB13" s="305" t="str">
        <x:f>IF(AND(AB$7&gt;=$E13,AB$7&lt;=$F13),"■","")</x:f>
      </x:c>
      <x:c r="AC13" s="305" t="str">
        <x:f>IF(AND(AC$7&gt;=$E13,AC$7&lt;=$F13),"■","")</x:f>
      </x:c>
      <x:c r="AD13" s="305" t="str">
        <x:f>IF(AND(AD$7&gt;=$E13,AD$7&lt;=$F13),"■","")</x:f>
      </x:c>
      <x:c r="AE13" s="305" t="str">
        <x:f>IF(AND(AE$7&gt;=$E13,AE$7&lt;=$F13),"■","")</x:f>
      </x:c>
      <x:c r="AF13" s="305" t="str">
        <x:f>IF(AND(AF$7&gt;=$E13,AF$7&lt;=$F13),"■","")</x:f>
      </x:c>
      <x:c r="AG13" s="305" t="str">
        <x:f>IF(AND(AG$7&gt;=$E13,AG$7&lt;=$F13),"■","")</x:f>
      </x:c>
      <x:c r="AH13" s="305" t="str">
        <x:f>IF(AND(AH$7&gt;=$E13,AH$7&lt;=$F13),"■","")</x:f>
      </x:c>
      <x:c r="AI13" s="305" t="str">
        <x:f>IF(AND(AI$7&gt;=$E13,AI$7&lt;=$F13),"■","")</x:f>
      </x:c>
      <x:c r="AJ13" s="305" t="str">
        <x:f>IF(AND(AJ$7&gt;=$E13,AJ$7&lt;=$F13),"■","")</x:f>
      </x:c>
      <x:c r="AK13" s="305" t="str">
        <x:f>IF(AND(AK$7&gt;=$E13,AK$7&lt;=$F13),"■","")</x:f>
      </x:c>
      <x:c r="AL13" s="305" t="str">
        <x:f>IF(AND(AL$7&gt;=$E13,AL$7&lt;=$F13),"■","")</x:f>
      </x:c>
      <x:c r="AM13" s="311" t="str">
        <x:f>IF(AND(AM$7&gt;=$E13,AM$7&lt;=$F13),"■","")</x:f>
      </x:c>
      <x:c r="AN13" s="311" t="str">
        <x:f>IF(AND(AN$7&gt;=$E13,AN$7&lt;=$F13),"■","")</x:f>
      </x:c>
      <x:c r="AO13" s="311" t="str">
        <x:f>IF(AND(AO$7&gt;=$E13,AO$7&lt;=$F13),"■","")</x:f>
      </x:c>
      <x:c r="AP13" s="311" t="str">
        <x:f>IF(AND(AP$7&gt;=$E13,AP$7&lt;=$F13),"■","")</x:f>
      </x:c>
      <x:c r="AQ13" s="311" t="str">
        <x:f>IF(AND(AQ$7&gt;=$E13,AQ$7&lt;=$F13),"■","")</x:f>
      </x:c>
      <x:c r="AR13" s="311" t="str">
        <x:f>IF(AND(AR$7&gt;=$E13,AR$7&lt;=$F13),"■","")</x:f>
      </x:c>
      <x:c r="AS13" s="311" t="str">
        <x:f>IF(AND(AS$7&gt;=$E13,AS$7&lt;=$F13),"■","")</x:f>
      </x:c>
      <x:c r="AT13" s="311" t="str">
        <x:f>IF(AND(AT$7&gt;=$E13,AT$7&lt;=$F13),"■","")</x:f>
      </x:c>
      <x:c r="AU13" s="311" t="str">
        <x:f>IF(AND(AU$7&gt;=$E13,AU$7&lt;=$F13),"■","")</x:f>
      </x:c>
      <x:c r="AV13" s="311" t="str">
        <x:f>IF(AND(AV$7&gt;=$E13,AV$7&lt;=$F13),"■","")</x:f>
      </x:c>
      <x:c r="AW13" s="311" t="str">
        <x:f>IF(AND(AW$7&gt;=$E13,AW$7&lt;=$F13),"■","")</x:f>
      </x:c>
      <x:c r="AX13" s="311" t="str">
        <x:f>IF(AND(AX$7&gt;=$E13,AX$7&lt;=$F13),"■","")</x:f>
      </x:c>
      <x:c r="AY13" s="311" t="str">
        <x:f>IF(AND(AY$7&gt;=$E13,AY$7&lt;=$F13),"■","")</x:f>
      </x:c>
      <x:c r="AZ13" s="311" t="str">
        <x:f>IF(AND(AZ$7&gt;=$E13,AZ$7&lt;=$F13),"■","")</x:f>
      </x:c>
      <x:c r="BA13" s="311" t="str">
        <x:f>IF(AND(BA$7&gt;=$E13,BA$7&lt;=$F13),"■","")</x:f>
      </x:c>
      <x:c r="BB13" s="321" t="str">
        <x:f>IF(AND(BB$7&gt;=$E13,BB$7&lt;=$F13),"■","")</x:f>
      </x:c>
      <x:c r="BC13" s="321" t="str">
        <x:f>IF(AND(BC$7&gt;=$E13,BC$7&lt;=$F13),"■","")</x:f>
      </x:c>
      <x:c r="BD13" s="321" t="str">
        <x:f>IF(AND(BD$7&gt;=$E13,BD$7&lt;=$F13),"■","")</x:f>
      </x:c>
      <x:c r="BE13" s="321" t="str">
        <x:f>IF(AND(BE$7&gt;=$E13,BE$7&lt;=$F13),"■","")</x:f>
      </x:c>
      <x:c r="BF13" s="321" t="str">
        <x:f>IF(AND(BF$7&gt;=$E13,BF$7&lt;=$F13),"■","")</x:f>
      </x:c>
      <x:c r="BG13" s="321" t="str">
        <x:f>IF(AND(BG$7&gt;=$E13,BG$7&lt;=$F13),"■","")</x:f>
      </x:c>
      <x:c r="BH13" s="321" t="str">
        <x:f>IF(AND(BH$7&gt;=$E13,BH$7&lt;=$F13),"■","")</x:f>
      </x:c>
      <x:c r="BI13" s="321" t="str">
        <x:f>IF(AND(BI$7&gt;=$E13,BI$7&lt;=$F13),"■","")</x:f>
      </x:c>
      <x:c r="BJ13" s="321" t="str">
        <x:f>IF(AND(BJ$7&gt;=$E13,BJ$7&lt;=$F13),"■","")</x:f>
      </x:c>
      <x:c r="BK13" s="321" t="str">
        <x:f>IF(AND(BK$7&gt;=$E13,BK$7&lt;=$F13),"■","")</x:f>
      </x:c>
      <x:c r="BL13" s="321" t="str">
        <x:f>IF(AND(BL$7&gt;=$E13,BL$7&lt;=$F13),"■","")</x:f>
      </x:c>
      <x:c r="BM13" s="321" t="str">
        <x:f>IF(AND(BM$7&gt;=$E13,BM$7&lt;=$F13),"■","")</x:f>
      </x:c>
      <x:c r="BN13" s="321" t="str">
        <x:f>IF(AND(BN$7&gt;=$E13,BN$7&lt;=$F13),"■","")</x:f>
      </x:c>
      <x:c r="BO13" s="321" t="str">
        <x:f>IF(AND(BO$7&gt;=$E13,BO$7&lt;=$F13),"■","")</x:f>
      </x:c>
      <x:c r="BP13" s="322" t="str">
        <x:f>IF(AND(BP$7&gt;=$E13,BP$7&lt;=$F13),"■","")</x:f>
      </x:c>
      <x:c r="BQ13" s="61"/>
    </x:row>
    <x:row r="14" ht="38" customHeight="1">
      <x:c r="A14" s="61"/>
      <x:c r="B14" s="273" t="str">
        <x:v>1.3</x:v>
      </x:c>
      <x:c r="C14" s="274" t="str">
        <x:v>요구사항 및 SensePlace 현재 범위 확정·제출
[검토] 산출물: 요구사항 정의서 · 제출 07/16</x:v>
      </x:c>
      <x:c r="D14" s="274" t="str">
        <x:v>박준희·송민지</x:v>
      </x:c>
      <x:c r="E14" s="275" t="n">
        <x:v>46213</x:v>
      </x:c>
      <x:c r="F14" s="275" t="n">
        <x:v>46227</x:v>
      </x:c>
      <x:c r="G14" s="276" t="n">
        <x:f t="shared" si="1">MAX(0,F14-E14)</x:f>
        <x:v>14</x:v>
      </x:c>
      <x:c r="H14" s="277" t="n">
        <x:v>0.8</x:v>
      </x:c>
      <x:c r="I14" s="295" t="str">
        <x:f>IF(AND(I$7&gt;=$E14,I$7&lt;=$F14),"■","")</x:f>
      </x:c>
      <x:c r="J14" s="296" t="str">
        <x:f>IF(AND(J$7&gt;=$E14,J$7&lt;=$F14),"■","")</x:f>
      </x:c>
      <x:c r="K14" s="297" t="str">
        <x:f>IF(AND(K$7&gt;=$E14,K$7&lt;=$F14),"■","")</x:f>
      </x:c>
      <x:c r="L14" s="297" t="str">
        <x:f>IF(AND(L$7&gt;=$E14,L$7&lt;=$F14),"■","")</x:f>
      </x:c>
      <x:c r="M14" s="297" t="str">
        <x:f>IF(AND(M$7&gt;=$E14,M$7&lt;=$F14),"■","")</x:f>
        <x:v>■</x:v>
      </x:c>
      <x:c r="N14" s="297" t="str">
        <x:f>IF(AND(N$7&gt;=$E14,N$7&lt;=$F14),"■","")</x:f>
        <x:v>■</x:v>
      </x:c>
      <x:c r="O14" s="297" t="str">
        <x:f>IF(AND(O$7&gt;=$E14,O$7&lt;=$F14),"■","")</x:f>
        <x:v>■</x:v>
      </x:c>
      <x:c r="P14" s="297" t="str">
        <x:f>IF(AND(P$7&gt;=$E14,P$7&lt;=$F14),"■","")</x:f>
        <x:v>■</x:v>
      </x:c>
      <x:c r="Q14" s="297" t="str">
        <x:f>IF(AND(Q$7&gt;=$E14,Q$7&lt;=$F14),"■","")</x:f>
        <x:v>■</x:v>
      </x:c>
      <x:c r="R14" s="297" t="str">
        <x:f>IF(AND(R$7&gt;=$E14,R$7&lt;=$F14),"■","")</x:f>
        <x:v>■</x:v>
      </x:c>
      <x:c r="S14" s="297" t="str">
        <x:f>IF(AND(S$7&gt;=$E14,S$7&lt;=$F14),"■","")</x:f>
        <x:v>■</x:v>
      </x:c>
      <x:c r="T14" s="297" t="str">
        <x:f>IF(AND(T$7&gt;=$E14,T$7&lt;=$F14),"■","")</x:f>
        <x:v>■</x:v>
      </x:c>
      <x:c r="U14" s="297" t="str">
        <x:f>IF(AND(U$7&gt;=$E14,U$7&lt;=$F14),"■","")</x:f>
        <x:v>■</x:v>
      </x:c>
      <x:c r="V14" s="297" t="str">
        <x:f>IF(AND(V$7&gt;=$E14,V$7&lt;=$F14),"■","")</x:f>
        <x:v>■</x:v>
      </x:c>
      <x:c r="W14" s="297" t="str">
        <x:f>IF(AND(W$7&gt;=$E14,W$7&lt;=$F14),"■","")</x:f>
        <x:v>■</x:v>
      </x:c>
      <x:c r="X14" s="305" t="str">
        <x:f>IF(AND(X$7&gt;=$E14,X$7&lt;=$F14),"■","")</x:f>
      </x:c>
      <x:c r="Y14" s="305" t="str">
        <x:f>IF(AND(Y$7&gt;=$E14,Y$7&lt;=$F14),"■","")</x:f>
      </x:c>
      <x:c r="Z14" s="305" t="str">
        <x:f>IF(AND(Z$7&gt;=$E14,Z$7&lt;=$F14),"■","")</x:f>
      </x:c>
      <x:c r="AA14" s="305" t="str">
        <x:f>IF(AND(AA$7&gt;=$E14,AA$7&lt;=$F14),"■","")</x:f>
      </x:c>
      <x:c r="AB14" s="305" t="str">
        <x:f>IF(AND(AB$7&gt;=$E14,AB$7&lt;=$F14),"■","")</x:f>
      </x:c>
      <x:c r="AC14" s="305" t="str">
        <x:f>IF(AND(AC$7&gt;=$E14,AC$7&lt;=$F14),"■","")</x:f>
      </x:c>
      <x:c r="AD14" s="305" t="str">
        <x:f>IF(AND(AD$7&gt;=$E14,AD$7&lt;=$F14),"■","")</x:f>
      </x:c>
      <x:c r="AE14" s="305" t="str">
        <x:f>IF(AND(AE$7&gt;=$E14,AE$7&lt;=$F14),"■","")</x:f>
      </x:c>
      <x:c r="AF14" s="305" t="str">
        <x:f>IF(AND(AF$7&gt;=$E14,AF$7&lt;=$F14),"■","")</x:f>
      </x:c>
      <x:c r="AG14" s="305" t="str">
        <x:f>IF(AND(AG$7&gt;=$E14,AG$7&lt;=$F14),"■","")</x:f>
      </x:c>
      <x:c r="AH14" s="305" t="str">
        <x:f>IF(AND(AH$7&gt;=$E14,AH$7&lt;=$F14),"■","")</x:f>
      </x:c>
      <x:c r="AI14" s="305" t="str">
        <x:f>IF(AND(AI$7&gt;=$E14,AI$7&lt;=$F14),"■","")</x:f>
      </x:c>
      <x:c r="AJ14" s="305" t="str">
        <x:f>IF(AND(AJ$7&gt;=$E14,AJ$7&lt;=$F14),"■","")</x:f>
      </x:c>
      <x:c r="AK14" s="305" t="str">
        <x:f>IF(AND(AK$7&gt;=$E14,AK$7&lt;=$F14),"■","")</x:f>
      </x:c>
      <x:c r="AL14" s="305" t="str">
        <x:f>IF(AND(AL$7&gt;=$E14,AL$7&lt;=$F14),"■","")</x:f>
      </x:c>
      <x:c r="AM14" s="311" t="str">
        <x:f>IF(AND(AM$7&gt;=$E14,AM$7&lt;=$F14),"■","")</x:f>
      </x:c>
      <x:c r="AN14" s="311" t="str">
        <x:f>IF(AND(AN$7&gt;=$E14,AN$7&lt;=$F14),"■","")</x:f>
      </x:c>
      <x:c r="AO14" s="311" t="str">
        <x:f>IF(AND(AO$7&gt;=$E14,AO$7&lt;=$F14),"■","")</x:f>
      </x:c>
      <x:c r="AP14" s="311" t="str">
        <x:f>IF(AND(AP$7&gt;=$E14,AP$7&lt;=$F14),"■","")</x:f>
      </x:c>
      <x:c r="AQ14" s="311" t="str">
        <x:f>IF(AND(AQ$7&gt;=$E14,AQ$7&lt;=$F14),"■","")</x:f>
      </x:c>
      <x:c r="AR14" s="311" t="str">
        <x:f>IF(AND(AR$7&gt;=$E14,AR$7&lt;=$F14),"■","")</x:f>
      </x:c>
      <x:c r="AS14" s="311" t="str">
        <x:f>IF(AND(AS$7&gt;=$E14,AS$7&lt;=$F14),"■","")</x:f>
      </x:c>
      <x:c r="AT14" s="311" t="str">
        <x:f>IF(AND(AT$7&gt;=$E14,AT$7&lt;=$F14),"■","")</x:f>
      </x:c>
      <x:c r="AU14" s="311" t="str">
        <x:f>IF(AND(AU$7&gt;=$E14,AU$7&lt;=$F14),"■","")</x:f>
      </x:c>
      <x:c r="AV14" s="311" t="str">
        <x:f>IF(AND(AV$7&gt;=$E14,AV$7&lt;=$F14),"■","")</x:f>
      </x:c>
      <x:c r="AW14" s="311" t="str">
        <x:f>IF(AND(AW$7&gt;=$E14,AW$7&lt;=$F14),"■","")</x:f>
      </x:c>
      <x:c r="AX14" s="311" t="str">
        <x:f>IF(AND(AX$7&gt;=$E14,AX$7&lt;=$F14),"■","")</x:f>
      </x:c>
      <x:c r="AY14" s="311" t="str">
        <x:f>IF(AND(AY$7&gt;=$E14,AY$7&lt;=$F14),"■","")</x:f>
      </x:c>
      <x:c r="AZ14" s="311" t="str">
        <x:f>IF(AND(AZ$7&gt;=$E14,AZ$7&lt;=$F14),"■","")</x:f>
      </x:c>
      <x:c r="BA14" s="311" t="str">
        <x:f>IF(AND(BA$7&gt;=$E14,BA$7&lt;=$F14),"■","")</x:f>
      </x:c>
      <x:c r="BB14" s="321" t="str">
        <x:f>IF(AND(BB$7&gt;=$E14,BB$7&lt;=$F14),"■","")</x:f>
      </x:c>
      <x:c r="BC14" s="321" t="str">
        <x:f>IF(AND(BC$7&gt;=$E14,BC$7&lt;=$F14),"■","")</x:f>
      </x:c>
      <x:c r="BD14" s="321" t="str">
        <x:f>IF(AND(BD$7&gt;=$E14,BD$7&lt;=$F14),"■","")</x:f>
      </x:c>
      <x:c r="BE14" s="321" t="str">
        <x:f>IF(AND(BE$7&gt;=$E14,BE$7&lt;=$F14),"■","")</x:f>
      </x:c>
      <x:c r="BF14" s="321" t="str">
        <x:f>IF(AND(BF$7&gt;=$E14,BF$7&lt;=$F14),"■","")</x:f>
      </x:c>
      <x:c r="BG14" s="321" t="str">
        <x:f>IF(AND(BG$7&gt;=$E14,BG$7&lt;=$F14),"■","")</x:f>
      </x:c>
      <x:c r="BH14" s="321" t="str">
        <x:f>IF(AND(BH$7&gt;=$E14,BH$7&lt;=$F14),"■","")</x:f>
      </x:c>
      <x:c r="BI14" s="321" t="str">
        <x:f>IF(AND(BI$7&gt;=$E14,BI$7&lt;=$F14),"■","")</x:f>
      </x:c>
      <x:c r="BJ14" s="321" t="str">
        <x:f>IF(AND(BJ$7&gt;=$E14,BJ$7&lt;=$F14),"■","")</x:f>
      </x:c>
      <x:c r="BK14" s="321" t="str">
        <x:f>IF(AND(BK$7&gt;=$E14,BK$7&lt;=$F14),"■","")</x:f>
      </x:c>
      <x:c r="BL14" s="321" t="str">
        <x:f>IF(AND(BL$7&gt;=$E14,BL$7&lt;=$F14),"■","")</x:f>
      </x:c>
      <x:c r="BM14" s="321" t="str">
        <x:f>IF(AND(BM$7&gt;=$E14,BM$7&lt;=$F14),"■","")</x:f>
      </x:c>
      <x:c r="BN14" s="321" t="str">
        <x:f>IF(AND(BN$7&gt;=$E14,BN$7&lt;=$F14),"■","")</x:f>
      </x:c>
      <x:c r="BO14" s="321" t="str">
        <x:f>IF(AND(BO$7&gt;=$E14,BO$7&lt;=$F14),"■","")</x:f>
      </x:c>
      <x:c r="BP14" s="322" t="str">
        <x:f>IF(AND(BP$7&gt;=$E14,BP$7&lt;=$F14),"■","")</x:f>
      </x:c>
      <x:c r="BQ14" s="61"/>
    </x:row>
    <x:row r="15" ht="38" customHeight="1">
      <x:c r="A15" s="61"/>
      <x:c r="B15" s="273" t="str">
        <x:v>1.4</x:v>
      </x:c>
      <x:c r="C15" s="274" t="str">
        <x:v>WBS 수립·제출
[완료] 산출물: WBS · 제출 07/16</x:v>
      </x:c>
      <x:c r="D15" s="274" t="str">
        <x:v>송민지</x:v>
      </x:c>
      <x:c r="E15" s="275" t="n">
        <x:v>46213</x:v>
      </x:c>
      <x:c r="F15" s="275" t="n">
        <x:v>46219</x:v>
      </x:c>
      <x:c r="G15" s="276" t="n">
        <x:f t="shared" si="1">MAX(0,F15-E15)</x:f>
        <x:v>6</x:v>
      </x:c>
      <x:c r="H15" s="277" t="n">
        <x:v>1</x:v>
      </x:c>
      <x:c r="I15" s="295" t="str">
        <x:f>IF(AND(I$7&gt;=$E15,I$7&lt;=$F15),"■","")</x:f>
      </x:c>
      <x:c r="J15" s="296" t="str">
        <x:f>IF(AND(J$7&gt;=$E15,J$7&lt;=$F15),"■","")</x:f>
      </x:c>
      <x:c r="K15" s="297" t="str">
        <x:f>IF(AND(K$7&gt;=$E15,K$7&lt;=$F15),"■","")</x:f>
      </x:c>
      <x:c r="L15" s="297" t="str">
        <x:f>IF(AND(L$7&gt;=$E15,L$7&lt;=$F15),"■","")</x:f>
      </x:c>
      <x:c r="M15" s="297" t="str">
        <x:f>IF(AND(M$7&gt;=$E15,M$7&lt;=$F15),"■","")</x:f>
        <x:v>■</x:v>
      </x:c>
      <x:c r="N15" s="297" t="str">
        <x:f>IF(AND(N$7&gt;=$E15,N$7&lt;=$F15),"■","")</x:f>
        <x:v>■</x:v>
      </x:c>
      <x:c r="O15" s="297" t="str">
        <x:f>IF(AND(O$7&gt;=$E15,O$7&lt;=$F15),"■","")</x:f>
        <x:v>■</x:v>
      </x:c>
      <x:c r="P15" s="297" t="str">
        <x:f>IF(AND(P$7&gt;=$E15,P$7&lt;=$F15),"■","")</x:f>
        <x:v>■</x:v>
      </x:c>
      <x:c r="Q15" s="297" t="str">
        <x:f>IF(AND(Q$7&gt;=$E15,Q$7&lt;=$F15),"■","")</x:f>
        <x:v>■</x:v>
      </x:c>
      <x:c r="R15" s="297" t="str">
        <x:f>IF(AND(R$7&gt;=$E15,R$7&lt;=$F15),"■","")</x:f>
      </x:c>
      <x:c r="S15" s="297" t="str">
        <x:f>IF(AND(S$7&gt;=$E15,S$7&lt;=$F15),"■","")</x:f>
      </x:c>
      <x:c r="T15" s="297" t="str">
        <x:f>IF(AND(T$7&gt;=$E15,T$7&lt;=$F15),"■","")</x:f>
      </x:c>
      <x:c r="U15" s="297" t="str">
        <x:f>IF(AND(U$7&gt;=$E15,U$7&lt;=$F15),"■","")</x:f>
      </x:c>
      <x:c r="V15" s="297" t="str">
        <x:f>IF(AND(V$7&gt;=$E15,V$7&lt;=$F15),"■","")</x:f>
      </x:c>
      <x:c r="W15" s="297" t="str">
        <x:f>IF(AND(W$7&gt;=$E15,W$7&lt;=$F15),"■","")</x:f>
      </x:c>
      <x:c r="X15" s="305" t="str">
        <x:f>IF(AND(X$7&gt;=$E15,X$7&lt;=$F15),"■","")</x:f>
      </x:c>
      <x:c r="Y15" s="305" t="str">
        <x:f>IF(AND(Y$7&gt;=$E15,Y$7&lt;=$F15),"■","")</x:f>
      </x:c>
      <x:c r="Z15" s="305" t="str">
        <x:f>IF(AND(Z$7&gt;=$E15,Z$7&lt;=$F15),"■","")</x:f>
      </x:c>
      <x:c r="AA15" s="305" t="str">
        <x:f>IF(AND(AA$7&gt;=$E15,AA$7&lt;=$F15),"■","")</x:f>
      </x:c>
      <x:c r="AB15" s="305" t="str">
        <x:f>IF(AND(AB$7&gt;=$E15,AB$7&lt;=$F15),"■","")</x:f>
      </x:c>
      <x:c r="AC15" s="305" t="str">
        <x:f>IF(AND(AC$7&gt;=$E15,AC$7&lt;=$F15),"■","")</x:f>
      </x:c>
      <x:c r="AD15" s="305" t="str">
        <x:f>IF(AND(AD$7&gt;=$E15,AD$7&lt;=$F15),"■","")</x:f>
      </x:c>
      <x:c r="AE15" s="305" t="str">
        <x:f>IF(AND(AE$7&gt;=$E15,AE$7&lt;=$F15),"■","")</x:f>
      </x:c>
      <x:c r="AF15" s="305" t="str">
        <x:f>IF(AND(AF$7&gt;=$E15,AF$7&lt;=$F15),"■","")</x:f>
      </x:c>
      <x:c r="AG15" s="305" t="str">
        <x:f>IF(AND(AG$7&gt;=$E15,AG$7&lt;=$F15),"■","")</x:f>
      </x:c>
      <x:c r="AH15" s="305" t="str">
        <x:f>IF(AND(AH$7&gt;=$E15,AH$7&lt;=$F15),"■","")</x:f>
      </x:c>
      <x:c r="AI15" s="305" t="str">
        <x:f>IF(AND(AI$7&gt;=$E15,AI$7&lt;=$F15),"■","")</x:f>
      </x:c>
      <x:c r="AJ15" s="305" t="str">
        <x:f>IF(AND(AJ$7&gt;=$E15,AJ$7&lt;=$F15),"■","")</x:f>
      </x:c>
      <x:c r="AK15" s="305" t="str">
        <x:f>IF(AND(AK$7&gt;=$E15,AK$7&lt;=$F15),"■","")</x:f>
      </x:c>
      <x:c r="AL15" s="305" t="str">
        <x:f>IF(AND(AL$7&gt;=$E15,AL$7&lt;=$F15),"■","")</x:f>
      </x:c>
      <x:c r="AM15" s="311" t="str">
        <x:f>IF(AND(AM$7&gt;=$E15,AM$7&lt;=$F15),"■","")</x:f>
      </x:c>
      <x:c r="AN15" s="311" t="str">
        <x:f>IF(AND(AN$7&gt;=$E15,AN$7&lt;=$F15),"■","")</x:f>
      </x:c>
      <x:c r="AO15" s="311" t="str">
        <x:f>IF(AND(AO$7&gt;=$E15,AO$7&lt;=$F15),"■","")</x:f>
      </x:c>
      <x:c r="AP15" s="311" t="str">
        <x:f>IF(AND(AP$7&gt;=$E15,AP$7&lt;=$F15),"■","")</x:f>
      </x:c>
      <x:c r="AQ15" s="311" t="str">
        <x:f>IF(AND(AQ$7&gt;=$E15,AQ$7&lt;=$F15),"■","")</x:f>
      </x:c>
      <x:c r="AR15" s="311" t="str">
        <x:f>IF(AND(AR$7&gt;=$E15,AR$7&lt;=$F15),"■","")</x:f>
      </x:c>
      <x:c r="AS15" s="311" t="str">
        <x:f>IF(AND(AS$7&gt;=$E15,AS$7&lt;=$F15),"■","")</x:f>
      </x:c>
      <x:c r="AT15" s="311" t="str">
        <x:f>IF(AND(AT$7&gt;=$E15,AT$7&lt;=$F15),"■","")</x:f>
      </x:c>
      <x:c r="AU15" s="311" t="str">
        <x:f>IF(AND(AU$7&gt;=$E15,AU$7&lt;=$F15),"■","")</x:f>
      </x:c>
      <x:c r="AV15" s="311" t="str">
        <x:f>IF(AND(AV$7&gt;=$E15,AV$7&lt;=$F15),"■","")</x:f>
      </x:c>
      <x:c r="AW15" s="311" t="str">
        <x:f>IF(AND(AW$7&gt;=$E15,AW$7&lt;=$F15),"■","")</x:f>
      </x:c>
      <x:c r="AX15" s="311" t="str">
        <x:f>IF(AND(AX$7&gt;=$E15,AX$7&lt;=$F15),"■","")</x:f>
      </x:c>
      <x:c r="AY15" s="311" t="str">
        <x:f>IF(AND(AY$7&gt;=$E15,AY$7&lt;=$F15),"■","")</x:f>
      </x:c>
      <x:c r="AZ15" s="311" t="str">
        <x:f>IF(AND(AZ$7&gt;=$E15,AZ$7&lt;=$F15),"■","")</x:f>
      </x:c>
      <x:c r="BA15" s="311" t="str">
        <x:f>IF(AND(BA$7&gt;=$E15,BA$7&lt;=$F15),"■","")</x:f>
      </x:c>
      <x:c r="BB15" s="321" t="str">
        <x:f>IF(AND(BB$7&gt;=$E15,BB$7&lt;=$F15),"■","")</x:f>
      </x:c>
      <x:c r="BC15" s="321" t="str">
        <x:f>IF(AND(BC$7&gt;=$E15,BC$7&lt;=$F15),"■","")</x:f>
      </x:c>
      <x:c r="BD15" s="321" t="str">
        <x:f>IF(AND(BD$7&gt;=$E15,BD$7&lt;=$F15),"■","")</x:f>
      </x:c>
      <x:c r="BE15" s="321" t="str">
        <x:f>IF(AND(BE$7&gt;=$E15,BE$7&lt;=$F15),"■","")</x:f>
      </x:c>
      <x:c r="BF15" s="321" t="str">
        <x:f>IF(AND(BF$7&gt;=$E15,BF$7&lt;=$F15),"■","")</x:f>
      </x:c>
      <x:c r="BG15" s="321" t="str">
        <x:f>IF(AND(BG$7&gt;=$E15,BG$7&lt;=$F15),"■","")</x:f>
      </x:c>
      <x:c r="BH15" s="321" t="str">
        <x:f>IF(AND(BH$7&gt;=$E15,BH$7&lt;=$F15),"■","")</x:f>
      </x:c>
      <x:c r="BI15" s="321" t="str">
        <x:f>IF(AND(BI$7&gt;=$E15,BI$7&lt;=$F15),"■","")</x:f>
      </x:c>
      <x:c r="BJ15" s="321" t="str">
        <x:f>IF(AND(BJ$7&gt;=$E15,BJ$7&lt;=$F15),"■","")</x:f>
      </x:c>
      <x:c r="BK15" s="321" t="str">
        <x:f>IF(AND(BK$7&gt;=$E15,BK$7&lt;=$F15),"■","")</x:f>
      </x:c>
      <x:c r="BL15" s="321" t="str">
        <x:f>IF(AND(BL$7&gt;=$E15,BL$7&lt;=$F15),"■","")</x:f>
      </x:c>
      <x:c r="BM15" s="321" t="str">
        <x:f>IF(AND(BM$7&gt;=$E15,BM$7&lt;=$F15),"■","")</x:f>
      </x:c>
      <x:c r="BN15" s="321" t="str">
        <x:f>IF(AND(BN$7&gt;=$E15,BN$7&lt;=$F15),"■","")</x:f>
      </x:c>
      <x:c r="BO15" s="321" t="str">
        <x:f>IF(AND(BO$7&gt;=$E15,BO$7&lt;=$F15),"■","")</x:f>
      </x:c>
      <x:c r="BP15" s="322" t="str">
        <x:f>IF(AND(BP$7&gt;=$E15,BP$7&lt;=$F15),"■","")</x:f>
      </x:c>
      <x:c r="BQ15" s="61"/>
    </x:row>
    <x:row r="16" ht="38" customHeight="1">
      <x:c r="A16" s="61"/>
      <x:c r="B16" s="273" t="str">
        <x:v>1.5</x:v>
      </x:c>
      <x:c r="C16" s="274" t="str">
        <x:v>프로젝트 기획서 작성·검토
[검토] 산출물: 프로젝트 기획서 · 제출 07/24</x:v>
      </x:c>
      <x:c r="D16" s="274" t="str">
        <x:v>박준희·송민지</x:v>
      </x:c>
      <x:c r="E16" s="275" t="n">
        <x:v>46216</x:v>
      </x:c>
      <x:c r="F16" s="275" t="n">
        <x:v>46227</x:v>
      </x:c>
      <x:c r="G16" s="276" t="n">
        <x:f t="shared" si="1">MAX(0,F16-E16)</x:f>
        <x:v>11</x:v>
      </x:c>
      <x:c r="H16" s="277" t="n">
        <x:v>0.8</x:v>
      </x:c>
      <x:c r="I16" s="295" t="str">
        <x:f>IF(AND(I$7&gt;=$E16,I$7&lt;=$F16),"■","")</x:f>
      </x:c>
      <x:c r="J16" s="296" t="str">
        <x:f>IF(AND(J$7&gt;=$E16,J$7&lt;=$F16),"■","")</x:f>
      </x:c>
      <x:c r="K16" s="297" t="str">
        <x:f>IF(AND(K$7&gt;=$E16,K$7&lt;=$F16),"■","")</x:f>
      </x:c>
      <x:c r="L16" s="297" t="str">
        <x:f>IF(AND(L$7&gt;=$E16,L$7&lt;=$F16),"■","")</x:f>
      </x:c>
      <x:c r="M16" s="297" t="str">
        <x:f>IF(AND(M$7&gt;=$E16,M$7&lt;=$F16),"■","")</x:f>
      </x:c>
      <x:c r="N16" s="297" t="str">
        <x:f>IF(AND(N$7&gt;=$E16,N$7&lt;=$F16),"■","")</x:f>
        <x:v>■</x:v>
      </x:c>
      <x:c r="O16" s="297" t="str">
        <x:f>IF(AND(O$7&gt;=$E16,O$7&lt;=$F16),"■","")</x:f>
        <x:v>■</x:v>
      </x:c>
      <x:c r="P16" s="297" t="str">
        <x:f>IF(AND(P$7&gt;=$E16,P$7&lt;=$F16),"■","")</x:f>
        <x:v>■</x:v>
      </x:c>
      <x:c r="Q16" s="297" t="str">
        <x:f>IF(AND(Q$7&gt;=$E16,Q$7&lt;=$F16),"■","")</x:f>
        <x:v>■</x:v>
      </x:c>
      <x:c r="R16" s="297" t="str">
        <x:f>IF(AND(R$7&gt;=$E16,R$7&lt;=$F16),"■","")</x:f>
        <x:v>■</x:v>
      </x:c>
      <x:c r="S16" s="297" t="str">
        <x:f>IF(AND(S$7&gt;=$E16,S$7&lt;=$F16),"■","")</x:f>
        <x:v>■</x:v>
      </x:c>
      <x:c r="T16" s="297" t="str">
        <x:f>IF(AND(T$7&gt;=$E16,T$7&lt;=$F16),"■","")</x:f>
        <x:v>■</x:v>
      </x:c>
      <x:c r="U16" s="297" t="str">
        <x:f>IF(AND(U$7&gt;=$E16,U$7&lt;=$F16),"■","")</x:f>
        <x:v>■</x:v>
      </x:c>
      <x:c r="V16" s="297" t="str">
        <x:f>IF(AND(V$7&gt;=$E16,V$7&lt;=$F16),"■","")</x:f>
        <x:v>■</x:v>
      </x:c>
      <x:c r="W16" s="297" t="str">
        <x:f>IF(AND(W$7&gt;=$E16,W$7&lt;=$F16),"■","")</x:f>
        <x:v>■</x:v>
      </x:c>
      <x:c r="X16" s="305" t="str">
        <x:f>IF(AND(X$7&gt;=$E16,X$7&lt;=$F16),"■","")</x:f>
      </x:c>
      <x:c r="Y16" s="305" t="str">
        <x:f>IF(AND(Y$7&gt;=$E16,Y$7&lt;=$F16),"■","")</x:f>
      </x:c>
      <x:c r="Z16" s="305" t="str">
        <x:f>IF(AND(Z$7&gt;=$E16,Z$7&lt;=$F16),"■","")</x:f>
      </x:c>
      <x:c r="AA16" s="305" t="str">
        <x:f>IF(AND(AA$7&gt;=$E16,AA$7&lt;=$F16),"■","")</x:f>
      </x:c>
      <x:c r="AB16" s="305" t="str">
        <x:f>IF(AND(AB$7&gt;=$E16,AB$7&lt;=$F16),"■","")</x:f>
      </x:c>
      <x:c r="AC16" s="305" t="str">
        <x:f>IF(AND(AC$7&gt;=$E16,AC$7&lt;=$F16),"■","")</x:f>
      </x:c>
      <x:c r="AD16" s="305" t="str">
        <x:f>IF(AND(AD$7&gt;=$E16,AD$7&lt;=$F16),"■","")</x:f>
      </x:c>
      <x:c r="AE16" s="305" t="str">
        <x:f>IF(AND(AE$7&gt;=$E16,AE$7&lt;=$F16),"■","")</x:f>
      </x:c>
      <x:c r="AF16" s="305" t="str">
        <x:f>IF(AND(AF$7&gt;=$E16,AF$7&lt;=$F16),"■","")</x:f>
      </x:c>
      <x:c r="AG16" s="305" t="str">
        <x:f>IF(AND(AG$7&gt;=$E16,AG$7&lt;=$F16),"■","")</x:f>
      </x:c>
      <x:c r="AH16" s="305" t="str">
        <x:f>IF(AND(AH$7&gt;=$E16,AH$7&lt;=$F16),"■","")</x:f>
      </x:c>
      <x:c r="AI16" s="305" t="str">
        <x:f>IF(AND(AI$7&gt;=$E16,AI$7&lt;=$F16),"■","")</x:f>
      </x:c>
      <x:c r="AJ16" s="305" t="str">
        <x:f>IF(AND(AJ$7&gt;=$E16,AJ$7&lt;=$F16),"■","")</x:f>
      </x:c>
      <x:c r="AK16" s="305" t="str">
        <x:f>IF(AND(AK$7&gt;=$E16,AK$7&lt;=$F16),"■","")</x:f>
      </x:c>
      <x:c r="AL16" s="305" t="str">
        <x:f>IF(AND(AL$7&gt;=$E16,AL$7&lt;=$F16),"■","")</x:f>
      </x:c>
      <x:c r="AM16" s="311" t="str">
        <x:f>IF(AND(AM$7&gt;=$E16,AM$7&lt;=$F16),"■","")</x:f>
      </x:c>
      <x:c r="AN16" s="311" t="str">
        <x:f>IF(AND(AN$7&gt;=$E16,AN$7&lt;=$F16),"■","")</x:f>
      </x:c>
      <x:c r="AO16" s="311" t="str">
        <x:f>IF(AND(AO$7&gt;=$E16,AO$7&lt;=$F16),"■","")</x:f>
      </x:c>
      <x:c r="AP16" s="311" t="str">
        <x:f>IF(AND(AP$7&gt;=$E16,AP$7&lt;=$F16),"■","")</x:f>
      </x:c>
      <x:c r="AQ16" s="311" t="str">
        <x:f>IF(AND(AQ$7&gt;=$E16,AQ$7&lt;=$F16),"■","")</x:f>
      </x:c>
      <x:c r="AR16" s="311" t="str">
        <x:f>IF(AND(AR$7&gt;=$E16,AR$7&lt;=$F16),"■","")</x:f>
      </x:c>
      <x:c r="AS16" s="311" t="str">
        <x:f>IF(AND(AS$7&gt;=$E16,AS$7&lt;=$F16),"■","")</x:f>
      </x:c>
      <x:c r="AT16" s="311" t="str">
        <x:f>IF(AND(AT$7&gt;=$E16,AT$7&lt;=$F16),"■","")</x:f>
      </x:c>
      <x:c r="AU16" s="311" t="str">
        <x:f>IF(AND(AU$7&gt;=$E16,AU$7&lt;=$F16),"■","")</x:f>
      </x:c>
      <x:c r="AV16" s="311" t="str">
        <x:f>IF(AND(AV$7&gt;=$E16,AV$7&lt;=$F16),"■","")</x:f>
      </x:c>
      <x:c r="AW16" s="311" t="str">
        <x:f>IF(AND(AW$7&gt;=$E16,AW$7&lt;=$F16),"■","")</x:f>
      </x:c>
      <x:c r="AX16" s="311" t="str">
        <x:f>IF(AND(AX$7&gt;=$E16,AX$7&lt;=$F16),"■","")</x:f>
      </x:c>
      <x:c r="AY16" s="311" t="str">
        <x:f>IF(AND(AY$7&gt;=$E16,AY$7&lt;=$F16),"■","")</x:f>
      </x:c>
      <x:c r="AZ16" s="311" t="str">
        <x:f>IF(AND(AZ$7&gt;=$E16,AZ$7&lt;=$F16),"■","")</x:f>
      </x:c>
      <x:c r="BA16" s="311" t="str">
        <x:f>IF(AND(BA$7&gt;=$E16,BA$7&lt;=$F16),"■","")</x:f>
      </x:c>
      <x:c r="BB16" s="321" t="str">
        <x:f>IF(AND(BB$7&gt;=$E16,BB$7&lt;=$F16),"■","")</x:f>
      </x:c>
      <x:c r="BC16" s="321" t="str">
        <x:f>IF(AND(BC$7&gt;=$E16,BC$7&lt;=$F16),"■","")</x:f>
      </x:c>
      <x:c r="BD16" s="321" t="str">
        <x:f>IF(AND(BD$7&gt;=$E16,BD$7&lt;=$F16),"■","")</x:f>
      </x:c>
      <x:c r="BE16" s="321" t="str">
        <x:f>IF(AND(BE$7&gt;=$E16,BE$7&lt;=$F16),"■","")</x:f>
      </x:c>
      <x:c r="BF16" s="321" t="str">
        <x:f>IF(AND(BF$7&gt;=$E16,BF$7&lt;=$F16),"■","")</x:f>
      </x:c>
      <x:c r="BG16" s="321" t="str">
        <x:f>IF(AND(BG$7&gt;=$E16,BG$7&lt;=$F16),"■","")</x:f>
      </x:c>
      <x:c r="BH16" s="321" t="str">
        <x:f>IF(AND(BH$7&gt;=$E16,BH$7&lt;=$F16),"■","")</x:f>
      </x:c>
      <x:c r="BI16" s="321" t="str">
        <x:f>IF(AND(BI$7&gt;=$E16,BI$7&lt;=$F16),"■","")</x:f>
      </x:c>
      <x:c r="BJ16" s="321" t="str">
        <x:f>IF(AND(BJ$7&gt;=$E16,BJ$7&lt;=$F16),"■","")</x:f>
      </x:c>
      <x:c r="BK16" s="321" t="str">
        <x:f>IF(AND(BK$7&gt;=$E16,BK$7&lt;=$F16),"■","")</x:f>
      </x:c>
      <x:c r="BL16" s="321" t="str">
        <x:f>IF(AND(BL$7&gt;=$E16,BL$7&lt;=$F16),"■","")</x:f>
      </x:c>
      <x:c r="BM16" s="321" t="str">
        <x:f>IF(AND(BM$7&gt;=$E16,BM$7&lt;=$F16),"■","")</x:f>
      </x:c>
      <x:c r="BN16" s="321" t="str">
        <x:f>IF(AND(BN$7&gt;=$E16,BN$7&lt;=$F16),"■","")</x:f>
      </x:c>
      <x:c r="BO16" s="321" t="str">
        <x:f>IF(AND(BO$7&gt;=$E16,BO$7&lt;=$F16),"■","")</x:f>
      </x:c>
      <x:c r="BP16" s="322" t="str">
        <x:f>IF(AND(BP$7&gt;=$E16,BP$7&lt;=$F16),"■","")</x:f>
      </x:c>
      <x:c r="BQ16" s="61"/>
    </x:row>
    <x:row r="17" ht="38" customHeight="1">
      <x:c r="A17" s="61"/>
      <x:c r="B17" s="273" t="str">
        <x:v>1.6</x:v>
      </x:c>
      <x:c r="C17" s="274" t="str">
        <x:v>화면설계서 작성·제출(후속 동기화 보류)
[진행] 산출물: 화면설계서 · 제출 07/24</x:v>
      </x:c>
      <x:c r="D17" s="274" t="str">
        <x:v>송민지</x:v>
      </x:c>
      <x:c r="E17" s="275" t="n">
        <x:v>46216</x:v>
      </x:c>
      <x:c r="F17" s="275" t="n">
        <x:v>46227</x:v>
      </x:c>
      <x:c r="G17" s="276" t="n">
        <x:f t="shared" si="1">MAX(0,F17-E17)</x:f>
        <x:v>11</x:v>
      </x:c>
      <x:c r="H17" s="277" t="n">
        <x:v>0.5</x:v>
      </x:c>
      <x:c r="I17" s="295" t="str">
        <x:f>IF(AND(I$7&gt;=$E17,I$7&lt;=$F17),"■","")</x:f>
      </x:c>
      <x:c r="J17" s="296" t="str">
        <x:f>IF(AND(J$7&gt;=$E17,J$7&lt;=$F17),"■","")</x:f>
      </x:c>
      <x:c r="K17" s="297" t="str">
        <x:f>IF(AND(K$7&gt;=$E17,K$7&lt;=$F17),"■","")</x:f>
      </x:c>
      <x:c r="L17" s="297" t="str">
        <x:f>IF(AND(L$7&gt;=$E17,L$7&lt;=$F17),"■","")</x:f>
      </x:c>
      <x:c r="M17" s="297" t="str">
        <x:f>IF(AND(M$7&gt;=$E17,M$7&lt;=$F17),"■","")</x:f>
      </x:c>
      <x:c r="N17" s="297" t="str">
        <x:f>IF(AND(N$7&gt;=$E17,N$7&lt;=$F17),"■","")</x:f>
        <x:v>■</x:v>
      </x:c>
      <x:c r="O17" s="297" t="str">
        <x:f>IF(AND(O$7&gt;=$E17,O$7&lt;=$F17),"■","")</x:f>
        <x:v>■</x:v>
      </x:c>
      <x:c r="P17" s="297" t="str">
        <x:f>IF(AND(P$7&gt;=$E17,P$7&lt;=$F17),"■","")</x:f>
        <x:v>■</x:v>
      </x:c>
      <x:c r="Q17" s="297" t="str">
        <x:f>IF(AND(Q$7&gt;=$E17,Q$7&lt;=$F17),"■","")</x:f>
        <x:v>■</x:v>
      </x:c>
      <x:c r="R17" s="297" t="str">
        <x:f>IF(AND(R$7&gt;=$E17,R$7&lt;=$F17),"■","")</x:f>
        <x:v>■</x:v>
      </x:c>
      <x:c r="S17" s="297" t="str">
        <x:f>IF(AND(S$7&gt;=$E17,S$7&lt;=$F17),"■","")</x:f>
        <x:v>■</x:v>
      </x:c>
      <x:c r="T17" s="297" t="str">
        <x:f>IF(AND(T$7&gt;=$E17,T$7&lt;=$F17),"■","")</x:f>
        <x:v>■</x:v>
      </x:c>
      <x:c r="U17" s="297" t="str">
        <x:f>IF(AND(U$7&gt;=$E17,U$7&lt;=$F17),"■","")</x:f>
        <x:v>■</x:v>
      </x:c>
      <x:c r="V17" s="297" t="str">
        <x:f>IF(AND(V$7&gt;=$E17,V$7&lt;=$F17),"■","")</x:f>
        <x:v>■</x:v>
      </x:c>
      <x:c r="W17" s="297" t="str">
        <x:f>IF(AND(W$7&gt;=$E17,W$7&lt;=$F17),"■","")</x:f>
        <x:v>■</x:v>
      </x:c>
      <x:c r="X17" s="305" t="str">
        <x:f>IF(AND(X$7&gt;=$E17,X$7&lt;=$F17),"■","")</x:f>
      </x:c>
      <x:c r="Y17" s="305" t="str">
        <x:f>IF(AND(Y$7&gt;=$E17,Y$7&lt;=$F17),"■","")</x:f>
      </x:c>
      <x:c r="Z17" s="305" t="str">
        <x:f>IF(AND(Z$7&gt;=$E17,Z$7&lt;=$F17),"■","")</x:f>
      </x:c>
      <x:c r="AA17" s="305" t="str">
        <x:f>IF(AND(AA$7&gt;=$E17,AA$7&lt;=$F17),"■","")</x:f>
      </x:c>
      <x:c r="AB17" s="305" t="str">
        <x:f>IF(AND(AB$7&gt;=$E17,AB$7&lt;=$F17),"■","")</x:f>
      </x:c>
      <x:c r="AC17" s="305" t="str">
        <x:f>IF(AND(AC$7&gt;=$E17,AC$7&lt;=$F17),"■","")</x:f>
      </x:c>
      <x:c r="AD17" s="305" t="str">
        <x:f>IF(AND(AD$7&gt;=$E17,AD$7&lt;=$F17),"■","")</x:f>
      </x:c>
      <x:c r="AE17" s="305" t="str">
        <x:f>IF(AND(AE$7&gt;=$E17,AE$7&lt;=$F17),"■","")</x:f>
      </x:c>
      <x:c r="AF17" s="305" t="str">
        <x:f>IF(AND(AF$7&gt;=$E17,AF$7&lt;=$F17),"■","")</x:f>
      </x:c>
      <x:c r="AG17" s="305" t="str">
        <x:f>IF(AND(AG$7&gt;=$E17,AG$7&lt;=$F17),"■","")</x:f>
      </x:c>
      <x:c r="AH17" s="305" t="str">
        <x:f>IF(AND(AH$7&gt;=$E17,AH$7&lt;=$F17),"■","")</x:f>
      </x:c>
      <x:c r="AI17" s="305" t="str">
        <x:f>IF(AND(AI$7&gt;=$E17,AI$7&lt;=$F17),"■","")</x:f>
      </x:c>
      <x:c r="AJ17" s="305" t="str">
        <x:f>IF(AND(AJ$7&gt;=$E17,AJ$7&lt;=$F17),"■","")</x:f>
      </x:c>
      <x:c r="AK17" s="305" t="str">
        <x:f>IF(AND(AK$7&gt;=$E17,AK$7&lt;=$F17),"■","")</x:f>
      </x:c>
      <x:c r="AL17" s="305" t="str">
        <x:f>IF(AND(AL$7&gt;=$E17,AL$7&lt;=$F17),"■","")</x:f>
      </x:c>
      <x:c r="AM17" s="311" t="str">
        <x:f>IF(AND(AM$7&gt;=$E17,AM$7&lt;=$F17),"■","")</x:f>
      </x:c>
      <x:c r="AN17" s="311" t="str">
        <x:f>IF(AND(AN$7&gt;=$E17,AN$7&lt;=$F17),"■","")</x:f>
      </x:c>
      <x:c r="AO17" s="311" t="str">
        <x:f>IF(AND(AO$7&gt;=$E17,AO$7&lt;=$F17),"■","")</x:f>
      </x:c>
      <x:c r="AP17" s="311" t="str">
        <x:f>IF(AND(AP$7&gt;=$E17,AP$7&lt;=$F17),"■","")</x:f>
      </x:c>
      <x:c r="AQ17" s="311" t="str">
        <x:f>IF(AND(AQ$7&gt;=$E17,AQ$7&lt;=$F17),"■","")</x:f>
      </x:c>
      <x:c r="AR17" s="311" t="str">
        <x:f>IF(AND(AR$7&gt;=$E17,AR$7&lt;=$F17),"■","")</x:f>
      </x:c>
      <x:c r="AS17" s="311" t="str">
        <x:f>IF(AND(AS$7&gt;=$E17,AS$7&lt;=$F17),"■","")</x:f>
      </x:c>
      <x:c r="AT17" s="311" t="str">
        <x:f>IF(AND(AT$7&gt;=$E17,AT$7&lt;=$F17),"■","")</x:f>
      </x:c>
      <x:c r="AU17" s="311" t="str">
        <x:f>IF(AND(AU$7&gt;=$E17,AU$7&lt;=$F17),"■","")</x:f>
      </x:c>
      <x:c r="AV17" s="311" t="str">
        <x:f>IF(AND(AV$7&gt;=$E17,AV$7&lt;=$F17),"■","")</x:f>
      </x:c>
      <x:c r="AW17" s="311" t="str">
        <x:f>IF(AND(AW$7&gt;=$E17,AW$7&lt;=$F17),"■","")</x:f>
      </x:c>
      <x:c r="AX17" s="311" t="str">
        <x:f>IF(AND(AX$7&gt;=$E17,AX$7&lt;=$F17),"■","")</x:f>
      </x:c>
      <x:c r="AY17" s="311" t="str">
        <x:f>IF(AND(AY$7&gt;=$E17,AY$7&lt;=$F17),"■","")</x:f>
      </x:c>
      <x:c r="AZ17" s="311" t="str">
        <x:f>IF(AND(AZ$7&gt;=$E17,AZ$7&lt;=$F17),"■","")</x:f>
      </x:c>
      <x:c r="BA17" s="311" t="str">
        <x:f>IF(AND(BA$7&gt;=$E17,BA$7&lt;=$F17),"■","")</x:f>
      </x:c>
      <x:c r="BB17" s="321" t="str">
        <x:f>IF(AND(BB$7&gt;=$E17,BB$7&lt;=$F17),"■","")</x:f>
      </x:c>
      <x:c r="BC17" s="321" t="str">
        <x:f>IF(AND(BC$7&gt;=$E17,BC$7&lt;=$F17),"■","")</x:f>
      </x:c>
      <x:c r="BD17" s="321" t="str">
        <x:f>IF(AND(BD$7&gt;=$E17,BD$7&lt;=$F17),"■","")</x:f>
      </x:c>
      <x:c r="BE17" s="321" t="str">
        <x:f>IF(AND(BE$7&gt;=$E17,BE$7&lt;=$F17),"■","")</x:f>
      </x:c>
      <x:c r="BF17" s="321" t="str">
        <x:f>IF(AND(BF$7&gt;=$E17,BF$7&lt;=$F17),"■","")</x:f>
      </x:c>
      <x:c r="BG17" s="321" t="str">
        <x:f>IF(AND(BG$7&gt;=$E17,BG$7&lt;=$F17),"■","")</x:f>
      </x:c>
      <x:c r="BH17" s="321" t="str">
        <x:f>IF(AND(BH$7&gt;=$E17,BH$7&lt;=$F17),"■","")</x:f>
      </x:c>
      <x:c r="BI17" s="321" t="str">
        <x:f>IF(AND(BI$7&gt;=$E17,BI$7&lt;=$F17),"■","")</x:f>
      </x:c>
      <x:c r="BJ17" s="321" t="str">
        <x:f>IF(AND(BJ$7&gt;=$E17,BJ$7&lt;=$F17),"■","")</x:f>
      </x:c>
      <x:c r="BK17" s="321" t="str">
        <x:f>IF(AND(BK$7&gt;=$E17,BK$7&lt;=$F17),"■","")</x:f>
      </x:c>
      <x:c r="BL17" s="321" t="str">
        <x:f>IF(AND(BL$7&gt;=$E17,BL$7&lt;=$F17),"■","")</x:f>
      </x:c>
      <x:c r="BM17" s="321" t="str">
        <x:f>IF(AND(BM$7&gt;=$E17,BM$7&lt;=$F17),"■","")</x:f>
      </x:c>
      <x:c r="BN17" s="321" t="str">
        <x:f>IF(AND(BN$7&gt;=$E17,BN$7&lt;=$F17),"■","")</x:f>
      </x:c>
      <x:c r="BO17" s="321" t="str">
        <x:f>IF(AND(BO$7&gt;=$E17,BO$7&lt;=$F17),"■","")</x:f>
      </x:c>
      <x:c r="BP17" s="322" t="str">
        <x:f>IF(AND(BP$7&gt;=$E17,BP$7&lt;=$F17),"■","")</x:f>
      </x:c>
      <x:c r="BQ17" s="61"/>
    </x:row>
    <x:row r="18" ht="38" customHeight="1">
      <x:c r="A18" s="61"/>
      <x:c r="B18" s="278" t="str">
        <x:v>1.7★</x:v>
      </x:c>
      <x:c r="C18" s="279" t="str">
        <x:v>A~D 기능·최소 테이블·평점 우선 조회·원본/학습 분리·권한·8 intent·평가·LLM 모델 최소 합의
[검토] 산출물: 요구사항·연동 기준·백엔드 경계 합의 기록</x:v>
      </x:c>
      <x:c r="D18" s="274" t="str">
        <x:v>박준희·김재홍·정승·윤대성</x:v>
      </x:c>
      <x:c r="E18" s="280" t="n">
        <x:v>46230</x:v>
      </x:c>
      <x:c r="F18" s="280" t="n">
        <x:v>46231</x:v>
      </x:c>
      <x:c r="G18" s="281" t="n">
        <x:f t="shared" si="1">MAX(0,F18-E18)</x:f>
        <x:v>1</x:v>
      </x:c>
      <x:c r="H18" s="282" t="n">
        <x:v>0.8</x:v>
      </x:c>
      <x:c r="I18" s="298" t="str">
        <x:f>IF(AND(I$7&gt;=$E18,I$7&lt;=$F18),"■","")</x:f>
      </x:c>
      <x:c r="J18" s="299" t="str">
        <x:f>IF(AND(J$7&gt;=$E18,J$7&lt;=$F18),"■","")</x:f>
      </x:c>
      <x:c r="K18" s="300" t="str">
        <x:f>IF(AND(K$7&gt;=$E18,K$7&lt;=$F18),"■","")</x:f>
      </x:c>
      <x:c r="L18" s="300" t="str">
        <x:f>IF(AND(L$7&gt;=$E18,L$7&lt;=$F18),"■","")</x:f>
      </x:c>
      <x:c r="M18" s="300" t="str">
        <x:f>IF(AND(M$7&gt;=$E18,M$7&lt;=$F18),"■","")</x:f>
      </x:c>
      <x:c r="N18" s="300" t="str">
        <x:f>IF(AND(N$7&gt;=$E18,N$7&lt;=$F18),"■","")</x:f>
      </x:c>
      <x:c r="O18" s="300" t="str">
        <x:f>IF(AND(O$7&gt;=$E18,O$7&lt;=$F18),"■","")</x:f>
      </x:c>
      <x:c r="P18" s="300" t="str">
        <x:f>IF(AND(P$7&gt;=$E18,P$7&lt;=$F18),"■","")</x:f>
      </x:c>
      <x:c r="Q18" s="300" t="str">
        <x:f>IF(AND(Q$7&gt;=$E18,Q$7&lt;=$F18),"■","")</x:f>
      </x:c>
      <x:c r="R18" s="300" t="str">
        <x:f>IF(AND(R$7&gt;=$E18,R$7&lt;=$F18),"■","")</x:f>
      </x:c>
      <x:c r="S18" s="300" t="str">
        <x:f>IF(AND(S$7&gt;=$E18,S$7&lt;=$F18),"■","")</x:f>
      </x:c>
      <x:c r="T18" s="300" t="str">
        <x:f>IF(AND(T$7&gt;=$E18,T$7&lt;=$F18),"■","")</x:f>
      </x:c>
      <x:c r="U18" s="300" t="str">
        <x:f>IF(AND(U$7&gt;=$E18,U$7&lt;=$F18),"■","")</x:f>
      </x:c>
      <x:c r="V18" s="300" t="str">
        <x:f>IF(AND(V$7&gt;=$E18,V$7&lt;=$F18),"■","")</x:f>
      </x:c>
      <x:c r="W18" s="300" t="str">
        <x:f>IF(AND(W$7&gt;=$E18,W$7&lt;=$F18),"■","")</x:f>
      </x:c>
      <x:c r="X18" s="306" t="str">
        <x:f>IF(AND(X$7&gt;=$E18,X$7&lt;=$F18),"■","")</x:f>
        <x:v>■</x:v>
      </x:c>
      <x:c r="Y18" s="306" t="str">
        <x:f>IF(AND(Y$7&gt;=$E18,Y$7&lt;=$F18),"■","")</x:f>
        <x:v>■</x:v>
      </x:c>
      <x:c r="Z18" s="306" t="str">
        <x:f>IF(AND(Z$7&gt;=$E18,Z$7&lt;=$F18),"■","")</x:f>
      </x:c>
      <x:c r="AA18" s="306" t="str">
        <x:f>IF(AND(AA$7&gt;=$E18,AA$7&lt;=$F18),"■","")</x:f>
      </x:c>
      <x:c r="AB18" s="306" t="str">
        <x:f>IF(AND(AB$7&gt;=$E18,AB$7&lt;=$F18),"■","")</x:f>
      </x:c>
      <x:c r="AC18" s="306" t="str">
        <x:f>IF(AND(AC$7&gt;=$E18,AC$7&lt;=$F18),"■","")</x:f>
      </x:c>
      <x:c r="AD18" s="306" t="str">
        <x:f>IF(AND(AD$7&gt;=$E18,AD$7&lt;=$F18),"■","")</x:f>
      </x:c>
      <x:c r="AE18" s="306" t="str">
        <x:f>IF(AND(AE$7&gt;=$E18,AE$7&lt;=$F18),"■","")</x:f>
      </x:c>
      <x:c r="AF18" s="306" t="str">
        <x:f>IF(AND(AF$7&gt;=$E18,AF$7&lt;=$F18),"■","")</x:f>
      </x:c>
      <x:c r="AG18" s="306" t="str">
        <x:f>IF(AND(AG$7&gt;=$E18,AG$7&lt;=$F18),"■","")</x:f>
      </x:c>
      <x:c r="AH18" s="306" t="str">
        <x:f>IF(AND(AH$7&gt;=$E18,AH$7&lt;=$F18),"■","")</x:f>
      </x:c>
      <x:c r="AI18" s="306" t="str">
        <x:f>IF(AND(AI$7&gt;=$E18,AI$7&lt;=$F18),"■","")</x:f>
      </x:c>
      <x:c r="AJ18" s="306" t="str">
        <x:f>IF(AND(AJ$7&gt;=$E18,AJ$7&lt;=$F18),"■","")</x:f>
      </x:c>
      <x:c r="AK18" s="306" t="str">
        <x:f>IF(AND(AK$7&gt;=$E18,AK$7&lt;=$F18),"■","")</x:f>
      </x:c>
      <x:c r="AL18" s="306" t="str">
        <x:f>IF(AND(AL$7&gt;=$E18,AL$7&lt;=$F18),"■","")</x:f>
      </x:c>
      <x:c r="AM18" s="312" t="str">
        <x:f>IF(AND(AM$7&gt;=$E18,AM$7&lt;=$F18),"■","")</x:f>
      </x:c>
      <x:c r="AN18" s="312" t="str">
        <x:f>IF(AND(AN$7&gt;=$E18,AN$7&lt;=$F18),"■","")</x:f>
      </x:c>
      <x:c r="AO18" s="312" t="str">
        <x:f>IF(AND(AO$7&gt;=$E18,AO$7&lt;=$F18),"■","")</x:f>
      </x:c>
      <x:c r="AP18" s="312" t="str">
        <x:f>IF(AND(AP$7&gt;=$E18,AP$7&lt;=$F18),"■","")</x:f>
      </x:c>
      <x:c r="AQ18" s="312" t="str">
        <x:f>IF(AND(AQ$7&gt;=$E18,AQ$7&lt;=$F18),"■","")</x:f>
      </x:c>
      <x:c r="AR18" s="312" t="str">
        <x:f>IF(AND(AR$7&gt;=$E18,AR$7&lt;=$F18),"■","")</x:f>
      </x:c>
      <x:c r="AS18" s="312" t="str">
        <x:f>IF(AND(AS$7&gt;=$E18,AS$7&lt;=$F18),"■","")</x:f>
      </x:c>
      <x:c r="AT18" s="312" t="str">
        <x:f>IF(AND(AT$7&gt;=$E18,AT$7&lt;=$F18),"■","")</x:f>
      </x:c>
      <x:c r="AU18" s="312" t="str">
        <x:f>IF(AND(AU$7&gt;=$E18,AU$7&lt;=$F18),"■","")</x:f>
      </x:c>
      <x:c r="AV18" s="312" t="str">
        <x:f>IF(AND(AV$7&gt;=$E18,AV$7&lt;=$F18),"■","")</x:f>
      </x:c>
      <x:c r="AW18" s="312" t="str">
        <x:f>IF(AND(AW$7&gt;=$E18,AW$7&lt;=$F18),"■","")</x:f>
      </x:c>
      <x:c r="AX18" s="312" t="str">
        <x:f>IF(AND(AX$7&gt;=$E18,AX$7&lt;=$F18),"■","")</x:f>
      </x:c>
      <x:c r="AY18" s="312" t="str">
        <x:f>IF(AND(AY$7&gt;=$E18,AY$7&lt;=$F18),"■","")</x:f>
      </x:c>
      <x:c r="AZ18" s="312" t="str">
        <x:f>IF(AND(AZ$7&gt;=$E18,AZ$7&lt;=$F18),"■","")</x:f>
      </x:c>
      <x:c r="BA18" s="312" t="str">
        <x:f>IF(AND(BA$7&gt;=$E18,BA$7&lt;=$F18),"■","")</x:f>
      </x:c>
      <x:c r="BB18" s="323" t="str">
        <x:f>IF(AND(BB$7&gt;=$E18,BB$7&lt;=$F18),"■","")</x:f>
      </x:c>
      <x:c r="BC18" s="323" t="str">
        <x:f>IF(AND(BC$7&gt;=$E18,BC$7&lt;=$F18),"■","")</x:f>
      </x:c>
      <x:c r="BD18" s="323" t="str">
        <x:f>IF(AND(BD$7&gt;=$E18,BD$7&lt;=$F18),"■","")</x:f>
      </x:c>
      <x:c r="BE18" s="323" t="str">
        <x:f>IF(AND(BE$7&gt;=$E18,BE$7&lt;=$F18),"■","")</x:f>
      </x:c>
      <x:c r="BF18" s="323" t="str">
        <x:f>IF(AND(BF$7&gt;=$E18,BF$7&lt;=$F18),"■","")</x:f>
      </x:c>
      <x:c r="BG18" s="323" t="str">
        <x:f>IF(AND(BG$7&gt;=$E18,BG$7&lt;=$F18),"■","")</x:f>
      </x:c>
      <x:c r="BH18" s="323" t="str">
        <x:f>IF(AND(BH$7&gt;=$E18,BH$7&lt;=$F18),"■","")</x:f>
      </x:c>
      <x:c r="BI18" s="323" t="str">
        <x:f>IF(AND(BI$7&gt;=$E18,BI$7&lt;=$F18),"■","")</x:f>
      </x:c>
      <x:c r="BJ18" s="323" t="str">
        <x:f>IF(AND(BJ$7&gt;=$E18,BJ$7&lt;=$F18),"■","")</x:f>
      </x:c>
      <x:c r="BK18" s="323" t="str">
        <x:f>IF(AND(BK$7&gt;=$E18,BK$7&lt;=$F18),"■","")</x:f>
      </x:c>
      <x:c r="BL18" s="323" t="str">
        <x:f>IF(AND(BL$7&gt;=$E18,BL$7&lt;=$F18),"■","")</x:f>
      </x:c>
      <x:c r="BM18" s="323" t="str">
        <x:f>IF(AND(BM$7&gt;=$E18,BM$7&lt;=$F18),"■","")</x:f>
      </x:c>
      <x:c r="BN18" s="323" t="str">
        <x:f>IF(AND(BN$7&gt;=$E18,BN$7&lt;=$F18),"■","")</x:f>
      </x:c>
      <x:c r="BO18" s="323" t="str">
        <x:f>IF(AND(BO$7&gt;=$E18,BO$7&lt;=$F18),"■","")</x:f>
      </x:c>
      <x:c r="BP18" s="324" t="str">
        <x:f>IF(AND(BP$7&gt;=$E18,BP$7&lt;=$F18),"■","")</x:f>
      </x:c>
      <x:c r="BQ18" s="61"/>
    </x:row>
    <x:row r="19" ht="24" customHeight="1">
      <x:c r="A19" s="32"/>
      <x:c r="B19" s="255" t="str">
        <x:v>2</x:v>
      </x:c>
      <x:c r="C19" s="256" t="str">
        <x:v>데이터 수집·전처리·DB</x:v>
      </x:c>
      <x:c r="D19" s="256"/>
      <x:c r="E19" s="257"/>
      <x:c r="F19" s="257"/>
      <x:c r="G19" s="258"/>
      <x:c r="H19" s="259"/>
      <x:c r="I19" s="260"/>
      <x:c r="J19" s="261"/>
      <x:c r="K19" s="262"/>
      <x:c r="L19" s="262"/>
      <x:c r="M19" s="260"/>
      <x:c r="N19" s="260"/>
      <x:c r="O19" s="260"/>
      <x:c r="P19" s="260"/>
      <x:c r="Q19" s="260"/>
      <x:c r="R19" s="260"/>
      <x:c r="S19" s="260"/>
      <x:c r="T19" s="260"/>
      <x:c r="U19" s="260"/>
      <x:c r="V19" s="260"/>
      <x:c r="W19" s="260"/>
      <x:c r="X19" s="260"/>
      <x:c r="Y19" s="260"/>
      <x:c r="Z19" s="260"/>
      <x:c r="AA19" s="260"/>
      <x:c r="AB19" s="260"/>
      <x:c r="AC19" s="260"/>
      <x:c r="AD19" s="260"/>
      <x:c r="AE19" s="260"/>
      <x:c r="AF19" s="260"/>
      <x:c r="AG19" s="260"/>
      <x:c r="AH19" s="260"/>
      <x:c r="AI19" s="260"/>
      <x:c r="AJ19" s="260"/>
      <x:c r="AK19" s="260"/>
      <x:c r="AL19" s="260"/>
      <x:c r="AM19" s="260"/>
      <x:c r="AN19" s="260"/>
      <x:c r="AO19" s="260"/>
      <x:c r="AP19" s="260"/>
      <x:c r="AQ19" s="260"/>
      <x:c r="AR19" s="260"/>
      <x:c r="AS19" s="260"/>
      <x:c r="AT19" s="260"/>
      <x:c r="AU19" s="260"/>
      <x:c r="AV19" s="260"/>
      <x:c r="AW19" s="260"/>
      <x:c r="AX19" s="260"/>
      <x:c r="AY19" s="260"/>
      <x:c r="AZ19" s="260"/>
      <x:c r="BA19" s="260"/>
      <x:c r="BB19" s="260"/>
      <x:c r="BC19" s="260"/>
      <x:c r="BD19" s="260"/>
      <x:c r="BE19" s="260"/>
      <x:c r="BF19" s="260"/>
      <x:c r="BG19" s="260"/>
      <x:c r="BH19" s="260"/>
      <x:c r="BI19" s="260"/>
      <x:c r="BJ19" s="260"/>
      <x:c r="BK19" s="260"/>
      <x:c r="BL19" s="260"/>
      <x:c r="BM19" s="260"/>
      <x:c r="BN19" s="260"/>
      <x:c r="BO19" s="260"/>
      <x:c r="BP19" s="260"/>
      <x:c r="BQ19" s="32"/>
    </x:row>
    <x:row r="20" ht="38" customHeight="1">
      <x:c r="A20" s="61"/>
      <x:c r="B20" s="273" t="str">
        <x:v>2.1</x:v>
      </x:c>
      <x:c r="C20" s="274" t="str">
        <x:v>합성 VOC 원본·한국어 번역·학습 파생 schema·label·template 설계안
[대기] 산출물: 합성 VOC 생성·lineage 기준안</x:v>
      </x:c>
      <x:c r="D20" s="274" t="str">
        <x:v>정승·윤대성</x:v>
      </x:c>
      <x:c r="E20" s="275" t="n">
        <x:v>46224</x:v>
      </x:c>
      <x:c r="F20" s="275" t="n">
        <x:v>46227</x:v>
      </x:c>
      <x:c r="G20" s="276" t="n">
        <x:f>MAX(0,F20-E20)</x:f>
        <x:v>3</x:v>
      </x:c>
      <x:c r="H20" s="277" t="n">
        <x:v>0</x:v>
      </x:c>
      <x:c r="I20" s="292" t="str">
        <x:f>IF(AND(I$7&gt;=$E20,I$7&lt;=$F20),"■","")</x:f>
      </x:c>
      <x:c r="J20" s="293" t="str">
        <x:f>IF(AND(J$7&gt;=$E20,J$7&lt;=$F20),"■","")</x:f>
      </x:c>
      <x:c r="K20" s="294" t="str">
        <x:f>IF(AND(K$7&gt;=$E20,K$7&lt;=$F20),"■","")</x:f>
      </x:c>
      <x:c r="L20" s="294" t="str">
        <x:f>IF(AND(L$7&gt;=$E20,L$7&lt;=$F20),"■","")</x:f>
      </x:c>
      <x:c r="M20" s="294" t="str">
        <x:f>IF(AND(M$7&gt;=$E20,M$7&lt;=$F20),"■","")</x:f>
      </x:c>
      <x:c r="N20" s="294" t="str">
        <x:f>IF(AND(N$7&gt;=$E20,N$7&lt;=$F20),"■","")</x:f>
      </x:c>
      <x:c r="O20" s="294" t="str">
        <x:f>IF(AND(O$7&gt;=$E20,O$7&lt;=$F20),"■","")</x:f>
      </x:c>
      <x:c r="P20" s="294" t="str">
        <x:f>IF(AND(P$7&gt;=$E20,P$7&lt;=$F20),"■","")</x:f>
      </x:c>
      <x:c r="Q20" s="294" t="str">
        <x:f>IF(AND(Q$7&gt;=$E20,Q$7&lt;=$F20),"■","")</x:f>
      </x:c>
      <x:c r="R20" s="294" t="str">
        <x:f>IF(AND(R$7&gt;=$E20,R$7&lt;=$F20),"■","")</x:f>
      </x:c>
      <x:c r="S20" s="294" t="str">
        <x:f>IF(AND(S$7&gt;=$E20,S$7&lt;=$F20),"■","")</x:f>
      </x:c>
      <x:c r="T20" s="294" t="str">
        <x:f>IF(AND(T$7&gt;=$E20,T$7&lt;=$F20),"■","")</x:f>
        <x:v>■</x:v>
      </x:c>
      <x:c r="U20" s="294" t="str">
        <x:f>IF(AND(U$7&gt;=$E20,U$7&lt;=$F20),"■","")</x:f>
        <x:v>■</x:v>
      </x:c>
      <x:c r="V20" s="294" t="str">
        <x:f>IF(AND(V$7&gt;=$E20,V$7&lt;=$F20),"■","")</x:f>
        <x:v>■</x:v>
      </x:c>
      <x:c r="W20" s="294" t="str">
        <x:f>IF(AND(W$7&gt;=$E20,W$7&lt;=$F20),"■","")</x:f>
        <x:v>■</x:v>
      </x:c>
      <x:c r="X20" s="304" t="str">
        <x:f>IF(AND(X$7&gt;=$E20,X$7&lt;=$F20),"■","")</x:f>
      </x:c>
      <x:c r="Y20" s="304" t="str">
        <x:f>IF(AND(Y$7&gt;=$E20,Y$7&lt;=$F20),"■","")</x:f>
      </x:c>
      <x:c r="Z20" s="304" t="str">
        <x:f>IF(AND(Z$7&gt;=$E20,Z$7&lt;=$F20),"■","")</x:f>
      </x:c>
      <x:c r="AA20" s="304" t="str">
        <x:f>IF(AND(AA$7&gt;=$E20,AA$7&lt;=$F20),"■","")</x:f>
      </x:c>
      <x:c r="AB20" s="304" t="str">
        <x:f>IF(AND(AB$7&gt;=$E20,AB$7&lt;=$F20),"■","")</x:f>
      </x:c>
      <x:c r="AC20" s="304" t="str">
        <x:f>IF(AND(AC$7&gt;=$E20,AC$7&lt;=$F20),"■","")</x:f>
      </x:c>
      <x:c r="AD20" s="304" t="str">
        <x:f>IF(AND(AD$7&gt;=$E20,AD$7&lt;=$F20),"■","")</x:f>
      </x:c>
      <x:c r="AE20" s="304" t="str">
        <x:f>IF(AND(AE$7&gt;=$E20,AE$7&lt;=$F20),"■","")</x:f>
      </x:c>
      <x:c r="AF20" s="304" t="str">
        <x:f>IF(AND(AF$7&gt;=$E20,AF$7&lt;=$F20),"■","")</x:f>
      </x:c>
      <x:c r="AG20" s="304" t="str">
        <x:f>IF(AND(AG$7&gt;=$E20,AG$7&lt;=$F20),"■","")</x:f>
      </x:c>
      <x:c r="AH20" s="304" t="str">
        <x:f>IF(AND(AH$7&gt;=$E20,AH$7&lt;=$F20),"■","")</x:f>
      </x:c>
      <x:c r="AI20" s="304" t="str">
        <x:f>IF(AND(AI$7&gt;=$E20,AI$7&lt;=$F20),"■","")</x:f>
      </x:c>
      <x:c r="AJ20" s="304" t="str">
        <x:f>IF(AND(AJ$7&gt;=$E20,AJ$7&lt;=$F20),"■","")</x:f>
      </x:c>
      <x:c r="AK20" s="304" t="str">
        <x:f>IF(AND(AK$7&gt;=$E20,AK$7&lt;=$F20),"■","")</x:f>
      </x:c>
      <x:c r="AL20" s="304" t="str">
        <x:f>IF(AND(AL$7&gt;=$E20,AL$7&lt;=$F20),"■","")</x:f>
      </x:c>
      <x:c r="AM20" s="310" t="str">
        <x:f>IF(AND(AM$7&gt;=$E20,AM$7&lt;=$F20),"■","")</x:f>
      </x:c>
      <x:c r="AN20" s="310" t="str">
        <x:f>IF(AND(AN$7&gt;=$E20,AN$7&lt;=$F20),"■","")</x:f>
      </x:c>
      <x:c r="AO20" s="310" t="str">
        <x:f>IF(AND(AO$7&gt;=$E20,AO$7&lt;=$F20),"■","")</x:f>
      </x:c>
      <x:c r="AP20" s="310" t="str">
        <x:f>IF(AND(AP$7&gt;=$E20,AP$7&lt;=$F20),"■","")</x:f>
      </x:c>
      <x:c r="AQ20" s="310" t="str">
        <x:f>IF(AND(AQ$7&gt;=$E20,AQ$7&lt;=$F20),"■","")</x:f>
      </x:c>
      <x:c r="AR20" s="310" t="str">
        <x:f>IF(AND(AR$7&gt;=$E20,AR$7&lt;=$F20),"■","")</x:f>
      </x:c>
      <x:c r="AS20" s="310" t="str">
        <x:f>IF(AND(AS$7&gt;=$E20,AS$7&lt;=$F20),"■","")</x:f>
      </x:c>
      <x:c r="AT20" s="310" t="str">
        <x:f>IF(AND(AT$7&gt;=$E20,AT$7&lt;=$F20),"■","")</x:f>
      </x:c>
      <x:c r="AU20" s="310" t="str">
        <x:f>IF(AND(AU$7&gt;=$E20,AU$7&lt;=$F20),"■","")</x:f>
      </x:c>
      <x:c r="AV20" s="310" t="str">
        <x:f>IF(AND(AV$7&gt;=$E20,AV$7&lt;=$F20),"■","")</x:f>
      </x:c>
      <x:c r="AW20" s="310" t="str">
        <x:f>IF(AND(AW$7&gt;=$E20,AW$7&lt;=$F20),"■","")</x:f>
      </x:c>
      <x:c r="AX20" s="310" t="str">
        <x:f>IF(AND(AX$7&gt;=$E20,AX$7&lt;=$F20),"■","")</x:f>
      </x:c>
      <x:c r="AY20" s="310" t="str">
        <x:f>IF(AND(AY$7&gt;=$E20,AY$7&lt;=$F20),"■","")</x:f>
      </x:c>
      <x:c r="AZ20" s="310" t="str">
        <x:f>IF(AND(AZ$7&gt;=$E20,AZ$7&lt;=$F20),"■","")</x:f>
      </x:c>
      <x:c r="BA20" s="310" t="str">
        <x:f>IF(AND(BA$7&gt;=$E20,BA$7&lt;=$F20),"■","")</x:f>
      </x:c>
      <x:c r="BB20" s="319" t="str">
        <x:f>IF(AND(BB$7&gt;=$E20,BB$7&lt;=$F20),"■","")</x:f>
      </x:c>
      <x:c r="BC20" s="319" t="str">
        <x:f>IF(AND(BC$7&gt;=$E20,BC$7&lt;=$F20),"■","")</x:f>
      </x:c>
      <x:c r="BD20" s="319" t="str">
        <x:f>IF(AND(BD$7&gt;=$E20,BD$7&lt;=$F20),"■","")</x:f>
      </x:c>
      <x:c r="BE20" s="319" t="str">
        <x:f>IF(AND(BE$7&gt;=$E20,BE$7&lt;=$F20),"■","")</x:f>
      </x:c>
      <x:c r="BF20" s="319" t="str">
        <x:f>IF(AND(BF$7&gt;=$E20,BF$7&lt;=$F20),"■","")</x:f>
      </x:c>
      <x:c r="BG20" s="319" t="str">
        <x:f>IF(AND(BG$7&gt;=$E20,BG$7&lt;=$F20),"■","")</x:f>
      </x:c>
      <x:c r="BH20" s="319" t="str">
        <x:f>IF(AND(BH$7&gt;=$E20,BH$7&lt;=$F20),"■","")</x:f>
      </x:c>
      <x:c r="BI20" s="319" t="str">
        <x:f>IF(AND(BI$7&gt;=$E20,BI$7&lt;=$F20),"■","")</x:f>
      </x:c>
      <x:c r="BJ20" s="319" t="str">
        <x:f>IF(AND(BJ$7&gt;=$E20,BJ$7&lt;=$F20),"■","")</x:f>
      </x:c>
      <x:c r="BK20" s="319" t="str">
        <x:f>IF(AND(BK$7&gt;=$E20,BK$7&lt;=$F20),"■","")</x:f>
      </x:c>
      <x:c r="BL20" s="319" t="str">
        <x:f>IF(AND(BL$7&gt;=$E20,BL$7&lt;=$F20),"■","")</x:f>
      </x:c>
      <x:c r="BM20" s="319" t="str">
        <x:f>IF(AND(BM$7&gt;=$E20,BM$7&lt;=$F20),"■","")</x:f>
      </x:c>
      <x:c r="BN20" s="319" t="str">
        <x:f>IF(AND(BN$7&gt;=$E20,BN$7&lt;=$F20),"■","")</x:f>
      </x:c>
      <x:c r="BO20" s="319" t="str">
        <x:f>IF(AND(BO$7&gt;=$E20,BO$7&lt;=$F20),"■","")</x:f>
      </x:c>
      <x:c r="BP20" s="320" t="str">
        <x:f>IF(AND(BP$7&gt;=$E20,BP$7&lt;=$F20),"■","")</x:f>
      </x:c>
      <x:c r="BQ20" s="61"/>
    </x:row>
    <x:row r="21" ht="38" customHeight="1">
      <x:c r="A21" s="61"/>
      <x:c r="B21" s="273" t="str">
        <x:v>2.2</x:v>
      </x:c>
      <x:c r="C21" s="274" t="str">
        <x:v>규칙 label+승인 모델 문장 다양화 합성 VOC v0 생성
[대기] 산출물: 합성 VOC</x:v>
      </x:c>
      <x:c r="D21" s="274" t="str">
        <x:v>정승</x:v>
      </x:c>
      <x:c r="E21" s="275" t="n">
        <x:v>46232</x:v>
      </x:c>
      <x:c r="F21" s="275" t="n">
        <x:v>46232</x:v>
      </x:c>
      <x:c r="G21" s="276" t="n">
        <x:f>MAX(0,F21-E21)</x:f>
        <x:v>0</x:v>
      </x:c>
      <x:c r="H21" s="277" t="n">
        <x:v>0</x:v>
      </x:c>
      <x:c r="I21" s="295" t="str">
        <x:f>IF(AND(I$7&gt;=$E21,I$7&lt;=$F21),"■","")</x:f>
      </x:c>
      <x:c r="J21" s="296" t="str">
        <x:f>IF(AND(J$7&gt;=$E21,J$7&lt;=$F21),"■","")</x:f>
      </x:c>
      <x:c r="K21" s="297" t="str">
        <x:f>IF(AND(K$7&gt;=$E21,K$7&lt;=$F21),"■","")</x:f>
      </x:c>
      <x:c r="L21" s="297" t="str">
        <x:f>IF(AND(L$7&gt;=$E21,L$7&lt;=$F21),"■","")</x:f>
      </x:c>
      <x:c r="M21" s="297" t="str">
        <x:f>IF(AND(M$7&gt;=$E21,M$7&lt;=$F21),"■","")</x:f>
      </x:c>
      <x:c r="N21" s="297" t="str">
        <x:f>IF(AND(N$7&gt;=$E21,N$7&lt;=$F21),"■","")</x:f>
      </x:c>
      <x:c r="O21" s="297" t="str">
        <x:f>IF(AND(O$7&gt;=$E21,O$7&lt;=$F21),"■","")</x:f>
      </x:c>
      <x:c r="P21" s="297" t="str">
        <x:f>IF(AND(P$7&gt;=$E21,P$7&lt;=$F21),"■","")</x:f>
      </x:c>
      <x:c r="Q21" s="297" t="str">
        <x:f>IF(AND(Q$7&gt;=$E21,Q$7&lt;=$F21),"■","")</x:f>
      </x:c>
      <x:c r="R21" s="297" t="str">
        <x:f>IF(AND(R$7&gt;=$E21,R$7&lt;=$F21),"■","")</x:f>
      </x:c>
      <x:c r="S21" s="297" t="str">
        <x:f>IF(AND(S$7&gt;=$E21,S$7&lt;=$F21),"■","")</x:f>
      </x:c>
      <x:c r="T21" s="297" t="str">
        <x:f>IF(AND(T$7&gt;=$E21,T$7&lt;=$F21),"■","")</x:f>
      </x:c>
      <x:c r="U21" s="297" t="str">
        <x:f>IF(AND(U$7&gt;=$E21,U$7&lt;=$F21),"■","")</x:f>
      </x:c>
      <x:c r="V21" s="297" t="str">
        <x:f>IF(AND(V$7&gt;=$E21,V$7&lt;=$F21),"■","")</x:f>
      </x:c>
      <x:c r="W21" s="297" t="str">
        <x:f>IF(AND(W$7&gt;=$E21,W$7&lt;=$F21),"■","")</x:f>
      </x:c>
      <x:c r="X21" s="305" t="str">
        <x:f>IF(AND(X$7&gt;=$E21,X$7&lt;=$F21),"■","")</x:f>
      </x:c>
      <x:c r="Y21" s="305" t="str">
        <x:f>IF(AND(Y$7&gt;=$E21,Y$7&lt;=$F21),"■","")</x:f>
      </x:c>
      <x:c r="Z21" s="305" t="str">
        <x:f>IF(AND(Z$7&gt;=$E21,Z$7&lt;=$F21),"■","")</x:f>
        <x:v>■</x:v>
      </x:c>
      <x:c r="AA21" s="305" t="str">
        <x:f>IF(AND(AA$7&gt;=$E21,AA$7&lt;=$F21),"■","")</x:f>
      </x:c>
      <x:c r="AB21" s="304" t="str">
        <x:f>IF(AND(AB$7&gt;=$E21,AB$7&lt;=$F21),"■","")</x:f>
      </x:c>
      <x:c r="AC21" s="304" t="str">
        <x:f>IF(AND(AC$7&gt;=$E21,AC$7&lt;=$F21),"■","")</x:f>
      </x:c>
      <x:c r="AD21" s="304" t="str">
        <x:f>IF(AND(AD$7&gt;=$E21,AD$7&lt;=$F21),"■","")</x:f>
      </x:c>
      <x:c r="AE21" s="344" t="str">
        <x:f>IF(AND(AE$7&gt;=$E21,AE$7&lt;=$F21),"■","")</x:f>
      </x:c>
      <x:c r="AF21" s="345" t="str">
        <x:f>IF(AND(AF$7&gt;=$E21,AF$7&lt;=$F21),"■","")</x:f>
      </x:c>
      <x:c r="AG21" s="345" t="str">
        <x:f>IF(AND(AG$7&gt;=$E21,AG$7&lt;=$F21),"■","")</x:f>
      </x:c>
      <x:c r="AH21" s="305" t="str">
        <x:f>IF(AND(AH$7&gt;=$E21,AH$7&lt;=$F21),"■","")</x:f>
      </x:c>
      <x:c r="AI21" s="305" t="str">
        <x:f>IF(AND(AI$7&gt;=$E21,AI$7&lt;=$F21),"■","")</x:f>
      </x:c>
      <x:c r="AJ21" s="305" t="str">
        <x:f>IF(AND(AJ$7&gt;=$E21,AJ$7&lt;=$F21),"■","")</x:f>
      </x:c>
      <x:c r="AK21" s="305" t="str">
        <x:f>IF(AND(AK$7&gt;=$E21,AK$7&lt;=$F21),"■","")</x:f>
      </x:c>
      <x:c r="AL21" s="305" t="str">
        <x:f>IF(AND(AL$7&gt;=$E21,AL$7&lt;=$F21),"■","")</x:f>
      </x:c>
      <x:c r="AM21" s="311" t="str">
        <x:f>IF(AND(AM$7&gt;=$E21,AM$7&lt;=$F21),"■","")</x:f>
      </x:c>
      <x:c r="AN21" s="311" t="str">
        <x:f>IF(AND(AN$7&gt;=$E21,AN$7&lt;=$F21),"■","")</x:f>
      </x:c>
      <x:c r="AO21" s="311" t="str">
        <x:f>IF(AND(AO$7&gt;=$E21,AO$7&lt;=$F21),"■","")</x:f>
      </x:c>
      <x:c r="AP21" s="311" t="str">
        <x:f>IF(AND(AP$7&gt;=$E21,AP$7&lt;=$F21),"■","")</x:f>
      </x:c>
      <x:c r="AQ21" s="311" t="str">
        <x:f>IF(AND(AQ$7&gt;=$E21,AQ$7&lt;=$F21),"■","")</x:f>
      </x:c>
      <x:c r="AR21" s="311" t="str">
        <x:f>IF(AND(AR$7&gt;=$E21,AR$7&lt;=$F21),"■","")</x:f>
      </x:c>
      <x:c r="AS21" s="311" t="str">
        <x:f>IF(AND(AS$7&gt;=$E21,AS$7&lt;=$F21),"■","")</x:f>
      </x:c>
      <x:c r="AT21" s="311" t="str">
        <x:f>IF(AND(AT$7&gt;=$E21,AT$7&lt;=$F21),"■","")</x:f>
      </x:c>
      <x:c r="AU21" s="311" t="str">
        <x:f>IF(AND(AU$7&gt;=$E21,AU$7&lt;=$F21),"■","")</x:f>
      </x:c>
      <x:c r="AV21" s="311" t="str">
        <x:f>IF(AND(AV$7&gt;=$E21,AV$7&lt;=$F21),"■","")</x:f>
      </x:c>
      <x:c r="AW21" s="311" t="str">
        <x:f>IF(AND(AW$7&gt;=$E21,AW$7&lt;=$F21),"■","")</x:f>
      </x:c>
      <x:c r="AX21" s="311" t="str">
        <x:f>IF(AND(AX$7&gt;=$E21,AX$7&lt;=$F21),"■","")</x:f>
      </x:c>
      <x:c r="AY21" s="311" t="str">
        <x:f>IF(AND(AY$7&gt;=$E21,AY$7&lt;=$F21),"■","")</x:f>
      </x:c>
      <x:c r="AZ21" s="311" t="str">
        <x:f>IF(AND(AZ$7&gt;=$E21,AZ$7&lt;=$F21),"■","")</x:f>
      </x:c>
      <x:c r="BA21" s="311" t="str">
        <x:f>IF(AND(BA$7&gt;=$E21,BA$7&lt;=$F21),"■","")</x:f>
      </x:c>
      <x:c r="BB21" s="321" t="str">
        <x:f>IF(AND(BB$7&gt;=$E21,BB$7&lt;=$F21),"■","")</x:f>
      </x:c>
      <x:c r="BC21" s="321" t="str">
        <x:f>IF(AND(BC$7&gt;=$E21,BC$7&lt;=$F21),"■","")</x:f>
      </x:c>
      <x:c r="BD21" s="321" t="str">
        <x:f>IF(AND(BD$7&gt;=$E21,BD$7&lt;=$F21),"■","")</x:f>
      </x:c>
      <x:c r="BE21" s="321" t="str">
        <x:f>IF(AND(BE$7&gt;=$E21,BE$7&lt;=$F21),"■","")</x:f>
      </x:c>
      <x:c r="BF21" s="321" t="str">
        <x:f>IF(AND(BF$7&gt;=$E21,BF$7&lt;=$F21),"■","")</x:f>
      </x:c>
      <x:c r="BG21" s="321" t="str">
        <x:f>IF(AND(BG$7&gt;=$E21,BG$7&lt;=$F21),"■","")</x:f>
      </x:c>
      <x:c r="BH21" s="321" t="str">
        <x:f>IF(AND(BH$7&gt;=$E21,BH$7&lt;=$F21),"■","")</x:f>
      </x:c>
      <x:c r="BI21" s="321" t="str">
        <x:f>IF(AND(BI$7&gt;=$E21,BI$7&lt;=$F21),"■","")</x:f>
      </x:c>
      <x:c r="BJ21" s="321" t="str">
        <x:f>IF(AND(BJ$7&gt;=$E21,BJ$7&lt;=$F21),"■","")</x:f>
      </x:c>
      <x:c r="BK21" s="321" t="str">
        <x:f>IF(AND(BK$7&gt;=$E21,BK$7&lt;=$F21),"■","")</x:f>
      </x:c>
      <x:c r="BL21" s="321" t="str">
        <x:f>IF(AND(BL$7&gt;=$E21,BL$7&lt;=$F21),"■","")</x:f>
      </x:c>
      <x:c r="BM21" s="321" t="str">
        <x:f>IF(AND(BM$7&gt;=$E21,BM$7&lt;=$F21),"■","")</x:f>
      </x:c>
      <x:c r="BN21" s="321" t="str">
        <x:f>IF(AND(BN$7&gt;=$E21,BN$7&lt;=$F21),"■","")</x:f>
      </x:c>
      <x:c r="BO21" s="321" t="str">
        <x:f>IF(AND(BO$7&gt;=$E21,BO$7&lt;=$F21),"■","")</x:f>
      </x:c>
      <x:c r="BP21" s="322" t="str">
        <x:f>IF(AND(BP$7&gt;=$E21,BP$7&lt;=$F21),"■","")</x:f>
      </x:c>
      <x:c r="BQ21" s="61"/>
    </x:row>
    <x:row r="22" ht="38" customHeight="1">
      <x:c r="A22" s="61"/>
      <x:c r="B22" s="273" t="str">
        <x:v>2.3</x:v>
      </x:c>
      <x:c r="C22" s="274" t="str">
        <x:v>장소별 매출·운영비·예약·체크인·체크아웃·인력 단일 운영 데이터 v0 생성
[대기] 산출물: 합성 운영 데이터</x:v>
      </x:c>
      <x:c r="D22" s="274" t="str">
        <x:v>정승</x:v>
      </x:c>
      <x:c r="E22" s="275" t="n">
        <x:v>46232</x:v>
      </x:c>
      <x:c r="F22" s="275" t="n">
        <x:v>46232</x:v>
      </x:c>
      <x:c r="G22" s="276" t="n">
        <x:f>MAX(0,F22-E22)</x:f>
        <x:v>0</x:v>
      </x:c>
      <x:c r="H22" s="277" t="n">
        <x:v>0</x:v>
      </x:c>
      <x:c r="I22" s="295" t="str">
        <x:f>IF(AND(I$7&gt;=$E22,I$7&lt;=$F22),"■","")</x:f>
      </x:c>
      <x:c r="J22" s="296" t="str">
        <x:f>IF(AND(J$7&gt;=$E22,J$7&lt;=$F22),"■","")</x:f>
      </x:c>
      <x:c r="K22" s="297" t="str">
        <x:f>IF(AND(K$7&gt;=$E22,K$7&lt;=$F22),"■","")</x:f>
      </x:c>
      <x:c r="L22" s="297" t="str">
        <x:f>IF(AND(L$7&gt;=$E22,L$7&lt;=$F22),"■","")</x:f>
      </x:c>
      <x:c r="M22" s="297" t="str">
        <x:f>IF(AND(M$7&gt;=$E22,M$7&lt;=$F22),"■","")</x:f>
      </x:c>
      <x:c r="N22" s="297" t="str">
        <x:f>IF(AND(N$7&gt;=$E22,N$7&lt;=$F22),"■","")</x:f>
      </x:c>
      <x:c r="O22" s="297" t="str">
        <x:f>IF(AND(O$7&gt;=$E22,O$7&lt;=$F22),"■","")</x:f>
      </x:c>
      <x:c r="P22" s="297" t="str">
        <x:f>IF(AND(P$7&gt;=$E22,P$7&lt;=$F22),"■","")</x:f>
      </x:c>
      <x:c r="Q22" s="297" t="str">
        <x:f>IF(AND(Q$7&gt;=$E22,Q$7&lt;=$F22),"■","")</x:f>
      </x:c>
      <x:c r="R22" s="297" t="str">
        <x:f>IF(AND(R$7&gt;=$E22,R$7&lt;=$F22),"■","")</x:f>
      </x:c>
      <x:c r="S22" s="297" t="str">
        <x:f>IF(AND(S$7&gt;=$E22,S$7&lt;=$F22),"■","")</x:f>
      </x:c>
      <x:c r="T22" s="297" t="str">
        <x:f>IF(AND(T$7&gt;=$E22,T$7&lt;=$F22),"■","")</x:f>
      </x:c>
      <x:c r="U22" s="297" t="str">
        <x:f>IF(AND(U$7&gt;=$E22,U$7&lt;=$F22),"■","")</x:f>
      </x:c>
      <x:c r="V22" s="297" t="str">
        <x:f>IF(AND(V$7&gt;=$E22,V$7&lt;=$F22),"■","")</x:f>
      </x:c>
      <x:c r="W22" s="297" t="str">
        <x:f>IF(AND(W$7&gt;=$E22,W$7&lt;=$F22),"■","")</x:f>
      </x:c>
      <x:c r="X22" s="305" t="str">
        <x:f>IF(AND(X$7&gt;=$E22,X$7&lt;=$F22),"■","")</x:f>
      </x:c>
      <x:c r="Y22" s="305" t="str">
        <x:f>IF(AND(Y$7&gt;=$E22,Y$7&lt;=$F22),"■","")</x:f>
      </x:c>
      <x:c r="Z22" s="305" t="str">
        <x:f>IF(AND(Z$7&gt;=$E22,Z$7&lt;=$F22),"■","")</x:f>
        <x:v>■</x:v>
      </x:c>
      <x:c r="AA22" s="305" t="str">
        <x:f>IF(AND(AA$7&gt;=$E22,AA$7&lt;=$F22),"■","")</x:f>
      </x:c>
      <x:c r="AB22" s="305" t="str">
        <x:f>IF(AND(AB$7&gt;=$E22,AB$7&lt;=$F22),"■","")</x:f>
      </x:c>
      <x:c r="AC22" s="305" t="str">
        <x:f>IF(AND(AC$7&gt;=$E22,AC$7&lt;=$F22),"■","")</x:f>
      </x:c>
      <x:c r="AD22" s="305" t="str">
        <x:f>IF(AND(AD$7&gt;=$E22,AD$7&lt;=$F22),"■","")</x:f>
      </x:c>
      <x:c r="AE22" s="305" t="str">
        <x:f>IF(AND(AE$7&gt;=$E22,AE$7&lt;=$F22),"■","")</x:f>
      </x:c>
      <x:c r="AF22" s="305" t="str">
        <x:f>IF(AND(AF$7&gt;=$E22,AF$7&lt;=$F22),"■","")</x:f>
      </x:c>
      <x:c r="AG22" s="305" t="str">
        <x:f>IF(AND(AG$7&gt;=$E22,AG$7&lt;=$F22),"■","")</x:f>
      </x:c>
      <x:c r="AH22" s="305" t="str">
        <x:f>IF(AND(AH$7&gt;=$E22,AH$7&lt;=$F22),"■","")</x:f>
      </x:c>
      <x:c r="AI22" s="305" t="str">
        <x:f>IF(AND(AI$7&gt;=$E22,AI$7&lt;=$F22),"■","")</x:f>
      </x:c>
      <x:c r="AJ22" s="305" t="str">
        <x:f>IF(AND(AJ$7&gt;=$E22,AJ$7&lt;=$F22),"■","")</x:f>
      </x:c>
      <x:c r="AK22" s="305" t="str">
        <x:f>IF(AND(AK$7&gt;=$E22,AK$7&lt;=$F22),"■","")</x:f>
      </x:c>
      <x:c r="AL22" s="305" t="str">
        <x:f>IF(AND(AL$7&gt;=$E22,AL$7&lt;=$F22),"■","")</x:f>
      </x:c>
      <x:c r="AM22" s="311" t="str">
        <x:f>IF(AND(AM$7&gt;=$E22,AM$7&lt;=$F22),"■","")</x:f>
      </x:c>
      <x:c r="AN22" s="311" t="str">
        <x:f>IF(AND(AN$7&gt;=$E22,AN$7&lt;=$F22),"■","")</x:f>
      </x:c>
      <x:c r="AO22" s="311" t="str">
        <x:f>IF(AND(AO$7&gt;=$E22,AO$7&lt;=$F22),"■","")</x:f>
      </x:c>
      <x:c r="AP22" s="311" t="str">
        <x:f>IF(AND(AP$7&gt;=$E22,AP$7&lt;=$F22),"■","")</x:f>
      </x:c>
      <x:c r="AQ22" s="311" t="str">
        <x:f>IF(AND(AQ$7&gt;=$E22,AQ$7&lt;=$F22),"■","")</x:f>
      </x:c>
      <x:c r="AR22" s="311" t="str">
        <x:f>IF(AND(AR$7&gt;=$E22,AR$7&lt;=$F22),"■","")</x:f>
      </x:c>
      <x:c r="AS22" s="311" t="str">
        <x:f>IF(AND(AS$7&gt;=$E22,AS$7&lt;=$F22),"■","")</x:f>
      </x:c>
      <x:c r="AT22" s="311" t="str">
        <x:f>IF(AND(AT$7&gt;=$E22,AT$7&lt;=$F22),"■","")</x:f>
      </x:c>
      <x:c r="AU22" s="311" t="str">
        <x:f>IF(AND(AU$7&gt;=$E22,AU$7&lt;=$F22),"■","")</x:f>
      </x:c>
      <x:c r="AV22" s="311" t="str">
        <x:f>IF(AND(AV$7&gt;=$E22,AV$7&lt;=$F22),"■","")</x:f>
      </x:c>
      <x:c r="AW22" s="311" t="str">
        <x:f>IF(AND(AW$7&gt;=$E22,AW$7&lt;=$F22),"■","")</x:f>
      </x:c>
      <x:c r="AX22" s="311" t="str">
        <x:f>IF(AND(AX$7&gt;=$E22,AX$7&lt;=$F22),"■","")</x:f>
      </x:c>
      <x:c r="AY22" s="311" t="str">
        <x:f>IF(AND(AY$7&gt;=$E22,AY$7&lt;=$F22),"■","")</x:f>
      </x:c>
      <x:c r="AZ22" s="311" t="str">
        <x:f>IF(AND(AZ$7&gt;=$E22,AZ$7&lt;=$F22),"■","")</x:f>
      </x:c>
      <x:c r="BA22" s="311" t="str">
        <x:f>IF(AND(BA$7&gt;=$E22,BA$7&lt;=$F22),"■","")</x:f>
      </x:c>
      <x:c r="BB22" s="321" t="str">
        <x:f>IF(AND(BB$7&gt;=$E22,BB$7&lt;=$F22),"■","")</x:f>
      </x:c>
      <x:c r="BC22" s="321" t="str">
        <x:f>IF(AND(BC$7&gt;=$E22,BC$7&lt;=$F22),"■","")</x:f>
      </x:c>
      <x:c r="BD22" s="321" t="str">
        <x:f>IF(AND(BD$7&gt;=$E22,BD$7&lt;=$F22),"■","")</x:f>
      </x:c>
      <x:c r="BE22" s="321" t="str">
        <x:f>IF(AND(BE$7&gt;=$E22,BE$7&lt;=$F22),"■","")</x:f>
      </x:c>
      <x:c r="BF22" s="321" t="str">
        <x:f>IF(AND(BF$7&gt;=$E22,BF$7&lt;=$F22),"■","")</x:f>
      </x:c>
      <x:c r="BG22" s="321" t="str">
        <x:f>IF(AND(BG$7&gt;=$E22,BG$7&lt;=$F22),"■","")</x:f>
      </x:c>
      <x:c r="BH22" s="321" t="str">
        <x:f>IF(AND(BH$7&gt;=$E22,BH$7&lt;=$F22),"■","")</x:f>
      </x:c>
      <x:c r="BI22" s="321" t="str">
        <x:f>IF(AND(BI$7&gt;=$E22,BI$7&lt;=$F22),"■","")</x:f>
      </x:c>
      <x:c r="BJ22" s="321" t="str">
        <x:f>IF(AND(BJ$7&gt;=$E22,BJ$7&lt;=$F22),"■","")</x:f>
      </x:c>
      <x:c r="BK22" s="321" t="str">
        <x:f>IF(AND(BK$7&gt;=$E22,BK$7&lt;=$F22),"■","")</x:f>
      </x:c>
      <x:c r="BL22" s="321" t="str">
        <x:f>IF(AND(BL$7&gt;=$E22,BL$7&lt;=$F22),"■","")</x:f>
      </x:c>
      <x:c r="BM22" s="321" t="str">
        <x:f>IF(AND(BM$7&gt;=$E22,BM$7&lt;=$F22),"■","")</x:f>
      </x:c>
      <x:c r="BN22" s="321" t="str">
        <x:f>IF(AND(BN$7&gt;=$E22,BN$7&lt;=$F22),"■","")</x:f>
      </x:c>
      <x:c r="BO22" s="321" t="str">
        <x:f>IF(AND(BO$7&gt;=$E22,BO$7&lt;=$F22),"■","")</x:f>
      </x:c>
      <x:c r="BP22" s="322" t="str">
        <x:f>IF(AND(BP$7&gt;=$E22,BP$7&lt;=$F22),"■","")</x:f>
      </x:c>
      <x:c r="BQ22" s="61"/>
    </x:row>
    <x:row r="23" ht="38" customHeight="1">
      <x:c r="A23" s="61"/>
      <x:c r="B23" s="273" t="str">
        <x:v>2.4</x:v>
      </x:c>
      <x:c r="C23" s="274" t="str">
        <x:v>수집 데이터 현황·출처·품질 문서화
[대기] 산출물: 수집 데이터 보고서 · 제출 07/24</x:v>
      </x:c>
      <x:c r="D23" s="274" t="str">
        <x:v>정승</x:v>
      </x:c>
      <x:c r="E23" s="275" t="n">
        <x:v>46223</x:v>
      </x:c>
      <x:c r="F23" s="275" t="n">
        <x:v>46227</x:v>
      </x:c>
      <x:c r="G23" s="276" t="n">
        <x:f>MAX(0,F23-E23)</x:f>
        <x:v>4</x:v>
      </x:c>
      <x:c r="H23" s="277" t="n">
        <x:v>0</x:v>
      </x:c>
      <x:c r="I23" s="295" t="str">
        <x:f>IF(AND(I$7&gt;=$E23,I$7&lt;=$F23),"■","")</x:f>
      </x:c>
      <x:c r="J23" s="296" t="str">
        <x:f>IF(AND(J$7&gt;=$E23,J$7&lt;=$F23),"■","")</x:f>
      </x:c>
      <x:c r="K23" s="297" t="str">
        <x:f>IF(AND(K$7&gt;=$E23,K$7&lt;=$F23),"■","")</x:f>
      </x:c>
      <x:c r="L23" s="297" t="str">
        <x:f>IF(AND(L$7&gt;=$E23,L$7&lt;=$F23),"■","")</x:f>
      </x:c>
      <x:c r="M23" s="297" t="str">
        <x:f>IF(AND(M$7&gt;=$E23,M$7&lt;=$F23),"■","")</x:f>
      </x:c>
      <x:c r="N23" s="297" t="str">
        <x:f>IF(AND(N$7&gt;=$E23,N$7&lt;=$F23),"■","")</x:f>
      </x:c>
      <x:c r="O23" s="297" t="str">
        <x:f>IF(AND(O$7&gt;=$E23,O$7&lt;=$F23),"■","")</x:f>
      </x:c>
      <x:c r="P23" s="297" t="str">
        <x:f>IF(AND(P$7&gt;=$E23,P$7&lt;=$F23),"■","")</x:f>
      </x:c>
      <x:c r="Q23" s="297" t="str">
        <x:f>IF(AND(Q$7&gt;=$E23,Q$7&lt;=$F23),"■","")</x:f>
      </x:c>
      <x:c r="R23" s="297" t="str">
        <x:f>IF(AND(R$7&gt;=$E23,R$7&lt;=$F23),"■","")</x:f>
      </x:c>
      <x:c r="S23" s="297" t="str">
        <x:f>IF(AND(S$7&gt;=$E23,S$7&lt;=$F23),"■","")</x:f>
        <x:v>■</x:v>
      </x:c>
      <x:c r="T23" s="297" t="str">
        <x:f>IF(AND(T$7&gt;=$E23,T$7&lt;=$F23),"■","")</x:f>
        <x:v>■</x:v>
      </x:c>
      <x:c r="U23" s="297" t="str">
        <x:f>IF(AND(U$7&gt;=$E23,U$7&lt;=$F23),"■","")</x:f>
        <x:v>■</x:v>
      </x:c>
      <x:c r="V23" s="297" t="str">
        <x:f>IF(AND(V$7&gt;=$E23,V$7&lt;=$F23),"■","")</x:f>
        <x:v>■</x:v>
      </x:c>
      <x:c r="W23" s="297" t="str">
        <x:f>IF(AND(W$7&gt;=$E23,W$7&lt;=$F23),"■","")</x:f>
        <x:v>■</x:v>
      </x:c>
      <x:c r="X23" s="305" t="str">
        <x:f>IF(AND(X$7&gt;=$E23,X$7&lt;=$F23),"■","")</x:f>
      </x:c>
      <x:c r="Y23" s="305" t="str">
        <x:f>IF(AND(Y$7&gt;=$E23,Y$7&lt;=$F23),"■","")</x:f>
      </x:c>
      <x:c r="Z23" s="305" t="str">
        <x:f>IF(AND(Z$7&gt;=$E23,Z$7&lt;=$F23),"■","")</x:f>
      </x:c>
      <x:c r="AA23" s="305" t="str">
        <x:f>IF(AND(AA$7&gt;=$E23,AA$7&lt;=$F23),"■","")</x:f>
      </x:c>
      <x:c r="AB23" s="305" t="str">
        <x:f>IF(AND(AB$7&gt;=$E23,AB$7&lt;=$F23),"■","")</x:f>
      </x:c>
      <x:c r="AC23" s="305" t="str">
        <x:f>IF(AND(AC$7&gt;=$E23,AC$7&lt;=$F23),"■","")</x:f>
      </x:c>
      <x:c r="AD23" s="305" t="str">
        <x:f>IF(AND(AD$7&gt;=$E23,AD$7&lt;=$F23),"■","")</x:f>
      </x:c>
      <x:c r="AE23" s="305" t="str">
        <x:f>IF(AND(AE$7&gt;=$E23,AE$7&lt;=$F23),"■","")</x:f>
      </x:c>
      <x:c r="AF23" s="305" t="str">
        <x:f>IF(AND(AF$7&gt;=$E23,AF$7&lt;=$F23),"■","")</x:f>
      </x:c>
      <x:c r="AG23" s="305" t="str">
        <x:f>IF(AND(AG$7&gt;=$E23,AG$7&lt;=$F23),"■","")</x:f>
      </x:c>
      <x:c r="AH23" s="305" t="str">
        <x:f>IF(AND(AH$7&gt;=$E23,AH$7&lt;=$F23),"■","")</x:f>
      </x:c>
      <x:c r="AI23" s="305" t="str">
        <x:f>IF(AND(AI$7&gt;=$E23,AI$7&lt;=$F23),"■","")</x:f>
      </x:c>
      <x:c r="AJ23" s="305" t="str">
        <x:f>IF(AND(AJ$7&gt;=$E23,AJ$7&lt;=$F23),"■","")</x:f>
      </x:c>
      <x:c r="AK23" s="305" t="str">
        <x:f>IF(AND(AK$7&gt;=$E23,AK$7&lt;=$F23),"■","")</x:f>
      </x:c>
      <x:c r="AL23" s="305" t="str">
        <x:f>IF(AND(AL$7&gt;=$E23,AL$7&lt;=$F23),"■","")</x:f>
      </x:c>
      <x:c r="AM23" s="311" t="str">
        <x:f>IF(AND(AM$7&gt;=$E23,AM$7&lt;=$F23),"■","")</x:f>
      </x:c>
      <x:c r="AN23" s="311" t="str">
        <x:f>IF(AND(AN$7&gt;=$E23,AN$7&lt;=$F23),"■","")</x:f>
      </x:c>
      <x:c r="AO23" s="311" t="str">
        <x:f>IF(AND(AO$7&gt;=$E23,AO$7&lt;=$F23),"■","")</x:f>
      </x:c>
      <x:c r="AP23" s="311" t="str">
        <x:f>IF(AND(AP$7&gt;=$E23,AP$7&lt;=$F23),"■","")</x:f>
      </x:c>
      <x:c r="AQ23" s="311" t="str">
        <x:f>IF(AND(AQ$7&gt;=$E23,AQ$7&lt;=$F23),"■","")</x:f>
      </x:c>
      <x:c r="AR23" s="311" t="str">
        <x:f>IF(AND(AR$7&gt;=$E23,AR$7&lt;=$F23),"■","")</x:f>
      </x:c>
      <x:c r="AS23" s="311" t="str">
        <x:f>IF(AND(AS$7&gt;=$E23,AS$7&lt;=$F23),"■","")</x:f>
      </x:c>
      <x:c r="AT23" s="311" t="str">
        <x:f>IF(AND(AT$7&gt;=$E23,AT$7&lt;=$F23),"■","")</x:f>
      </x:c>
      <x:c r="AU23" s="311" t="str">
        <x:f>IF(AND(AU$7&gt;=$E23,AU$7&lt;=$F23),"■","")</x:f>
      </x:c>
      <x:c r="AV23" s="311" t="str">
        <x:f>IF(AND(AV$7&gt;=$E23,AV$7&lt;=$F23),"■","")</x:f>
      </x:c>
      <x:c r="AW23" s="311" t="str">
        <x:f>IF(AND(AW$7&gt;=$E23,AW$7&lt;=$F23),"■","")</x:f>
      </x:c>
      <x:c r="AX23" s="311" t="str">
        <x:f>IF(AND(AX$7&gt;=$E23,AX$7&lt;=$F23),"■","")</x:f>
      </x:c>
      <x:c r="AY23" s="311" t="str">
        <x:f>IF(AND(AY$7&gt;=$E23,AY$7&lt;=$F23),"■","")</x:f>
      </x:c>
      <x:c r="AZ23" s="311" t="str">
        <x:f>IF(AND(AZ$7&gt;=$E23,AZ$7&lt;=$F23),"■","")</x:f>
      </x:c>
      <x:c r="BA23" s="311" t="str">
        <x:f>IF(AND(BA$7&gt;=$E23,BA$7&lt;=$F23),"■","")</x:f>
      </x:c>
      <x:c r="BB23" s="321" t="str">
        <x:f>IF(AND(BB$7&gt;=$E23,BB$7&lt;=$F23),"■","")</x:f>
      </x:c>
      <x:c r="BC23" s="321" t="str">
        <x:f>IF(AND(BC$7&gt;=$E23,BC$7&lt;=$F23),"■","")</x:f>
      </x:c>
      <x:c r="BD23" s="321" t="str">
        <x:f>IF(AND(BD$7&gt;=$E23,BD$7&lt;=$F23),"■","")</x:f>
      </x:c>
      <x:c r="BE23" s="321" t="str">
        <x:f>IF(AND(BE$7&gt;=$E23,BE$7&lt;=$F23),"■","")</x:f>
      </x:c>
      <x:c r="BF23" s="321" t="str">
        <x:f>IF(AND(BF$7&gt;=$E23,BF$7&lt;=$F23),"■","")</x:f>
      </x:c>
      <x:c r="BG23" s="321" t="str">
        <x:f>IF(AND(BG$7&gt;=$E23,BG$7&lt;=$F23),"■","")</x:f>
      </x:c>
      <x:c r="BH23" s="321" t="str">
        <x:f>IF(AND(BH$7&gt;=$E23,BH$7&lt;=$F23),"■","")</x:f>
      </x:c>
      <x:c r="BI23" s="321" t="str">
        <x:f>IF(AND(BI$7&gt;=$E23,BI$7&lt;=$F23),"■","")</x:f>
      </x:c>
      <x:c r="BJ23" s="321" t="str">
        <x:f>IF(AND(BJ$7&gt;=$E23,BJ$7&lt;=$F23),"■","")</x:f>
      </x:c>
      <x:c r="BK23" s="321" t="str">
        <x:f>IF(AND(BK$7&gt;=$E23,BK$7&lt;=$F23),"■","")</x:f>
      </x:c>
      <x:c r="BL23" s="321" t="str">
        <x:f>IF(AND(BL$7&gt;=$E23,BL$7&lt;=$F23),"■","")</x:f>
      </x:c>
      <x:c r="BM23" s="321" t="str">
        <x:f>IF(AND(BM$7&gt;=$E23,BM$7&lt;=$F23),"■","")</x:f>
      </x:c>
      <x:c r="BN23" s="321" t="str">
        <x:f>IF(AND(BN$7&gt;=$E23,BN$7&lt;=$F23),"■","")</x:f>
      </x:c>
      <x:c r="BO23" s="321" t="str">
        <x:f>IF(AND(BO$7&gt;=$E23,BO$7&lt;=$F23),"■","")</x:f>
      </x:c>
      <x:c r="BP23" s="322" t="str">
        <x:f>IF(AND(BP$7&gt;=$E23,BP$7&lt;=$F23),"■","")</x:f>
      </x:c>
      <x:c r="BQ23" s="61"/>
    </x:row>
    <x:row r="24" ht="38" customHeight="1">
      <x:c r="A24" s="32"/>
      <x:c r="B24" s="330" t="str">
        <x:v>2.5★</x:v>
      </x:c>
      <x:c r="C24" s="331" t="str">
        <x:v>합성 데이터 적재 전 validation 구현(schema·PII·정합)
[대기] 산출물: 전처리 데이터·validation 결과</x:v>
      </x:c>
      <x:c r="D24" s="331" t="str">
        <x:v>정승·김재홍</x:v>
      </x:c>
      <x:c r="E24" s="332" t="n">
        <x:v>46233</x:v>
      </x:c>
      <x:c r="F24" s="332" t="n">
        <x:v>46233</x:v>
      </x:c>
      <x:c r="G24" s="333" t="n">
        <x:f>MAX(0,F24-E24)</x:f>
        <x:v>0</x:v>
      </x:c>
      <x:c r="H24" s="334" t="n">
        <x:v>0</x:v>
      </x:c>
      <x:c r="I24" s="338" t="str">
        <x:f>IF(AND(I$7&gt;=$E24,I$7&lt;=$F24),"■","")</x:f>
      </x:c>
      <x:c r="J24" s="339" t="str">
        <x:f>IF(AND(J$7&gt;=$E24,J$7&lt;=$F24),"■","")</x:f>
      </x:c>
      <x:c r="K24" s="340" t="str">
        <x:f>IF(AND(K$7&gt;=$E24,K$7&lt;=$F24),"■","")</x:f>
      </x:c>
      <x:c r="L24" s="340" t="str">
        <x:f>IF(AND(L$7&gt;=$E24,L$7&lt;=$F24),"■","")</x:f>
      </x:c>
      <x:c r="M24" s="338" t="str">
        <x:f>IF(AND(M$7&gt;=$E24,M$7&lt;=$F24),"■","")</x:f>
      </x:c>
      <x:c r="N24" s="338" t="str">
        <x:f>IF(AND(N$7&gt;=$E24,N$7&lt;=$F24),"■","")</x:f>
      </x:c>
      <x:c r="O24" s="338" t="str">
        <x:f>IF(AND(O$7&gt;=$E24,O$7&lt;=$F24),"■","")</x:f>
      </x:c>
      <x:c r="P24" s="338" t="str">
        <x:f>IF(AND(P$7&gt;=$E24,P$7&lt;=$F24),"■","")</x:f>
      </x:c>
      <x:c r="Q24" s="338" t="str">
        <x:f>IF(AND(Q$7&gt;=$E24,Q$7&lt;=$F24),"■","")</x:f>
      </x:c>
      <x:c r="R24" s="338" t="str">
        <x:f>IF(AND(R$7&gt;=$E24,R$7&lt;=$F24),"■","")</x:f>
      </x:c>
      <x:c r="S24" s="338" t="str">
        <x:f>IF(AND(S$7&gt;=$E24,S$7&lt;=$F24),"■","")</x:f>
      </x:c>
      <x:c r="T24" s="338" t="str">
        <x:f>IF(AND(T$7&gt;=$E24,T$7&lt;=$F24),"■","")</x:f>
      </x:c>
      <x:c r="U24" s="338" t="str">
        <x:f>IF(AND(U$7&gt;=$E24,U$7&lt;=$F24),"■","")</x:f>
      </x:c>
      <x:c r="V24" s="338" t="str">
        <x:f>IF(AND(V$7&gt;=$E24,V$7&lt;=$F24),"■","")</x:f>
      </x:c>
      <x:c r="W24" s="338" t="str">
        <x:f>IF(AND(W$7&gt;=$E24,W$7&lt;=$F24),"■","")</x:f>
      </x:c>
      <x:c r="X24" s="346" t="str">
        <x:f>IF(AND(X$7&gt;=$E24,X$7&lt;=$F24),"■","")</x:f>
      </x:c>
      <x:c r="Y24" s="346" t="str">
        <x:f>IF(AND(Y$7&gt;=$E24,Y$7&lt;=$F24),"■","")</x:f>
      </x:c>
      <x:c r="Z24" s="346" t="str">
        <x:f>IF(AND(Z$7&gt;=$E24,Z$7&lt;=$F24),"■","")</x:f>
      </x:c>
      <x:c r="AA24" s="346" t="str">
        <x:f>IF(AND(AA$7&gt;=$E24,AA$7&lt;=$F24),"■","")</x:f>
        <x:v>■</x:v>
      </x:c>
      <x:c r="AB24" s="346" t="str">
        <x:f>IF(AND(AB$7&gt;=$E24,AB$7&lt;=$F24),"■","")</x:f>
      </x:c>
      <x:c r="AC24" s="346" t="str">
        <x:f>IF(AND(AC$7&gt;=$E24,AC$7&lt;=$F24),"■","")</x:f>
      </x:c>
      <x:c r="AD24" s="346" t="str">
        <x:f>IF(AND(AD$7&gt;=$E24,AD$7&lt;=$F24),"■","")</x:f>
      </x:c>
      <x:c r="AE24" s="346" t="str">
        <x:f>IF(AND(AE$7&gt;=$E24,AE$7&lt;=$F24),"■","")</x:f>
      </x:c>
      <x:c r="AF24" s="346" t="str">
        <x:f>IF(AND(AF$7&gt;=$E24,AF$7&lt;=$F24),"■","")</x:f>
      </x:c>
      <x:c r="AG24" s="346" t="str">
        <x:f>IF(AND(AG$7&gt;=$E24,AG$7&lt;=$F24),"■","")</x:f>
      </x:c>
      <x:c r="AH24" s="346" t="str">
        <x:f>IF(AND(AH$7&gt;=$E24,AH$7&lt;=$F24),"■","")</x:f>
      </x:c>
      <x:c r="AI24" s="346" t="str">
        <x:f>IF(AND(AI$7&gt;=$E24,AI$7&lt;=$F24),"■","")</x:f>
      </x:c>
      <x:c r="AJ24" s="346" t="str">
        <x:f>IF(AND(AJ$7&gt;=$E24,AJ$7&lt;=$F24),"■","")</x:f>
      </x:c>
      <x:c r="AK24" s="346" t="str">
        <x:f>IF(AND(AK$7&gt;=$E24,AK$7&lt;=$F24),"■","")</x:f>
      </x:c>
      <x:c r="AL24" s="346" t="str">
        <x:f>IF(AND(AL$7&gt;=$E24,AL$7&lt;=$F24),"■","")</x:f>
      </x:c>
      <x:c r="AM24" s="348" t="str">
        <x:f>IF(AND(AM$7&gt;=$E24,AM$7&lt;=$F24),"■","")</x:f>
      </x:c>
      <x:c r="AN24" s="348" t="str">
        <x:f>IF(AND(AN$7&gt;=$E24,AN$7&lt;=$F24),"■","")</x:f>
      </x:c>
      <x:c r="AO24" s="348" t="str">
        <x:f>IF(AND(AO$7&gt;=$E24,AO$7&lt;=$F24),"■","")</x:f>
      </x:c>
      <x:c r="AP24" s="348" t="str">
        <x:f>IF(AND(AP$7&gt;=$E24,AP$7&lt;=$F24),"■","")</x:f>
      </x:c>
      <x:c r="AQ24" s="348" t="str">
        <x:f>IF(AND(AQ$7&gt;=$E24,AQ$7&lt;=$F24),"■","")</x:f>
      </x:c>
      <x:c r="AR24" s="348" t="str">
        <x:f>IF(AND(AR$7&gt;=$E24,AR$7&lt;=$F24),"■","")</x:f>
      </x:c>
      <x:c r="AS24" s="348" t="str">
        <x:f>IF(AND(AS$7&gt;=$E24,AS$7&lt;=$F24),"■","")</x:f>
      </x:c>
      <x:c r="AT24" s="348" t="str">
        <x:f>IF(AND(AT$7&gt;=$E24,AT$7&lt;=$F24),"■","")</x:f>
      </x:c>
      <x:c r="AU24" s="348" t="str">
        <x:f>IF(AND(AU$7&gt;=$E24,AU$7&lt;=$F24),"■","")</x:f>
      </x:c>
      <x:c r="AV24" s="348" t="str">
        <x:f>IF(AND(AV$7&gt;=$E24,AV$7&lt;=$F24),"■","")</x:f>
      </x:c>
      <x:c r="AW24" s="348" t="str">
        <x:f>IF(AND(AW$7&gt;=$E24,AW$7&lt;=$F24),"■","")</x:f>
      </x:c>
      <x:c r="AX24" s="348" t="str">
        <x:f>IF(AND(AX$7&gt;=$E24,AX$7&lt;=$F24),"■","")</x:f>
      </x:c>
      <x:c r="AY24" s="348" t="str">
        <x:f>IF(AND(AY$7&gt;=$E24,AY$7&lt;=$F24),"■","")</x:f>
      </x:c>
      <x:c r="AZ24" s="348" t="str">
        <x:f>IF(AND(AZ$7&gt;=$E24,AZ$7&lt;=$F24),"■","")</x:f>
      </x:c>
      <x:c r="BA24" s="348" t="str">
        <x:f>IF(AND(BA$7&gt;=$E24,BA$7&lt;=$F24),"■","")</x:f>
      </x:c>
      <x:c r="BB24" s="350" t="str">
        <x:f>IF(AND(BB$7&gt;=$E24,BB$7&lt;=$F24),"■","")</x:f>
      </x:c>
      <x:c r="BC24" s="350" t="str">
        <x:f>IF(AND(BC$7&gt;=$E24,BC$7&lt;=$F24),"■","")</x:f>
      </x:c>
      <x:c r="BD24" s="350" t="str">
        <x:f>IF(AND(BD$7&gt;=$E24,BD$7&lt;=$F24),"■","")</x:f>
      </x:c>
      <x:c r="BE24" s="350" t="str">
        <x:f>IF(AND(BE$7&gt;=$E24,BE$7&lt;=$F24),"■","")</x:f>
      </x:c>
      <x:c r="BF24" s="350" t="str">
        <x:f>IF(AND(BF$7&gt;=$E24,BF$7&lt;=$F24),"■","")</x:f>
      </x:c>
      <x:c r="BG24" s="350" t="str">
        <x:f>IF(AND(BG$7&gt;=$E24,BG$7&lt;=$F24),"■","")</x:f>
      </x:c>
      <x:c r="BH24" s="350" t="str">
        <x:f>IF(AND(BH$7&gt;=$E24,BH$7&lt;=$F24),"■","")</x:f>
      </x:c>
      <x:c r="BI24" s="350" t="str">
        <x:f>IF(AND(BI$7&gt;=$E24,BI$7&lt;=$F24),"■","")</x:f>
      </x:c>
      <x:c r="BJ24" s="350" t="str">
        <x:f>IF(AND(BJ$7&gt;=$E24,BJ$7&lt;=$F24),"■","")</x:f>
      </x:c>
      <x:c r="BK24" s="350" t="str">
        <x:f>IF(AND(BK$7&gt;=$E24,BK$7&lt;=$F24),"■","")</x:f>
      </x:c>
      <x:c r="BL24" s="350" t="str">
        <x:f>IF(AND(BL$7&gt;=$E24,BL$7&lt;=$F24),"■","")</x:f>
      </x:c>
      <x:c r="BM24" s="350" t="str">
        <x:f>IF(AND(BM$7&gt;=$E24,BM$7&lt;=$F24),"■","")</x:f>
      </x:c>
      <x:c r="BN24" s="350" t="str">
        <x:f>IF(AND(BN$7&gt;=$E24,BN$7&lt;=$F24),"■","")</x:f>
      </x:c>
      <x:c r="BO24" s="350" t="str">
        <x:f>IF(AND(BO$7&gt;=$E24,BO$7&lt;=$F24),"■","")</x:f>
      </x:c>
      <x:c r="BP24" s="350" t="str">
        <x:f>IF(AND(BP$7&gt;=$E24,BP$7&lt;=$F24),"■","")</x:f>
      </x:c>
      <x:c r="BQ24" s="32"/>
    </x:row>
    <x:row r="25" ht="38" customHeight="1">
      <x:c r="A25" s="61"/>
      <x:c r="B25" s="273" t="str">
        <x:v>2.6</x:v>
      </x:c>
      <x:c r="C25" s="274" t="str">
        <x:v>v0 데이터 전처리 기준·결과 문서화
[대기] 산출물: 데이터 전처리 결과서 · 제출 07/31</x:v>
      </x:c>
      <x:c r="D25" s="274" t="str">
        <x:v>정승</x:v>
      </x:c>
      <x:c r="E25" s="275" t="n">
        <x:v>46233</x:v>
      </x:c>
      <x:c r="F25" s="275" t="n">
        <x:v>46234</x:v>
      </x:c>
      <x:c r="G25" s="276" t="n">
        <x:f>MAX(0,F25-E25)</x:f>
        <x:v>1</x:v>
      </x:c>
      <x:c r="H25" s="277" t="n">
        <x:v>0</x:v>
      </x:c>
      <x:c r="I25" s="292" t="str">
        <x:f>IF(AND(I$7&gt;=$E25,I$7&lt;=$F25),"■","")</x:f>
      </x:c>
      <x:c r="J25" s="293" t="str">
        <x:f>IF(AND(J$7&gt;=$E25,J$7&lt;=$F25),"■","")</x:f>
      </x:c>
      <x:c r="K25" s="294" t="str">
        <x:f>IF(AND(K$7&gt;=$E25,K$7&lt;=$F25),"■","")</x:f>
      </x:c>
      <x:c r="L25" s="294" t="str">
        <x:f>IF(AND(L$7&gt;=$E25,L$7&lt;=$F25),"■","")</x:f>
      </x:c>
      <x:c r="M25" s="294" t="str">
        <x:f>IF(AND(M$7&gt;=$E25,M$7&lt;=$F25),"■","")</x:f>
      </x:c>
      <x:c r="N25" s="297" t="str">
        <x:f>IF(AND(N$7&gt;=$E25,N$7&lt;=$F25),"■","")</x:f>
      </x:c>
      <x:c r="O25" s="297" t="str">
        <x:f>IF(AND(O$7&gt;=$E25,O$7&lt;=$F25),"■","")</x:f>
      </x:c>
      <x:c r="P25" s="297" t="str">
        <x:f>IF(AND(P$7&gt;=$E25,P$7&lt;=$F25),"■","")</x:f>
      </x:c>
      <x:c r="Q25" s="297" t="str">
        <x:f>IF(AND(Q$7&gt;=$E25,Q$7&lt;=$F25),"■","")</x:f>
      </x:c>
      <x:c r="R25" s="297" t="str">
        <x:f>IF(AND(R$7&gt;=$E25,R$7&lt;=$F25),"■","")</x:f>
      </x:c>
      <x:c r="S25" s="294" t="str">
        <x:f>IF(AND(S$7&gt;=$E25,S$7&lt;=$F25),"■","")</x:f>
      </x:c>
      <x:c r="T25" s="294" t="str">
        <x:f>IF(AND(T$7&gt;=$E25,T$7&lt;=$F25),"■","")</x:f>
      </x:c>
      <x:c r="U25" s="294" t="str">
        <x:f>IF(AND(U$7&gt;=$E25,U$7&lt;=$F25),"■","")</x:f>
      </x:c>
      <x:c r="V25" s="294" t="str">
        <x:f>IF(AND(V$7&gt;=$E25,V$7&lt;=$F25),"■","")</x:f>
      </x:c>
      <x:c r="W25" s="294" t="str">
        <x:f>IF(AND(W$7&gt;=$E25,W$7&lt;=$F25),"■","")</x:f>
      </x:c>
      <x:c r="X25" s="304" t="str">
        <x:f>IF(AND(X$7&gt;=$E25,X$7&lt;=$F25),"■","")</x:f>
      </x:c>
      <x:c r="Y25" s="304" t="str">
        <x:f>IF(AND(Y$7&gt;=$E25,Y$7&lt;=$F25),"■","")</x:f>
      </x:c>
      <x:c r="Z25" s="304" t="str">
        <x:f>IF(AND(Z$7&gt;=$E25,Z$7&lt;=$F25),"■","")</x:f>
      </x:c>
      <x:c r="AA25" s="304" t="str">
        <x:f>IF(AND(AA$7&gt;=$E25,AA$7&lt;=$F25),"■","")</x:f>
        <x:v>■</x:v>
      </x:c>
      <x:c r="AB25" s="304" t="str">
        <x:f>IF(AND(AB$7&gt;=$E25,AB$7&lt;=$F25),"■","")</x:f>
        <x:v>■</x:v>
      </x:c>
      <x:c r="AC25" s="304" t="str">
        <x:f>IF(AND(AC$7&gt;=$E25,AC$7&lt;=$F25),"■","")</x:f>
      </x:c>
      <x:c r="AD25" s="304" t="str">
        <x:f>IF(AND(AD$7&gt;=$E25,AD$7&lt;=$F25),"■","")</x:f>
      </x:c>
      <x:c r="AE25" s="304" t="str">
        <x:f>IF(AND(AE$7&gt;=$E25,AE$7&lt;=$F25),"■","")</x:f>
      </x:c>
      <x:c r="AF25" s="304" t="str">
        <x:f>IF(AND(AF$7&gt;=$E25,AF$7&lt;=$F25),"■","")</x:f>
      </x:c>
      <x:c r="AG25" s="304" t="str">
        <x:f>IF(AND(AG$7&gt;=$E25,AG$7&lt;=$F25),"■","")</x:f>
      </x:c>
      <x:c r="AH25" s="304" t="str">
        <x:f>IF(AND(AH$7&gt;=$E25,AH$7&lt;=$F25),"■","")</x:f>
      </x:c>
      <x:c r="AI25" s="304" t="str">
        <x:f>IF(AND(AI$7&gt;=$E25,AI$7&lt;=$F25),"■","")</x:f>
      </x:c>
      <x:c r="AJ25" s="304" t="str">
        <x:f>IF(AND(AJ$7&gt;=$E25,AJ$7&lt;=$F25),"■","")</x:f>
      </x:c>
      <x:c r="AK25" s="304" t="str">
        <x:f>IF(AND(AK$7&gt;=$E25,AK$7&lt;=$F25),"■","")</x:f>
      </x:c>
      <x:c r="AL25" s="304" t="str">
        <x:f>IF(AND(AL$7&gt;=$E25,AL$7&lt;=$F25),"■","")</x:f>
      </x:c>
      <x:c r="AM25" s="310" t="str">
        <x:f>IF(AND(AM$7&gt;=$E25,AM$7&lt;=$F25),"■","")</x:f>
      </x:c>
      <x:c r="AN25" s="310" t="str">
        <x:f>IF(AND(AN$7&gt;=$E25,AN$7&lt;=$F25),"■","")</x:f>
      </x:c>
      <x:c r="AO25" s="310" t="str">
        <x:f>IF(AND(AO$7&gt;=$E25,AO$7&lt;=$F25),"■","")</x:f>
      </x:c>
      <x:c r="AP25" s="310" t="str">
        <x:f>IF(AND(AP$7&gt;=$E25,AP$7&lt;=$F25),"■","")</x:f>
      </x:c>
      <x:c r="AQ25" s="310" t="str">
        <x:f>IF(AND(AQ$7&gt;=$E25,AQ$7&lt;=$F25),"■","")</x:f>
      </x:c>
      <x:c r="AR25" s="310" t="str">
        <x:f>IF(AND(AR$7&gt;=$E25,AR$7&lt;=$F25),"■","")</x:f>
      </x:c>
      <x:c r="AS25" s="310" t="str">
        <x:f>IF(AND(AS$7&gt;=$E25,AS$7&lt;=$F25),"■","")</x:f>
      </x:c>
      <x:c r="AT25" s="310" t="str">
        <x:f>IF(AND(AT$7&gt;=$E25,AT$7&lt;=$F25),"■","")</x:f>
      </x:c>
      <x:c r="AU25" s="310" t="str">
        <x:f>IF(AND(AU$7&gt;=$E25,AU$7&lt;=$F25),"■","")</x:f>
      </x:c>
      <x:c r="AV25" s="310" t="str">
        <x:f>IF(AND(AV$7&gt;=$E25,AV$7&lt;=$F25),"■","")</x:f>
      </x:c>
      <x:c r="AW25" s="310" t="str">
        <x:f>IF(AND(AW$7&gt;=$E25,AW$7&lt;=$F25),"■","")</x:f>
      </x:c>
      <x:c r="AX25" s="310" t="str">
        <x:f>IF(AND(AX$7&gt;=$E25,AX$7&lt;=$F25),"■","")</x:f>
      </x:c>
      <x:c r="AY25" s="310" t="str">
        <x:f>IF(AND(AY$7&gt;=$E25,AY$7&lt;=$F25),"■","")</x:f>
      </x:c>
      <x:c r="AZ25" s="310" t="str">
        <x:f>IF(AND(AZ$7&gt;=$E25,AZ$7&lt;=$F25),"■","")</x:f>
      </x:c>
      <x:c r="BA25" s="310" t="str">
        <x:f>IF(AND(BA$7&gt;=$E25,BA$7&lt;=$F25),"■","")</x:f>
      </x:c>
      <x:c r="BB25" s="319" t="str">
        <x:f>IF(AND(BB$7&gt;=$E25,BB$7&lt;=$F25),"■","")</x:f>
      </x:c>
      <x:c r="BC25" s="319" t="str">
        <x:f>IF(AND(BC$7&gt;=$E25,BC$7&lt;=$F25),"■","")</x:f>
      </x:c>
      <x:c r="BD25" s="319" t="str">
        <x:f>IF(AND(BD$7&gt;=$E25,BD$7&lt;=$F25),"■","")</x:f>
      </x:c>
      <x:c r="BE25" s="319" t="str">
        <x:f>IF(AND(BE$7&gt;=$E25,BE$7&lt;=$F25),"■","")</x:f>
      </x:c>
      <x:c r="BF25" s="319" t="str">
        <x:f>IF(AND(BF$7&gt;=$E25,BF$7&lt;=$F25),"■","")</x:f>
      </x:c>
      <x:c r="BG25" s="319" t="str">
        <x:f>IF(AND(BG$7&gt;=$E25,BG$7&lt;=$F25),"■","")</x:f>
      </x:c>
      <x:c r="BH25" s="319" t="str">
        <x:f>IF(AND(BH$7&gt;=$E25,BH$7&lt;=$F25),"■","")</x:f>
      </x:c>
      <x:c r="BI25" s="319" t="str">
        <x:f>IF(AND(BI$7&gt;=$E25,BI$7&lt;=$F25),"■","")</x:f>
      </x:c>
      <x:c r="BJ25" s="319" t="str">
        <x:f>IF(AND(BJ$7&gt;=$E25,BJ$7&lt;=$F25),"■","")</x:f>
      </x:c>
      <x:c r="BK25" s="319" t="str">
        <x:f>IF(AND(BK$7&gt;=$E25,BK$7&lt;=$F25),"■","")</x:f>
      </x:c>
      <x:c r="BL25" s="319" t="str">
        <x:f>IF(AND(BL$7&gt;=$E25,BL$7&lt;=$F25),"■","")</x:f>
      </x:c>
      <x:c r="BM25" s="319" t="str">
        <x:f>IF(AND(BM$7&gt;=$E25,BM$7&lt;=$F25),"■","")</x:f>
      </x:c>
      <x:c r="BN25" s="319" t="str">
        <x:f>IF(AND(BN$7&gt;=$E25,BN$7&lt;=$F25),"■","")</x:f>
      </x:c>
      <x:c r="BO25" s="319" t="str">
        <x:f>IF(AND(BO$7&gt;=$E25,BO$7&lt;=$F25),"■","")</x:f>
      </x:c>
      <x:c r="BP25" s="320" t="str">
        <x:f>IF(AND(BP$7&gt;=$E25,BP$7&lt;=$F25),"■","")</x:f>
      </x:c>
      <x:c r="BQ25" s="61"/>
    </x:row>
    <x:row r="26" ht="38" customHeight="1">
      <x:c r="A26" s="61"/>
      <x:c r="B26" s="273" t="str">
        <x:v>2.7</x:v>
      </x:c>
      <x:c r="C26" s="274" t="str">
        <x:v>PostgreSQL 최소 업무 테이블 6개·모니터링 view 설계 후 validation 통과분 적재
[대기] 산출물: DB 스키마·적재본</x:v>
      </x:c>
      <x:c r="D26" s="274" t="str">
        <x:v>정승</x:v>
      </x:c>
      <x:c r="E26" s="275" t="n">
        <x:v>46234</x:v>
      </x:c>
      <x:c r="F26" s="275" t="n">
        <x:v>46239</x:v>
      </x:c>
      <x:c r="G26" s="276" t="n">
        <x:f>MAX(0,F26-E26)</x:f>
        <x:v>5</x:v>
      </x:c>
      <x:c r="H26" s="277" t="n">
        <x:v>0</x:v>
      </x:c>
      <x:c r="I26" s="295" t="str">
        <x:f>IF(AND(I$7&gt;=$E26,I$7&lt;=$F26),"■","")</x:f>
      </x:c>
      <x:c r="J26" s="296" t="str">
        <x:f>IF(AND(J$7&gt;=$E26,J$7&lt;=$F26),"■","")</x:f>
      </x:c>
      <x:c r="K26" s="297" t="str">
        <x:f>IF(AND(K$7&gt;=$E26,K$7&lt;=$F26),"■","")</x:f>
      </x:c>
      <x:c r="L26" s="297" t="str">
        <x:f>IF(AND(L$7&gt;=$E26,L$7&lt;=$F26),"■","")</x:f>
      </x:c>
      <x:c r="M26" s="297" t="str">
        <x:f>IF(AND(M$7&gt;=$E26,M$7&lt;=$F26),"■","")</x:f>
      </x:c>
      <x:c r="N26" s="297" t="str">
        <x:f>IF(AND(N$7&gt;=$E26,N$7&lt;=$F26),"■","")</x:f>
      </x:c>
      <x:c r="O26" s="297" t="str">
        <x:f>IF(AND(O$7&gt;=$E26,O$7&lt;=$F26),"■","")</x:f>
      </x:c>
      <x:c r="P26" s="297" t="str">
        <x:f>IF(AND(P$7&gt;=$E26,P$7&lt;=$F26),"■","")</x:f>
      </x:c>
      <x:c r="Q26" s="297" t="str">
        <x:f>IF(AND(Q$7&gt;=$E26,Q$7&lt;=$F26),"■","")</x:f>
      </x:c>
      <x:c r="R26" s="297" t="str">
        <x:f>IF(AND(R$7&gt;=$E26,R$7&lt;=$F26),"■","")</x:f>
      </x:c>
      <x:c r="S26" s="297" t="str">
        <x:f>IF(AND(S$7&gt;=$E26,S$7&lt;=$F26),"■","")</x:f>
      </x:c>
      <x:c r="T26" s="297" t="str">
        <x:f>IF(AND(T$7&gt;=$E26,T$7&lt;=$F26),"■","")</x:f>
      </x:c>
      <x:c r="U26" s="297" t="str">
        <x:f>IF(AND(U$7&gt;=$E26,U$7&lt;=$F26),"■","")</x:f>
      </x:c>
      <x:c r="V26" s="297" t="str">
        <x:f>IF(AND(V$7&gt;=$E26,V$7&lt;=$F26),"■","")</x:f>
      </x:c>
      <x:c r="W26" s="297" t="str">
        <x:f>IF(AND(W$7&gt;=$E26,W$7&lt;=$F26),"■","")</x:f>
      </x:c>
      <x:c r="X26" s="305" t="str">
        <x:f>IF(AND(X$7&gt;=$E26,X$7&lt;=$F26),"■","")</x:f>
      </x:c>
      <x:c r="Y26" s="305" t="str">
        <x:f>IF(AND(Y$7&gt;=$E26,Y$7&lt;=$F26),"■","")</x:f>
      </x:c>
      <x:c r="Z26" s="305" t="str">
        <x:f>IF(AND(Z$7&gt;=$E26,Z$7&lt;=$F26),"■","")</x:f>
      </x:c>
      <x:c r="AA26" s="305" t="str">
        <x:f>IF(AND(AA$7&gt;=$E26,AA$7&lt;=$F26),"■","")</x:f>
      </x:c>
      <x:c r="AB26" s="305" t="str">
        <x:f>IF(AND(AB$7&gt;=$E26,AB$7&lt;=$F26),"■","")</x:f>
        <x:v>■</x:v>
      </x:c>
      <x:c r="AC26" s="305" t="str">
        <x:f>IF(AND(AC$7&gt;=$E26,AC$7&lt;=$F26),"■","")</x:f>
        <x:v>■</x:v>
      </x:c>
      <x:c r="AD26" s="305" t="str">
        <x:f>IF(AND(AD$7&gt;=$E26,AD$7&lt;=$F26),"■","")</x:f>
        <x:v>■</x:v>
      </x:c>
      <x:c r="AE26" s="305" t="str">
        <x:f>IF(AND(AE$7&gt;=$E26,AE$7&lt;=$F26),"■","")</x:f>
        <x:v>■</x:v>
      </x:c>
      <x:c r="AF26" s="305" t="str">
        <x:f>IF(AND(AF$7&gt;=$E26,AF$7&lt;=$F26),"■","")</x:f>
      </x:c>
      <x:c r="AG26" s="305" t="str">
        <x:f>IF(AND(AG$7&gt;=$E26,AG$7&lt;=$F26),"■","")</x:f>
      </x:c>
      <x:c r="AH26" s="305" t="str">
        <x:f>IF(AND(AH$7&gt;=$E26,AH$7&lt;=$F26),"■","")</x:f>
      </x:c>
      <x:c r="AI26" s="305" t="str">
        <x:f>IF(AND(AI$7&gt;=$E26,AI$7&lt;=$F26),"■","")</x:f>
      </x:c>
      <x:c r="AJ26" s="305" t="str">
        <x:f>IF(AND(AJ$7&gt;=$E26,AJ$7&lt;=$F26),"■","")</x:f>
      </x:c>
      <x:c r="AK26" s="305" t="str">
        <x:f>IF(AND(AK$7&gt;=$E26,AK$7&lt;=$F26),"■","")</x:f>
      </x:c>
      <x:c r="AL26" s="305" t="str">
        <x:f>IF(AND(AL$7&gt;=$E26,AL$7&lt;=$F26),"■","")</x:f>
      </x:c>
      <x:c r="AM26" s="311" t="str">
        <x:f>IF(AND(AM$7&gt;=$E26,AM$7&lt;=$F26),"■","")</x:f>
      </x:c>
      <x:c r="AN26" s="311" t="str">
        <x:f>IF(AND(AN$7&gt;=$E26,AN$7&lt;=$F26),"■","")</x:f>
      </x:c>
      <x:c r="AO26" s="311" t="str">
        <x:f>IF(AND(AO$7&gt;=$E26,AO$7&lt;=$F26),"■","")</x:f>
      </x:c>
      <x:c r="AP26" s="311" t="str">
        <x:f>IF(AND(AP$7&gt;=$E26,AP$7&lt;=$F26),"■","")</x:f>
      </x:c>
      <x:c r="AQ26" s="311" t="str">
        <x:f>IF(AND(AQ$7&gt;=$E26,AQ$7&lt;=$F26),"■","")</x:f>
      </x:c>
      <x:c r="AR26" s="311" t="str">
        <x:f>IF(AND(AR$7&gt;=$E26,AR$7&lt;=$F26),"■","")</x:f>
      </x:c>
      <x:c r="AS26" s="311" t="str">
        <x:f>IF(AND(AS$7&gt;=$E26,AS$7&lt;=$F26),"■","")</x:f>
      </x:c>
      <x:c r="AT26" s="311" t="str">
        <x:f>IF(AND(AT$7&gt;=$E26,AT$7&lt;=$F26),"■","")</x:f>
      </x:c>
      <x:c r="AU26" s="311" t="str">
        <x:f>IF(AND(AU$7&gt;=$E26,AU$7&lt;=$F26),"■","")</x:f>
      </x:c>
      <x:c r="AV26" s="311" t="str">
        <x:f>IF(AND(AV$7&gt;=$E26,AV$7&lt;=$F26),"■","")</x:f>
      </x:c>
      <x:c r="AW26" s="311" t="str">
        <x:f>IF(AND(AW$7&gt;=$E26,AW$7&lt;=$F26),"■","")</x:f>
      </x:c>
      <x:c r="AX26" s="311" t="str">
        <x:f>IF(AND(AX$7&gt;=$E26,AX$7&lt;=$F26),"■","")</x:f>
      </x:c>
      <x:c r="AY26" s="311" t="str">
        <x:f>IF(AND(AY$7&gt;=$E26,AY$7&lt;=$F26),"■","")</x:f>
      </x:c>
      <x:c r="AZ26" s="311" t="str">
        <x:f>IF(AND(AZ$7&gt;=$E26,AZ$7&lt;=$F26),"■","")</x:f>
      </x:c>
      <x:c r="BA26" s="311" t="str">
        <x:f>IF(AND(BA$7&gt;=$E26,BA$7&lt;=$F26),"■","")</x:f>
      </x:c>
      <x:c r="BB26" s="321" t="str">
        <x:f>IF(AND(BB$7&gt;=$E26,BB$7&lt;=$F26),"■","")</x:f>
      </x:c>
      <x:c r="BC26" s="321" t="str">
        <x:f>IF(AND(BC$7&gt;=$E26,BC$7&lt;=$F26),"■","")</x:f>
      </x:c>
      <x:c r="BD26" s="321" t="str">
        <x:f>IF(AND(BD$7&gt;=$E26,BD$7&lt;=$F26),"■","")</x:f>
      </x:c>
      <x:c r="BE26" s="321" t="str">
        <x:f>IF(AND(BE$7&gt;=$E26,BE$7&lt;=$F26),"■","")</x:f>
      </x:c>
      <x:c r="BF26" s="321" t="str">
        <x:f>IF(AND(BF$7&gt;=$E26,BF$7&lt;=$F26),"■","")</x:f>
      </x:c>
      <x:c r="BG26" s="321" t="str">
        <x:f>IF(AND(BG$7&gt;=$E26,BG$7&lt;=$F26),"■","")</x:f>
      </x:c>
      <x:c r="BH26" s="321" t="str">
        <x:f>IF(AND(BH$7&gt;=$E26,BH$7&lt;=$F26),"■","")</x:f>
      </x:c>
      <x:c r="BI26" s="321" t="str">
        <x:f>IF(AND(BI$7&gt;=$E26,BI$7&lt;=$F26),"■","")</x:f>
      </x:c>
      <x:c r="BJ26" s="321" t="str">
        <x:f>IF(AND(BJ$7&gt;=$E26,BJ$7&lt;=$F26),"■","")</x:f>
      </x:c>
      <x:c r="BK26" s="321" t="str">
        <x:f>IF(AND(BK$7&gt;=$E26,BK$7&lt;=$F26),"■","")</x:f>
      </x:c>
      <x:c r="BL26" s="321" t="str">
        <x:f>IF(AND(BL$7&gt;=$E26,BL$7&lt;=$F26),"■","")</x:f>
      </x:c>
      <x:c r="BM26" s="321" t="str">
        <x:f>IF(AND(BM$7&gt;=$E26,BM$7&lt;=$F26),"■","")</x:f>
      </x:c>
      <x:c r="BN26" s="321" t="str">
        <x:f>IF(AND(BN$7&gt;=$E26,BN$7&lt;=$F26),"■","")</x:f>
      </x:c>
      <x:c r="BO26" s="321" t="str">
        <x:f>IF(AND(BO$7&gt;=$E26,BO$7&lt;=$F26),"■","")</x:f>
      </x:c>
      <x:c r="BP26" s="322" t="str">
        <x:f>IF(AND(BP$7&gt;=$E26,BP$7&lt;=$F26),"■","")</x:f>
      </x:c>
      <x:c r="BQ26" s="61"/>
    </x:row>
    <x:row r="27" ht="38" customHeight="1">
      <x:c r="A27" s="61"/>
      <x:c r="B27" s="273" t="str">
        <x:v>2.8</x:v>
      </x:c>
      <x:c r="C27" s="274" t="str">
        <x:v>원본/학습 lineage·직원/알림·호텔 문서·read-only 흐름 문서화
[대기] 산출물: 데이터베이스/저장소 설계 문서 · 제출 07/31</x:v>
      </x:c>
      <x:c r="D27" s="274" t="str">
        <x:v>김재홍·정승</x:v>
      </x:c>
      <x:c r="E27" s="275" t="n">
        <x:v>46232</x:v>
      </x:c>
      <x:c r="F27" s="275" t="n">
        <x:v>46234</x:v>
      </x:c>
      <x:c r="G27" s="276" t="n">
        <x:f>MAX(0,F27-E27)</x:f>
        <x:v>2</x:v>
      </x:c>
      <x:c r="H27" s="277" t="n">
        <x:v>0</x:v>
      </x:c>
      <x:c r="I27" s="295" t="str">
        <x:f>IF(AND(I$7&gt;=$E27,I$7&lt;=$F27),"■","")</x:f>
      </x:c>
      <x:c r="J27" s="296" t="str">
        <x:f>IF(AND(J$7&gt;=$E27,J$7&lt;=$F27),"■","")</x:f>
      </x:c>
      <x:c r="K27" s="297" t="str">
        <x:f>IF(AND(K$7&gt;=$E27,K$7&lt;=$F27),"■","")</x:f>
      </x:c>
      <x:c r="L27" s="297" t="str">
        <x:f>IF(AND(L$7&gt;=$E27,L$7&lt;=$F27),"■","")</x:f>
      </x:c>
      <x:c r="M27" s="297" t="str">
        <x:f>IF(AND(M$7&gt;=$E27,M$7&lt;=$F27),"■","")</x:f>
      </x:c>
      <x:c r="N27" s="297" t="str">
        <x:f>IF(AND(N$7&gt;=$E27,N$7&lt;=$F27),"■","")</x:f>
      </x:c>
      <x:c r="O27" s="297" t="str">
        <x:f>IF(AND(O$7&gt;=$E27,O$7&lt;=$F27),"■","")</x:f>
      </x:c>
      <x:c r="P27" s="297" t="str">
        <x:f>IF(AND(P$7&gt;=$E27,P$7&lt;=$F27),"■","")</x:f>
      </x:c>
      <x:c r="Q27" s="297" t="str">
        <x:f>IF(AND(Q$7&gt;=$E27,Q$7&lt;=$F27),"■","")</x:f>
      </x:c>
      <x:c r="R27" s="297" t="str">
        <x:f>IF(AND(R$7&gt;=$E27,R$7&lt;=$F27),"■","")</x:f>
      </x:c>
      <x:c r="S27" s="294" t="str">
        <x:f>IF(AND(S$7&gt;=$E27,S$7&lt;=$F27),"■","")</x:f>
      </x:c>
      <x:c r="T27" s="294" t="str">
        <x:f>IF(AND(T$7&gt;=$E27,T$7&lt;=$F27),"■","")</x:f>
      </x:c>
      <x:c r="U27" s="294" t="str">
        <x:f>IF(AND(U$7&gt;=$E27,U$7&lt;=$F27),"■","")</x:f>
      </x:c>
      <x:c r="V27" s="294" t="str">
        <x:f>IF(AND(V$7&gt;=$E27,V$7&lt;=$F27),"■","")</x:f>
      </x:c>
      <x:c r="W27" s="297" t="str">
        <x:f>IF(AND(W$7&gt;=$E27,W$7&lt;=$F27),"■","")</x:f>
      </x:c>
      <x:c r="X27" s="305" t="str">
        <x:f>IF(AND(X$7&gt;=$E27,X$7&lt;=$F27),"■","")</x:f>
      </x:c>
      <x:c r="Y27" s="305" t="str">
        <x:f>IF(AND(Y$7&gt;=$E27,Y$7&lt;=$F27),"■","")</x:f>
      </x:c>
      <x:c r="Z27" s="305" t="str">
        <x:f>IF(AND(Z$7&gt;=$E27,Z$7&lt;=$F27),"■","")</x:f>
        <x:v>■</x:v>
      </x:c>
      <x:c r="AA27" s="305" t="str">
        <x:f>IF(AND(AA$7&gt;=$E27,AA$7&lt;=$F27),"■","")</x:f>
        <x:v>■</x:v>
      </x:c>
      <x:c r="AB27" s="305" t="str">
        <x:f>IF(AND(AB$7&gt;=$E27,AB$7&lt;=$F27),"■","")</x:f>
        <x:v>■</x:v>
      </x:c>
      <x:c r="AC27" s="305" t="str">
        <x:f>IF(AND(AC$7&gt;=$E27,AC$7&lt;=$F27),"■","")</x:f>
      </x:c>
      <x:c r="AD27" s="305" t="str">
        <x:f>IF(AND(AD$7&gt;=$E27,AD$7&lt;=$F27),"■","")</x:f>
      </x:c>
      <x:c r="AE27" s="305" t="str">
        <x:f>IF(AND(AE$7&gt;=$E27,AE$7&lt;=$F27),"■","")</x:f>
      </x:c>
      <x:c r="AF27" s="305" t="str">
        <x:f>IF(AND(AF$7&gt;=$E27,AF$7&lt;=$F27),"■","")</x:f>
      </x:c>
      <x:c r="AG27" s="305" t="str">
        <x:f>IF(AND(AG$7&gt;=$E27,AG$7&lt;=$F27),"■","")</x:f>
      </x:c>
      <x:c r="AH27" s="305" t="str">
        <x:f>IF(AND(AH$7&gt;=$E27,AH$7&lt;=$F27),"■","")</x:f>
      </x:c>
      <x:c r="AI27" s="305" t="str">
        <x:f>IF(AND(AI$7&gt;=$E27,AI$7&lt;=$F27),"■","")</x:f>
      </x:c>
      <x:c r="AJ27" s="305" t="str">
        <x:f>IF(AND(AJ$7&gt;=$E27,AJ$7&lt;=$F27),"■","")</x:f>
      </x:c>
      <x:c r="AK27" s="305" t="str">
        <x:f>IF(AND(AK$7&gt;=$E27,AK$7&lt;=$F27),"■","")</x:f>
      </x:c>
      <x:c r="AL27" s="305" t="str">
        <x:f>IF(AND(AL$7&gt;=$E27,AL$7&lt;=$F27),"■","")</x:f>
      </x:c>
      <x:c r="AM27" s="311" t="str">
        <x:f>IF(AND(AM$7&gt;=$E27,AM$7&lt;=$F27),"■","")</x:f>
      </x:c>
      <x:c r="AN27" s="311" t="str">
        <x:f>IF(AND(AN$7&gt;=$E27,AN$7&lt;=$F27),"■","")</x:f>
      </x:c>
      <x:c r="AO27" s="311" t="str">
        <x:f>IF(AND(AO$7&gt;=$E27,AO$7&lt;=$F27),"■","")</x:f>
      </x:c>
      <x:c r="AP27" s="311" t="str">
        <x:f>IF(AND(AP$7&gt;=$E27,AP$7&lt;=$F27),"■","")</x:f>
      </x:c>
      <x:c r="AQ27" s="311" t="str">
        <x:f>IF(AND(AQ$7&gt;=$E27,AQ$7&lt;=$F27),"■","")</x:f>
      </x:c>
      <x:c r="AR27" s="311" t="str">
        <x:f>IF(AND(AR$7&gt;=$E27,AR$7&lt;=$F27),"■","")</x:f>
      </x:c>
      <x:c r="AS27" s="311" t="str">
        <x:f>IF(AND(AS$7&gt;=$E27,AS$7&lt;=$F27),"■","")</x:f>
      </x:c>
      <x:c r="AT27" s="311" t="str">
        <x:f>IF(AND(AT$7&gt;=$E27,AT$7&lt;=$F27),"■","")</x:f>
      </x:c>
      <x:c r="AU27" s="311" t="str">
        <x:f>IF(AND(AU$7&gt;=$E27,AU$7&lt;=$F27),"■","")</x:f>
      </x:c>
      <x:c r="AV27" s="311" t="str">
        <x:f>IF(AND(AV$7&gt;=$E27,AV$7&lt;=$F27),"■","")</x:f>
      </x:c>
      <x:c r="AW27" s="311" t="str">
        <x:f>IF(AND(AW$7&gt;=$E27,AW$7&lt;=$F27),"■","")</x:f>
      </x:c>
      <x:c r="AX27" s="311" t="str">
        <x:f>IF(AND(AX$7&gt;=$E27,AX$7&lt;=$F27),"■","")</x:f>
      </x:c>
      <x:c r="AY27" s="311" t="str">
        <x:f>IF(AND(AY$7&gt;=$E27,AY$7&lt;=$F27),"■","")</x:f>
      </x:c>
      <x:c r="AZ27" s="311" t="str">
        <x:f>IF(AND(AZ$7&gt;=$E27,AZ$7&lt;=$F27),"■","")</x:f>
      </x:c>
      <x:c r="BA27" s="311" t="str">
        <x:f>IF(AND(BA$7&gt;=$E27,BA$7&lt;=$F27),"■","")</x:f>
      </x:c>
      <x:c r="BB27" s="321" t="str">
        <x:f>IF(AND(BB$7&gt;=$E27,BB$7&lt;=$F27),"■","")</x:f>
      </x:c>
      <x:c r="BC27" s="321" t="str">
        <x:f>IF(AND(BC$7&gt;=$E27,BC$7&lt;=$F27),"■","")</x:f>
      </x:c>
      <x:c r="BD27" s="321" t="str">
        <x:f>IF(AND(BD$7&gt;=$E27,BD$7&lt;=$F27),"■","")</x:f>
      </x:c>
      <x:c r="BE27" s="321" t="str">
        <x:f>IF(AND(BE$7&gt;=$E27,BE$7&lt;=$F27),"■","")</x:f>
      </x:c>
      <x:c r="BF27" s="321" t="str">
        <x:f>IF(AND(BF$7&gt;=$E27,BF$7&lt;=$F27),"■","")</x:f>
      </x:c>
      <x:c r="BG27" s="321" t="str">
        <x:f>IF(AND(BG$7&gt;=$E27,BG$7&lt;=$F27),"■","")</x:f>
      </x:c>
      <x:c r="BH27" s="321" t="str">
        <x:f>IF(AND(BH$7&gt;=$E27,BH$7&lt;=$F27),"■","")</x:f>
      </x:c>
      <x:c r="BI27" s="321" t="str">
        <x:f>IF(AND(BI$7&gt;=$E27,BI$7&lt;=$F27),"■","")</x:f>
      </x:c>
      <x:c r="BJ27" s="321" t="str">
        <x:f>IF(AND(BJ$7&gt;=$E27,BJ$7&lt;=$F27),"■","")</x:f>
      </x:c>
      <x:c r="BK27" s="321" t="str">
        <x:f>IF(AND(BK$7&gt;=$E27,BK$7&lt;=$F27),"■","")</x:f>
      </x:c>
      <x:c r="BL27" s="321" t="str">
        <x:f>IF(AND(BL$7&gt;=$E27,BL$7&lt;=$F27),"■","")</x:f>
      </x:c>
      <x:c r="BM27" s="321" t="str">
        <x:f>IF(AND(BM$7&gt;=$E27,BM$7&lt;=$F27),"■","")</x:f>
      </x:c>
      <x:c r="BN27" s="321" t="str">
        <x:f>IF(AND(BN$7&gt;=$E27,BN$7&lt;=$F27),"■","")</x:f>
      </x:c>
      <x:c r="BO27" s="321" t="str">
        <x:f>IF(AND(BO$7&gt;=$E27,BO$7&lt;=$F27),"■","")</x:f>
      </x:c>
      <x:c r="BP27" s="322" t="str">
        <x:f>IF(AND(BP$7&gt;=$E27,BP$7&lt;=$F27),"■","")</x:f>
      </x:c>
      <x:c r="BQ27" s="61"/>
    </x:row>
    <x:row r="28" ht="38" customHeight="1">
      <x:c r="A28" s="61"/>
      <x:c r="B28" s="273" t="str">
        <x:v>2.9★</x:v>
      </x:c>
      <x:c r="C28" s="274" t="str">
        <x:v>`metric_catalog`·role scope·장소/담당자 매핑 초안 설계(`1.7`에서 검토·확정)
[대기] 산출물: semantic catalog 초안</x:v>
      </x:c>
      <x:c r="D28" s="274" t="str">
        <x:v>김재홍·정승</x:v>
      </x:c>
      <x:c r="E28" s="275" t="n">
        <x:v>46224</x:v>
      </x:c>
      <x:c r="F28" s="275" t="n">
        <x:v>46230</x:v>
      </x:c>
      <x:c r="G28" s="276" t="n">
        <x:f>MAX(0,F28-E28)</x:f>
        <x:v>6</x:v>
      </x:c>
      <x:c r="H28" s="277" t="n">
        <x:v>0</x:v>
      </x:c>
      <x:c r="I28" s="295" t="str">
        <x:f>IF(AND(I$7&gt;=$E28,I$7&lt;=$F28),"■","")</x:f>
      </x:c>
      <x:c r="J28" s="296" t="str">
        <x:f>IF(AND(J$7&gt;=$E28,J$7&lt;=$F28),"■","")</x:f>
      </x:c>
      <x:c r="K28" s="297" t="str">
        <x:f>IF(AND(K$7&gt;=$E28,K$7&lt;=$F28),"■","")</x:f>
      </x:c>
      <x:c r="L28" s="297" t="str">
        <x:f>IF(AND(L$7&gt;=$E28,L$7&lt;=$F28),"■","")</x:f>
      </x:c>
      <x:c r="M28" s="297" t="str">
        <x:f>IF(AND(M$7&gt;=$E28,M$7&lt;=$F28),"■","")</x:f>
      </x:c>
      <x:c r="N28" s="297" t="str">
        <x:f>IF(AND(N$7&gt;=$E28,N$7&lt;=$F28),"■","")</x:f>
      </x:c>
      <x:c r="O28" s="297" t="str">
        <x:f>IF(AND(O$7&gt;=$E28,O$7&lt;=$F28),"■","")</x:f>
      </x:c>
      <x:c r="P28" s="297" t="str">
        <x:f>IF(AND(P$7&gt;=$E28,P$7&lt;=$F28),"■","")</x:f>
      </x:c>
      <x:c r="Q28" s="297" t="str">
        <x:f>IF(AND(Q$7&gt;=$E28,Q$7&lt;=$F28),"■","")</x:f>
      </x:c>
      <x:c r="R28" s="297" t="str">
        <x:f>IF(AND(R$7&gt;=$E28,R$7&lt;=$F28),"■","")</x:f>
      </x:c>
      <x:c r="S28" s="294" t="str">
        <x:f>IF(AND(S$7&gt;=$E28,S$7&lt;=$F28),"■","")</x:f>
      </x:c>
      <x:c r="T28" s="294" t="str">
        <x:f>IF(AND(T$7&gt;=$E28,T$7&lt;=$F28),"■","")</x:f>
        <x:v>■</x:v>
      </x:c>
      <x:c r="U28" s="294" t="str">
        <x:f>IF(AND(U$7&gt;=$E28,U$7&lt;=$F28),"■","")</x:f>
        <x:v>■</x:v>
      </x:c>
      <x:c r="V28" s="294" t="str">
        <x:f>IF(AND(V$7&gt;=$E28,V$7&lt;=$F28),"■","")</x:f>
        <x:v>■</x:v>
      </x:c>
      <x:c r="W28" s="297" t="str">
        <x:f>IF(AND(W$7&gt;=$E28,W$7&lt;=$F28),"■","")</x:f>
        <x:v>■</x:v>
      </x:c>
      <x:c r="X28" s="305" t="str">
        <x:f>IF(AND(X$7&gt;=$E28,X$7&lt;=$F28),"■","")</x:f>
        <x:v>■</x:v>
      </x:c>
      <x:c r="Y28" s="305" t="str">
        <x:f>IF(AND(Y$7&gt;=$E28,Y$7&lt;=$F28),"■","")</x:f>
      </x:c>
      <x:c r="Z28" s="305" t="str">
        <x:f>IF(AND(Z$7&gt;=$E28,Z$7&lt;=$F28),"■","")</x:f>
      </x:c>
      <x:c r="AA28" s="305" t="str">
        <x:f>IF(AND(AA$7&gt;=$E28,AA$7&lt;=$F28),"■","")</x:f>
      </x:c>
      <x:c r="AB28" s="305" t="str">
        <x:f>IF(AND(AB$7&gt;=$E28,AB$7&lt;=$F28),"■","")</x:f>
      </x:c>
      <x:c r="AC28" s="305" t="str">
        <x:f>IF(AND(AC$7&gt;=$E28,AC$7&lt;=$F28),"■","")</x:f>
      </x:c>
      <x:c r="AD28" s="305" t="str">
        <x:f>IF(AND(AD$7&gt;=$E28,AD$7&lt;=$F28),"■","")</x:f>
      </x:c>
      <x:c r="AE28" s="305" t="str">
        <x:f>IF(AND(AE$7&gt;=$E28,AE$7&lt;=$F28),"■","")</x:f>
      </x:c>
      <x:c r="AF28" s="305" t="str">
        <x:f>IF(AND(AF$7&gt;=$E28,AF$7&lt;=$F28),"■","")</x:f>
      </x:c>
      <x:c r="AG28" s="305" t="str">
        <x:f>IF(AND(AG$7&gt;=$E28,AG$7&lt;=$F28),"■","")</x:f>
      </x:c>
      <x:c r="AH28" s="305" t="str">
        <x:f>IF(AND(AH$7&gt;=$E28,AH$7&lt;=$F28),"■","")</x:f>
      </x:c>
      <x:c r="AI28" s="305" t="str">
        <x:f>IF(AND(AI$7&gt;=$E28,AI$7&lt;=$F28),"■","")</x:f>
      </x:c>
      <x:c r="AJ28" s="305" t="str">
        <x:f>IF(AND(AJ$7&gt;=$E28,AJ$7&lt;=$F28),"■","")</x:f>
      </x:c>
      <x:c r="AK28" s="305" t="str">
        <x:f>IF(AND(AK$7&gt;=$E28,AK$7&lt;=$F28),"■","")</x:f>
      </x:c>
      <x:c r="AL28" s="305" t="str">
        <x:f>IF(AND(AL$7&gt;=$E28,AL$7&lt;=$F28),"■","")</x:f>
      </x:c>
      <x:c r="AM28" s="311" t="str">
        <x:f>IF(AND(AM$7&gt;=$E28,AM$7&lt;=$F28),"■","")</x:f>
      </x:c>
      <x:c r="AN28" s="311" t="str">
        <x:f>IF(AND(AN$7&gt;=$E28,AN$7&lt;=$F28),"■","")</x:f>
      </x:c>
      <x:c r="AO28" s="311" t="str">
        <x:f>IF(AND(AO$7&gt;=$E28,AO$7&lt;=$F28),"■","")</x:f>
      </x:c>
      <x:c r="AP28" s="311" t="str">
        <x:f>IF(AND(AP$7&gt;=$E28,AP$7&lt;=$F28),"■","")</x:f>
      </x:c>
      <x:c r="AQ28" s="311" t="str">
        <x:f>IF(AND(AQ$7&gt;=$E28,AQ$7&lt;=$F28),"■","")</x:f>
      </x:c>
      <x:c r="AR28" s="311" t="str">
        <x:f>IF(AND(AR$7&gt;=$E28,AR$7&lt;=$F28),"■","")</x:f>
      </x:c>
      <x:c r="AS28" s="311" t="str">
        <x:f>IF(AND(AS$7&gt;=$E28,AS$7&lt;=$F28),"■","")</x:f>
      </x:c>
      <x:c r="AT28" s="311" t="str">
        <x:f>IF(AND(AT$7&gt;=$E28,AT$7&lt;=$F28),"■","")</x:f>
      </x:c>
      <x:c r="AU28" s="311" t="str">
        <x:f>IF(AND(AU$7&gt;=$E28,AU$7&lt;=$F28),"■","")</x:f>
      </x:c>
      <x:c r="AV28" s="311" t="str">
        <x:f>IF(AND(AV$7&gt;=$E28,AV$7&lt;=$F28),"■","")</x:f>
      </x:c>
      <x:c r="AW28" s="311" t="str">
        <x:f>IF(AND(AW$7&gt;=$E28,AW$7&lt;=$F28),"■","")</x:f>
      </x:c>
      <x:c r="AX28" s="311" t="str">
        <x:f>IF(AND(AX$7&gt;=$E28,AX$7&lt;=$F28),"■","")</x:f>
      </x:c>
      <x:c r="AY28" s="311" t="str">
        <x:f>IF(AND(AY$7&gt;=$E28,AY$7&lt;=$F28),"■","")</x:f>
      </x:c>
      <x:c r="AZ28" s="311" t="str">
        <x:f>IF(AND(AZ$7&gt;=$E28,AZ$7&lt;=$F28),"■","")</x:f>
      </x:c>
      <x:c r="BA28" s="311" t="str">
        <x:f>IF(AND(BA$7&gt;=$E28,BA$7&lt;=$F28),"■","")</x:f>
      </x:c>
      <x:c r="BB28" s="321" t="str">
        <x:f>IF(AND(BB$7&gt;=$E28,BB$7&lt;=$F28),"■","")</x:f>
      </x:c>
      <x:c r="BC28" s="321" t="str">
        <x:f>IF(AND(BC$7&gt;=$E28,BC$7&lt;=$F28),"■","")</x:f>
      </x:c>
      <x:c r="BD28" s="321" t="str">
        <x:f>IF(AND(BD$7&gt;=$E28,BD$7&lt;=$F28),"■","")</x:f>
      </x:c>
      <x:c r="BE28" s="321" t="str">
        <x:f>IF(AND(BE$7&gt;=$E28,BE$7&lt;=$F28),"■","")</x:f>
      </x:c>
      <x:c r="BF28" s="321" t="str">
        <x:f>IF(AND(BF$7&gt;=$E28,BF$7&lt;=$F28),"■","")</x:f>
      </x:c>
      <x:c r="BG28" s="321" t="str">
        <x:f>IF(AND(BG$7&gt;=$E28,BG$7&lt;=$F28),"■","")</x:f>
      </x:c>
      <x:c r="BH28" s="321" t="str">
        <x:f>IF(AND(BH$7&gt;=$E28,BH$7&lt;=$F28),"■","")</x:f>
      </x:c>
      <x:c r="BI28" s="321" t="str">
        <x:f>IF(AND(BI$7&gt;=$E28,BI$7&lt;=$F28),"■","")</x:f>
      </x:c>
      <x:c r="BJ28" s="321" t="str">
        <x:f>IF(AND(BJ$7&gt;=$E28,BJ$7&lt;=$F28),"■","")</x:f>
      </x:c>
      <x:c r="BK28" s="321" t="str">
        <x:f>IF(AND(BK$7&gt;=$E28,BK$7&lt;=$F28),"■","")</x:f>
      </x:c>
      <x:c r="BL28" s="321" t="str">
        <x:f>IF(AND(BL$7&gt;=$E28,BL$7&lt;=$F28),"■","")</x:f>
      </x:c>
      <x:c r="BM28" s="321" t="str">
        <x:f>IF(AND(BM$7&gt;=$E28,BM$7&lt;=$F28),"■","")</x:f>
      </x:c>
      <x:c r="BN28" s="321" t="str">
        <x:f>IF(AND(BN$7&gt;=$E28,BN$7&lt;=$F28),"■","")</x:f>
      </x:c>
      <x:c r="BO28" s="321" t="str">
        <x:f>IF(AND(BO$7&gt;=$E28,BO$7&lt;=$F28),"■","")</x:f>
      </x:c>
      <x:c r="BP28" s="322" t="str">
        <x:f>IF(AND(BP$7&gt;=$E28,BP$7&lt;=$F28),"■","")</x:f>
      </x:c>
      <x:c r="BQ28" s="61"/>
    </x:row>
    <x:row r="29" ht="38" customHeight="1">
      <x:c r="A29" s="61"/>
      <x:c r="B29" s="273" t="str">
        <x:v>2.10★</x:v>
      </x:c>
      <x:c r="C29" s="274" t="str">
        <x:v>분리된 template·seed 기반 scenario·정답 manifest·회귀 fixture 구축
[대기] 산출물: 검증 리포트·정답표</x:v>
      </x:c>
      <x:c r="D29" s="274" t="str">
        <x:v>박준희·정승</x:v>
      </x:c>
      <x:c r="E29" s="275" t="n">
        <x:v>46232</x:v>
      </x:c>
      <x:c r="F29" s="275" t="n">
        <x:v>46239</x:v>
      </x:c>
      <x:c r="G29" s="276" t="n">
        <x:f>MAX(0,F29-E29)</x:f>
        <x:v>7</x:v>
      </x:c>
      <x:c r="H29" s="277" t="n">
        <x:v>0</x:v>
      </x:c>
      <x:c r="I29" s="295" t="str">
        <x:f>IF(AND(I$7&gt;=$E29,I$7&lt;=$F29),"■","")</x:f>
      </x:c>
      <x:c r="J29" s="296" t="str">
        <x:f>IF(AND(J$7&gt;=$E29,J$7&lt;=$F29),"■","")</x:f>
      </x:c>
      <x:c r="K29" s="297" t="str">
        <x:f>IF(AND(K$7&gt;=$E29,K$7&lt;=$F29),"■","")</x:f>
      </x:c>
      <x:c r="L29" s="297" t="str">
        <x:f>IF(AND(L$7&gt;=$E29,L$7&lt;=$F29),"■","")</x:f>
      </x:c>
      <x:c r="M29" s="297" t="str">
        <x:f>IF(AND(M$7&gt;=$E29,M$7&lt;=$F29),"■","")</x:f>
      </x:c>
      <x:c r="N29" s="297" t="str">
        <x:f>IF(AND(N$7&gt;=$E29,N$7&lt;=$F29),"■","")</x:f>
      </x:c>
      <x:c r="O29" s="297" t="str">
        <x:f>IF(AND(O$7&gt;=$E29,O$7&lt;=$F29),"■","")</x:f>
      </x:c>
      <x:c r="P29" s="297" t="str">
        <x:f>IF(AND(P$7&gt;=$E29,P$7&lt;=$F29),"■","")</x:f>
      </x:c>
      <x:c r="Q29" s="297" t="str">
        <x:f>IF(AND(Q$7&gt;=$E29,Q$7&lt;=$F29),"■","")</x:f>
      </x:c>
      <x:c r="R29" s="297" t="str">
        <x:f>IF(AND(R$7&gt;=$E29,R$7&lt;=$F29),"■","")</x:f>
      </x:c>
      <x:c r="S29" s="294" t="str">
        <x:f>IF(AND(S$7&gt;=$E29,S$7&lt;=$F29),"■","")</x:f>
      </x:c>
      <x:c r="T29" s="294" t="str">
        <x:f>IF(AND(T$7&gt;=$E29,T$7&lt;=$F29),"■","")</x:f>
      </x:c>
      <x:c r="U29" s="294" t="str">
        <x:f>IF(AND(U$7&gt;=$E29,U$7&lt;=$F29),"■","")</x:f>
      </x:c>
      <x:c r="V29" s="294" t="str">
        <x:f>IF(AND(V$7&gt;=$E29,V$7&lt;=$F29),"■","")</x:f>
      </x:c>
      <x:c r="W29" s="297" t="str">
        <x:f>IF(AND(W$7&gt;=$E29,W$7&lt;=$F29),"■","")</x:f>
      </x:c>
      <x:c r="X29" s="305" t="str">
        <x:f>IF(AND(X$7&gt;=$E29,X$7&lt;=$F29),"■","")</x:f>
      </x:c>
      <x:c r="Y29" s="305" t="str">
        <x:f>IF(AND(Y$7&gt;=$E29,Y$7&lt;=$F29),"■","")</x:f>
      </x:c>
      <x:c r="Z29" s="305" t="str">
        <x:f>IF(AND(Z$7&gt;=$E29,Z$7&lt;=$F29),"■","")</x:f>
        <x:v>■</x:v>
      </x:c>
      <x:c r="AA29" s="305" t="str">
        <x:f>IF(AND(AA$7&gt;=$E29,AA$7&lt;=$F29),"■","")</x:f>
        <x:v>■</x:v>
      </x:c>
      <x:c r="AB29" s="305" t="str">
        <x:f>IF(AND(AB$7&gt;=$E29,AB$7&lt;=$F29),"■","")</x:f>
        <x:v>■</x:v>
      </x:c>
      <x:c r="AC29" s="305" t="str">
        <x:f>IF(AND(AC$7&gt;=$E29,AC$7&lt;=$F29),"■","")</x:f>
        <x:v>■</x:v>
      </x:c>
      <x:c r="AD29" s="305" t="str">
        <x:f>IF(AND(AD$7&gt;=$E29,AD$7&lt;=$F29),"■","")</x:f>
        <x:v>■</x:v>
      </x:c>
      <x:c r="AE29" s="305" t="str">
        <x:f>IF(AND(AE$7&gt;=$E29,AE$7&lt;=$F29),"■","")</x:f>
        <x:v>■</x:v>
      </x:c>
      <x:c r="AF29" s="305" t="str">
        <x:f>IF(AND(AF$7&gt;=$E29,AF$7&lt;=$F29),"■","")</x:f>
      </x:c>
      <x:c r="AG29" s="305" t="str">
        <x:f>IF(AND(AG$7&gt;=$E29,AG$7&lt;=$F29),"■","")</x:f>
      </x:c>
      <x:c r="AH29" s="305" t="str">
        <x:f>IF(AND(AH$7&gt;=$E29,AH$7&lt;=$F29),"■","")</x:f>
      </x:c>
      <x:c r="AI29" s="305" t="str">
        <x:f>IF(AND(AI$7&gt;=$E29,AI$7&lt;=$F29),"■","")</x:f>
      </x:c>
      <x:c r="AJ29" s="305" t="str">
        <x:f>IF(AND(AJ$7&gt;=$E29,AJ$7&lt;=$F29),"■","")</x:f>
      </x:c>
      <x:c r="AK29" s="305" t="str">
        <x:f>IF(AND(AK$7&gt;=$E29,AK$7&lt;=$F29),"■","")</x:f>
      </x:c>
      <x:c r="AL29" s="305" t="str">
        <x:f>IF(AND(AL$7&gt;=$E29,AL$7&lt;=$F29),"■","")</x:f>
      </x:c>
      <x:c r="AM29" s="311" t="str">
        <x:f>IF(AND(AM$7&gt;=$E29,AM$7&lt;=$F29),"■","")</x:f>
      </x:c>
      <x:c r="AN29" s="311" t="str">
        <x:f>IF(AND(AN$7&gt;=$E29,AN$7&lt;=$F29),"■","")</x:f>
      </x:c>
      <x:c r="AO29" s="311" t="str">
        <x:f>IF(AND(AO$7&gt;=$E29,AO$7&lt;=$F29),"■","")</x:f>
      </x:c>
      <x:c r="AP29" s="311" t="str">
        <x:f>IF(AND(AP$7&gt;=$E29,AP$7&lt;=$F29),"■","")</x:f>
      </x:c>
      <x:c r="AQ29" s="311" t="str">
        <x:f>IF(AND(AQ$7&gt;=$E29,AQ$7&lt;=$F29),"■","")</x:f>
      </x:c>
      <x:c r="AR29" s="311" t="str">
        <x:f>IF(AND(AR$7&gt;=$E29,AR$7&lt;=$F29),"■","")</x:f>
      </x:c>
      <x:c r="AS29" s="311" t="str">
        <x:f>IF(AND(AS$7&gt;=$E29,AS$7&lt;=$F29),"■","")</x:f>
      </x:c>
      <x:c r="AT29" s="311" t="str">
        <x:f>IF(AND(AT$7&gt;=$E29,AT$7&lt;=$F29),"■","")</x:f>
      </x:c>
      <x:c r="AU29" s="311" t="str">
        <x:f>IF(AND(AU$7&gt;=$E29,AU$7&lt;=$F29),"■","")</x:f>
      </x:c>
      <x:c r="AV29" s="311" t="str">
        <x:f>IF(AND(AV$7&gt;=$E29,AV$7&lt;=$F29),"■","")</x:f>
      </x:c>
      <x:c r="AW29" s="311" t="str">
        <x:f>IF(AND(AW$7&gt;=$E29,AW$7&lt;=$F29),"■","")</x:f>
      </x:c>
      <x:c r="AX29" s="311" t="str">
        <x:f>IF(AND(AX$7&gt;=$E29,AX$7&lt;=$F29),"■","")</x:f>
      </x:c>
      <x:c r="AY29" s="311" t="str">
        <x:f>IF(AND(AY$7&gt;=$E29,AY$7&lt;=$F29),"■","")</x:f>
      </x:c>
      <x:c r="AZ29" s="311" t="str">
        <x:f>IF(AND(AZ$7&gt;=$E29,AZ$7&lt;=$F29),"■","")</x:f>
      </x:c>
      <x:c r="BA29" s="311" t="str">
        <x:f>IF(AND(BA$7&gt;=$E29,BA$7&lt;=$F29),"■","")</x:f>
      </x:c>
      <x:c r="BB29" s="321" t="str">
        <x:f>IF(AND(BB$7&gt;=$E29,BB$7&lt;=$F29),"■","")</x:f>
      </x:c>
      <x:c r="BC29" s="321" t="str">
        <x:f>IF(AND(BC$7&gt;=$E29,BC$7&lt;=$F29),"■","")</x:f>
      </x:c>
      <x:c r="BD29" s="321" t="str">
        <x:f>IF(AND(BD$7&gt;=$E29,BD$7&lt;=$F29),"■","")</x:f>
      </x:c>
      <x:c r="BE29" s="321" t="str">
        <x:f>IF(AND(BE$7&gt;=$E29,BE$7&lt;=$F29),"■","")</x:f>
      </x:c>
      <x:c r="BF29" s="321" t="str">
        <x:f>IF(AND(BF$7&gt;=$E29,BF$7&lt;=$F29),"■","")</x:f>
      </x:c>
      <x:c r="BG29" s="321" t="str">
        <x:f>IF(AND(BG$7&gt;=$E29,BG$7&lt;=$F29),"■","")</x:f>
      </x:c>
      <x:c r="BH29" s="321" t="str">
        <x:f>IF(AND(BH$7&gt;=$E29,BH$7&lt;=$F29),"■","")</x:f>
      </x:c>
      <x:c r="BI29" s="321" t="str">
        <x:f>IF(AND(BI$7&gt;=$E29,BI$7&lt;=$F29),"■","")</x:f>
      </x:c>
      <x:c r="BJ29" s="321" t="str">
        <x:f>IF(AND(BJ$7&gt;=$E29,BJ$7&lt;=$F29),"■","")</x:f>
      </x:c>
      <x:c r="BK29" s="321" t="str">
        <x:f>IF(AND(BK$7&gt;=$E29,BK$7&lt;=$F29),"■","")</x:f>
      </x:c>
      <x:c r="BL29" s="321" t="str">
        <x:f>IF(AND(BL$7&gt;=$E29,BL$7&lt;=$F29),"■","")</x:f>
      </x:c>
      <x:c r="BM29" s="321" t="str">
        <x:f>IF(AND(BM$7&gt;=$E29,BM$7&lt;=$F29),"■","")</x:f>
      </x:c>
      <x:c r="BN29" s="321" t="str">
        <x:f>IF(AND(BN$7&gt;=$E29,BN$7&lt;=$F29),"■","")</x:f>
      </x:c>
      <x:c r="BO29" s="321" t="str">
        <x:f>IF(AND(BO$7&gt;=$E29,BO$7&lt;=$F29),"■","")</x:f>
      </x:c>
      <x:c r="BP29" s="322" t="str">
        <x:f>IF(AND(BP$7&gt;=$E29,BP$7&lt;=$F29),"■","")</x:f>
      </x:c>
      <x:c r="BQ29" s="61"/>
    </x:row>
    <x:row r="30" ht="24" customHeight="1">
      <x:c r="A30" s="61"/>
      <x:c r="B30" s="361" t="str">
        <x:v>3</x:v>
      </x:c>
      <x:c r="C30" s="362" t="str">
        <x:v>AI·NLP 분석</x:v>
      </x:c>
      <x:c r="D30" s="362"/>
      <x:c r="E30" s="363"/>
      <x:c r="F30" s="363"/>
      <x:c r="G30" s="364"/>
      <x:c r="H30" s="365"/>
      <x:c r="I30" s="366"/>
      <x:c r="J30" s="367"/>
      <x:c r="K30" s="368"/>
      <x:c r="L30" s="368"/>
      <x:c r="M30" s="368"/>
      <x:c r="N30" s="368"/>
      <x:c r="O30" s="368"/>
      <x:c r="P30" s="368"/>
      <x:c r="Q30" s="368"/>
      <x:c r="R30" s="368"/>
      <x:c r="S30" s="369"/>
      <x:c r="T30" s="369"/>
      <x:c r="U30" s="369"/>
      <x:c r="V30" s="369"/>
      <x:c r="W30" s="368"/>
      <x:c r="X30" s="368"/>
      <x:c r="Y30" s="368"/>
      <x:c r="Z30" s="368"/>
      <x:c r="AA30" s="368"/>
      <x:c r="AB30" s="368"/>
      <x:c r="AC30" s="368"/>
      <x:c r="AD30" s="368"/>
      <x:c r="AE30" s="368"/>
      <x:c r="AF30" s="368"/>
      <x:c r="AG30" s="368"/>
      <x:c r="AH30" s="368"/>
      <x:c r="AI30" s="368"/>
      <x:c r="AJ30" s="368"/>
      <x:c r="AK30" s="368"/>
      <x:c r="AL30" s="368"/>
      <x:c r="AM30" s="368"/>
      <x:c r="AN30" s="368"/>
      <x:c r="AO30" s="368"/>
      <x:c r="AP30" s="368"/>
      <x:c r="AQ30" s="368"/>
      <x:c r="AR30" s="368"/>
      <x:c r="AS30" s="368"/>
      <x:c r="AT30" s="368"/>
      <x:c r="AU30" s="368"/>
      <x:c r="AV30" s="368"/>
      <x:c r="AW30" s="368"/>
      <x:c r="AX30" s="368"/>
      <x:c r="AY30" s="368"/>
      <x:c r="AZ30" s="368"/>
      <x:c r="BA30" s="368"/>
      <x:c r="BB30" s="368"/>
      <x:c r="BC30" s="368"/>
      <x:c r="BD30" s="368"/>
      <x:c r="BE30" s="368"/>
      <x:c r="BF30" s="368"/>
      <x:c r="BG30" s="368"/>
      <x:c r="BH30" s="368"/>
      <x:c r="BI30" s="368"/>
      <x:c r="BJ30" s="368"/>
      <x:c r="BK30" s="368"/>
      <x:c r="BL30" s="368"/>
      <x:c r="BM30" s="368"/>
      <x:c r="BN30" s="368"/>
      <x:c r="BO30" s="368"/>
      <x:c r="BP30" s="370"/>
      <x:c r="BQ30" s="61"/>
    </x:row>
    <x:row r="31" ht="38" customHeight="1">
      <x:c r="A31" s="32"/>
      <x:c r="B31" s="330" t="str">
        <x:v>3.1</x:v>
      </x:c>
      <x:c r="C31" s="331" t="str">
        <x:v>합성 VOC 감성 분류 모델 비교
[대기] 산출물: 모델 비교 결과(독립 실험)</x:v>
      </x:c>
      <x:c r="D31" s="331" t="str">
        <x:v>윤대성</x:v>
      </x:c>
      <x:c r="E31" s="332" t="n">
        <x:v>46233</x:v>
      </x:c>
      <x:c r="F31" s="332" t="n">
        <x:v>46234</x:v>
      </x:c>
      <x:c r="G31" s="333" t="n">
        <x:f>MAX(0,F31-E31)</x:f>
        <x:v>1</x:v>
      </x:c>
      <x:c r="H31" s="334" t="n">
        <x:v>0</x:v>
      </x:c>
      <x:c r="I31" s="338" t="str">
        <x:f>IF(AND(I$7&gt;=$E31,I$7&lt;=$F31),"■","")</x:f>
      </x:c>
      <x:c r="J31" s="339" t="str">
        <x:f>IF(AND(J$7&gt;=$E31,J$7&lt;=$F31),"■","")</x:f>
      </x:c>
      <x:c r="K31" s="340" t="str">
        <x:f>IF(AND(K$7&gt;=$E31,K$7&lt;=$F31),"■","")</x:f>
      </x:c>
      <x:c r="L31" s="340" t="str">
        <x:f>IF(AND(L$7&gt;=$E31,L$7&lt;=$F31),"■","")</x:f>
      </x:c>
      <x:c r="M31" s="338" t="str">
        <x:f>IF(AND(M$7&gt;=$E31,M$7&lt;=$F31),"■","")</x:f>
      </x:c>
      <x:c r="N31" s="338" t="str">
        <x:f>IF(AND(N$7&gt;=$E31,N$7&lt;=$F31),"■","")</x:f>
      </x:c>
      <x:c r="O31" s="338" t="str">
        <x:f>IF(AND(O$7&gt;=$E31,O$7&lt;=$F31),"■","")</x:f>
      </x:c>
      <x:c r="P31" s="338" t="str">
        <x:f>IF(AND(P$7&gt;=$E31,P$7&lt;=$F31),"■","")</x:f>
      </x:c>
      <x:c r="Q31" s="338" t="str">
        <x:f>IF(AND(Q$7&gt;=$E31,Q$7&lt;=$F31),"■","")</x:f>
      </x:c>
      <x:c r="R31" s="338" t="str">
        <x:f>IF(AND(R$7&gt;=$E31,R$7&lt;=$F31),"■","")</x:f>
      </x:c>
      <x:c r="S31" s="338" t="str">
        <x:f>IF(AND(S$7&gt;=$E31,S$7&lt;=$F31),"■","")</x:f>
      </x:c>
      <x:c r="T31" s="338" t="str">
        <x:f>IF(AND(T$7&gt;=$E31,T$7&lt;=$F31),"■","")</x:f>
      </x:c>
      <x:c r="U31" s="338" t="str">
        <x:f>IF(AND(U$7&gt;=$E31,U$7&lt;=$F31),"■","")</x:f>
      </x:c>
      <x:c r="V31" s="338" t="str">
        <x:f>IF(AND(V$7&gt;=$E31,V$7&lt;=$F31),"■","")</x:f>
      </x:c>
      <x:c r="W31" s="338" t="str">
        <x:f>IF(AND(W$7&gt;=$E31,W$7&lt;=$F31),"■","")</x:f>
      </x:c>
      <x:c r="X31" s="346" t="str">
        <x:f>IF(AND(X$7&gt;=$E31,X$7&lt;=$F31),"■","")</x:f>
      </x:c>
      <x:c r="Y31" s="346" t="str">
        <x:f>IF(AND(Y$7&gt;=$E31,Y$7&lt;=$F31),"■","")</x:f>
      </x:c>
      <x:c r="Z31" s="346" t="str">
        <x:f>IF(AND(Z$7&gt;=$E31,Z$7&lt;=$F31),"■","")</x:f>
      </x:c>
      <x:c r="AA31" s="346" t="str">
        <x:f>IF(AND(AA$7&gt;=$E31,AA$7&lt;=$F31),"■","")</x:f>
        <x:v>■</x:v>
      </x:c>
      <x:c r="AB31" s="346" t="str">
        <x:f>IF(AND(AB$7&gt;=$E31,AB$7&lt;=$F31),"■","")</x:f>
        <x:v>■</x:v>
      </x:c>
      <x:c r="AC31" s="346" t="str">
        <x:f>IF(AND(AC$7&gt;=$E31,AC$7&lt;=$F31),"■","")</x:f>
      </x:c>
      <x:c r="AD31" s="346" t="str">
        <x:f>IF(AND(AD$7&gt;=$E31,AD$7&lt;=$F31),"■","")</x:f>
      </x:c>
      <x:c r="AE31" s="346" t="str">
        <x:f>IF(AND(AE$7&gt;=$E31,AE$7&lt;=$F31),"■","")</x:f>
      </x:c>
      <x:c r="AF31" s="346" t="str">
        <x:f>IF(AND(AF$7&gt;=$E31,AF$7&lt;=$F31),"■","")</x:f>
      </x:c>
      <x:c r="AG31" s="346" t="str">
        <x:f>IF(AND(AG$7&gt;=$E31,AG$7&lt;=$F31),"■","")</x:f>
      </x:c>
      <x:c r="AH31" s="346" t="str">
        <x:f>IF(AND(AH$7&gt;=$E31,AH$7&lt;=$F31),"■","")</x:f>
      </x:c>
      <x:c r="AI31" s="346" t="str">
        <x:f>IF(AND(AI$7&gt;=$E31,AI$7&lt;=$F31),"■","")</x:f>
      </x:c>
      <x:c r="AJ31" s="346" t="str">
        <x:f>IF(AND(AJ$7&gt;=$E31,AJ$7&lt;=$F31),"■","")</x:f>
      </x:c>
      <x:c r="AK31" s="346" t="str">
        <x:f>IF(AND(AK$7&gt;=$E31,AK$7&lt;=$F31),"■","")</x:f>
      </x:c>
      <x:c r="AL31" s="346" t="str">
        <x:f>IF(AND(AL$7&gt;=$E31,AL$7&lt;=$F31),"■","")</x:f>
      </x:c>
      <x:c r="AM31" s="348" t="str">
        <x:f>IF(AND(AM$7&gt;=$E31,AM$7&lt;=$F31),"■","")</x:f>
      </x:c>
      <x:c r="AN31" s="348" t="str">
        <x:f>IF(AND(AN$7&gt;=$E31,AN$7&lt;=$F31),"■","")</x:f>
      </x:c>
      <x:c r="AO31" s="348" t="str">
        <x:f>IF(AND(AO$7&gt;=$E31,AO$7&lt;=$F31),"■","")</x:f>
      </x:c>
      <x:c r="AP31" s="348" t="str">
        <x:f>IF(AND(AP$7&gt;=$E31,AP$7&lt;=$F31),"■","")</x:f>
      </x:c>
      <x:c r="AQ31" s="348" t="str">
        <x:f>IF(AND(AQ$7&gt;=$E31,AQ$7&lt;=$F31),"■","")</x:f>
      </x:c>
      <x:c r="AR31" s="348" t="str">
        <x:f>IF(AND(AR$7&gt;=$E31,AR$7&lt;=$F31),"■","")</x:f>
      </x:c>
      <x:c r="AS31" s="348" t="str">
        <x:f>IF(AND(AS$7&gt;=$E31,AS$7&lt;=$F31),"■","")</x:f>
      </x:c>
      <x:c r="AT31" s="348" t="str">
        <x:f>IF(AND(AT$7&gt;=$E31,AT$7&lt;=$F31),"■","")</x:f>
      </x:c>
      <x:c r="AU31" s="348" t="str">
        <x:f>IF(AND(AU$7&gt;=$E31,AU$7&lt;=$F31),"■","")</x:f>
      </x:c>
      <x:c r="AV31" s="348" t="str">
        <x:f>IF(AND(AV$7&gt;=$E31,AV$7&lt;=$F31),"■","")</x:f>
      </x:c>
      <x:c r="AW31" s="348" t="str">
        <x:f>IF(AND(AW$7&gt;=$E31,AW$7&lt;=$F31),"■","")</x:f>
      </x:c>
      <x:c r="AX31" s="348" t="str">
        <x:f>IF(AND(AX$7&gt;=$E31,AX$7&lt;=$F31),"■","")</x:f>
      </x:c>
      <x:c r="AY31" s="348" t="str">
        <x:f>IF(AND(AY$7&gt;=$E31,AY$7&lt;=$F31),"■","")</x:f>
      </x:c>
      <x:c r="AZ31" s="348" t="str">
        <x:f>IF(AND(AZ$7&gt;=$E31,AZ$7&lt;=$F31),"■","")</x:f>
      </x:c>
      <x:c r="BA31" s="348" t="str">
        <x:f>IF(AND(BA$7&gt;=$E31,BA$7&lt;=$F31),"■","")</x:f>
      </x:c>
      <x:c r="BB31" s="350" t="str">
        <x:f>IF(AND(BB$7&gt;=$E31,BB$7&lt;=$F31),"■","")</x:f>
      </x:c>
      <x:c r="BC31" s="350" t="str">
        <x:f>IF(AND(BC$7&gt;=$E31,BC$7&lt;=$F31),"■","")</x:f>
      </x:c>
      <x:c r="BD31" s="350" t="str">
        <x:f>IF(AND(BD$7&gt;=$E31,BD$7&lt;=$F31),"■","")</x:f>
      </x:c>
      <x:c r="BE31" s="350" t="str">
        <x:f>IF(AND(BE$7&gt;=$E31,BE$7&lt;=$F31),"■","")</x:f>
      </x:c>
      <x:c r="BF31" s="350" t="str">
        <x:f>IF(AND(BF$7&gt;=$E31,BF$7&lt;=$F31),"■","")</x:f>
      </x:c>
      <x:c r="BG31" s="350" t="str">
        <x:f>IF(AND(BG$7&gt;=$E31,BG$7&lt;=$F31),"■","")</x:f>
      </x:c>
      <x:c r="BH31" s="350" t="str">
        <x:f>IF(AND(BH$7&gt;=$E31,BH$7&lt;=$F31),"■","")</x:f>
      </x:c>
      <x:c r="BI31" s="350" t="str">
        <x:f>IF(AND(BI$7&gt;=$E31,BI$7&lt;=$F31),"■","")</x:f>
      </x:c>
      <x:c r="BJ31" s="350" t="str">
        <x:f>IF(AND(BJ$7&gt;=$E31,BJ$7&lt;=$F31),"■","")</x:f>
      </x:c>
      <x:c r="BK31" s="350" t="str">
        <x:f>IF(AND(BK$7&gt;=$E31,BK$7&lt;=$F31),"■","")</x:f>
      </x:c>
      <x:c r="BL31" s="350" t="str">
        <x:f>IF(AND(BL$7&gt;=$E31,BL$7&lt;=$F31),"■","")</x:f>
      </x:c>
      <x:c r="BM31" s="350" t="str">
        <x:f>IF(AND(BM$7&gt;=$E31,BM$7&lt;=$F31),"■","")</x:f>
      </x:c>
      <x:c r="BN31" s="350" t="str">
        <x:f>IF(AND(BN$7&gt;=$E31,BN$7&lt;=$F31),"■","")</x:f>
      </x:c>
      <x:c r="BO31" s="350" t="str">
        <x:f>IF(AND(BO$7&gt;=$E31,BO$7&lt;=$F31),"■","")</x:f>
      </x:c>
      <x:c r="BP31" s="350" t="str">
        <x:f>IF(AND(BP$7&gt;=$E31,BP$7&lt;=$F31),"■","")</x:f>
      </x:c>
      <x:c r="BQ31" s="32"/>
    </x:row>
    <x:row r="32" ht="38" customHeight="1">
      <x:c r="A32" s="61"/>
      <x:c r="B32" s="273" t="str">
        <x:v>3.2</x:v>
      </x:c>
      <x:c r="C32" s="274" t="str">
        <x:v>합성 VOC 주제 분류 모델 비교
[대기] 산출물: 주제 분류 모듈(독립 실험)</x:v>
      </x:c>
      <x:c r="D32" s="274" t="str">
        <x:v>윤대성</x:v>
      </x:c>
      <x:c r="E32" s="275" t="n">
        <x:v>46237</x:v>
      </x:c>
      <x:c r="F32" s="275" t="n">
        <x:v>46237</x:v>
      </x:c>
      <x:c r="G32" s="276" t="n">
        <x:f>MAX(0,F32-E32)</x:f>
        <x:v>0</x:v>
      </x:c>
      <x:c r="H32" s="277" t="n">
        <x:v>0</x:v>
      </x:c>
      <x:c r="I32" s="292" t="str">
        <x:f>IF(AND(I$7&gt;=$E32,I$7&lt;=$F32),"■","")</x:f>
      </x:c>
      <x:c r="J32" s="293" t="str">
        <x:f>IF(AND(J$7&gt;=$E32,J$7&lt;=$F32),"■","")</x:f>
      </x:c>
      <x:c r="K32" s="294" t="str">
        <x:f>IF(AND(K$7&gt;=$E32,K$7&lt;=$F32),"■","")</x:f>
      </x:c>
      <x:c r="L32" s="294" t="str">
        <x:f>IF(AND(L$7&gt;=$E32,L$7&lt;=$F32),"■","")</x:f>
      </x:c>
      <x:c r="M32" s="294" t="str">
        <x:f>IF(AND(M$7&gt;=$E32,M$7&lt;=$F32),"■","")</x:f>
      </x:c>
      <x:c r="N32" s="294" t="str">
        <x:f>IF(AND(N$7&gt;=$E32,N$7&lt;=$F32),"■","")</x:f>
      </x:c>
      <x:c r="O32" s="294" t="str">
        <x:f>IF(AND(O$7&gt;=$E32,O$7&lt;=$F32),"■","")</x:f>
      </x:c>
      <x:c r="P32" s="294" t="str">
        <x:f>IF(AND(P$7&gt;=$E32,P$7&lt;=$F32),"■","")</x:f>
      </x:c>
      <x:c r="Q32" s="294" t="str">
        <x:f>IF(AND(Q$7&gt;=$E32,Q$7&lt;=$F32),"■","")</x:f>
      </x:c>
      <x:c r="R32" s="294" t="str">
        <x:f>IF(AND(R$7&gt;=$E32,R$7&lt;=$F32),"■","")</x:f>
      </x:c>
      <x:c r="S32" s="294" t="str">
        <x:f>IF(AND(S$7&gt;=$E32,S$7&lt;=$F32),"■","")</x:f>
      </x:c>
      <x:c r="T32" s="294" t="str">
        <x:f>IF(AND(T$7&gt;=$E32,T$7&lt;=$F32),"■","")</x:f>
      </x:c>
      <x:c r="U32" s="294" t="str">
        <x:f>IF(AND(U$7&gt;=$E32,U$7&lt;=$F32),"■","")</x:f>
      </x:c>
      <x:c r="V32" s="294" t="str">
        <x:f>IF(AND(V$7&gt;=$E32,V$7&lt;=$F32),"■","")</x:f>
      </x:c>
      <x:c r="W32" s="294" t="str">
        <x:f>IF(AND(W$7&gt;=$E32,W$7&lt;=$F32),"■","")</x:f>
      </x:c>
      <x:c r="X32" s="304" t="str">
        <x:f>IF(AND(X$7&gt;=$E32,X$7&lt;=$F32),"■","")</x:f>
      </x:c>
      <x:c r="Y32" s="304" t="str">
        <x:f>IF(AND(Y$7&gt;=$E32,Y$7&lt;=$F32),"■","")</x:f>
      </x:c>
      <x:c r="Z32" s="304" t="str">
        <x:f>IF(AND(Z$7&gt;=$E32,Z$7&lt;=$F32),"■","")</x:f>
      </x:c>
      <x:c r="AA32" s="304" t="str">
        <x:f>IF(AND(AA$7&gt;=$E32,AA$7&lt;=$F32),"■","")</x:f>
      </x:c>
      <x:c r="AB32" s="304" t="str">
        <x:f>IF(AND(AB$7&gt;=$E32,AB$7&lt;=$F32),"■","")</x:f>
      </x:c>
      <x:c r="AC32" s="304" t="str">
        <x:f>IF(AND(AC$7&gt;=$E32,AC$7&lt;=$F32),"■","")</x:f>
        <x:v>■</x:v>
      </x:c>
      <x:c r="AD32" s="304" t="str">
        <x:f>IF(AND(AD$7&gt;=$E32,AD$7&lt;=$F32),"■","")</x:f>
      </x:c>
      <x:c r="AE32" s="304" t="str">
        <x:f>IF(AND(AE$7&gt;=$E32,AE$7&lt;=$F32),"■","")</x:f>
      </x:c>
      <x:c r="AF32" s="304" t="str">
        <x:f>IF(AND(AF$7&gt;=$E32,AF$7&lt;=$F32),"■","")</x:f>
      </x:c>
      <x:c r="AG32" s="304" t="str">
        <x:f>IF(AND(AG$7&gt;=$E32,AG$7&lt;=$F32),"■","")</x:f>
      </x:c>
      <x:c r="AH32" s="304" t="str">
        <x:f>IF(AND(AH$7&gt;=$E32,AH$7&lt;=$F32),"■","")</x:f>
      </x:c>
      <x:c r="AI32" s="304" t="str">
        <x:f>IF(AND(AI$7&gt;=$E32,AI$7&lt;=$F32),"■","")</x:f>
      </x:c>
      <x:c r="AJ32" s="304" t="str">
        <x:f>IF(AND(AJ$7&gt;=$E32,AJ$7&lt;=$F32),"■","")</x:f>
      </x:c>
      <x:c r="AK32" s="304" t="str">
        <x:f>IF(AND(AK$7&gt;=$E32,AK$7&lt;=$F32),"■","")</x:f>
      </x:c>
      <x:c r="AL32" s="304" t="str">
        <x:f>IF(AND(AL$7&gt;=$E32,AL$7&lt;=$F32),"■","")</x:f>
      </x:c>
      <x:c r="AM32" s="310" t="str">
        <x:f>IF(AND(AM$7&gt;=$E32,AM$7&lt;=$F32),"■","")</x:f>
      </x:c>
      <x:c r="AN32" s="310" t="str">
        <x:f>IF(AND(AN$7&gt;=$E32,AN$7&lt;=$F32),"■","")</x:f>
      </x:c>
      <x:c r="AO32" s="310" t="str">
        <x:f>IF(AND(AO$7&gt;=$E32,AO$7&lt;=$F32),"■","")</x:f>
      </x:c>
      <x:c r="AP32" s="310" t="str">
        <x:f>IF(AND(AP$7&gt;=$E32,AP$7&lt;=$F32),"■","")</x:f>
      </x:c>
      <x:c r="AQ32" s="310" t="str">
        <x:f>IF(AND(AQ$7&gt;=$E32,AQ$7&lt;=$F32),"■","")</x:f>
      </x:c>
      <x:c r="AR32" s="310" t="str">
        <x:f>IF(AND(AR$7&gt;=$E32,AR$7&lt;=$F32),"■","")</x:f>
      </x:c>
      <x:c r="AS32" s="310" t="str">
        <x:f>IF(AND(AS$7&gt;=$E32,AS$7&lt;=$F32),"■","")</x:f>
      </x:c>
      <x:c r="AT32" s="310" t="str">
        <x:f>IF(AND(AT$7&gt;=$E32,AT$7&lt;=$F32),"■","")</x:f>
      </x:c>
      <x:c r="AU32" s="310" t="str">
        <x:f>IF(AND(AU$7&gt;=$E32,AU$7&lt;=$F32),"■","")</x:f>
      </x:c>
      <x:c r="AV32" s="310" t="str">
        <x:f>IF(AND(AV$7&gt;=$E32,AV$7&lt;=$F32),"■","")</x:f>
      </x:c>
      <x:c r="AW32" s="310" t="str">
        <x:f>IF(AND(AW$7&gt;=$E32,AW$7&lt;=$F32),"■","")</x:f>
      </x:c>
      <x:c r="AX32" s="310" t="str">
        <x:f>IF(AND(AX$7&gt;=$E32,AX$7&lt;=$F32),"■","")</x:f>
      </x:c>
      <x:c r="AY32" s="310" t="str">
        <x:f>IF(AND(AY$7&gt;=$E32,AY$7&lt;=$F32),"■","")</x:f>
      </x:c>
      <x:c r="AZ32" s="310" t="str">
        <x:f>IF(AND(AZ$7&gt;=$E32,AZ$7&lt;=$F32),"■","")</x:f>
      </x:c>
      <x:c r="BA32" s="310" t="str">
        <x:f>IF(AND(BA$7&gt;=$E32,BA$7&lt;=$F32),"■","")</x:f>
      </x:c>
      <x:c r="BB32" s="319" t="str">
        <x:f>IF(AND(BB$7&gt;=$E32,BB$7&lt;=$F32),"■","")</x:f>
      </x:c>
      <x:c r="BC32" s="319" t="str">
        <x:f>IF(AND(BC$7&gt;=$E32,BC$7&lt;=$F32),"■","")</x:f>
      </x:c>
      <x:c r="BD32" s="319" t="str">
        <x:f>IF(AND(BD$7&gt;=$E32,BD$7&lt;=$F32),"■","")</x:f>
      </x:c>
      <x:c r="BE32" s="319" t="str">
        <x:f>IF(AND(BE$7&gt;=$E32,BE$7&lt;=$F32),"■","")</x:f>
      </x:c>
      <x:c r="BF32" s="319" t="str">
        <x:f>IF(AND(BF$7&gt;=$E32,BF$7&lt;=$F32),"■","")</x:f>
      </x:c>
      <x:c r="BG32" s="319" t="str">
        <x:f>IF(AND(BG$7&gt;=$E32,BG$7&lt;=$F32),"■","")</x:f>
      </x:c>
      <x:c r="BH32" s="319" t="str">
        <x:f>IF(AND(BH$7&gt;=$E32,BH$7&lt;=$F32),"■","")</x:f>
      </x:c>
      <x:c r="BI32" s="319" t="str">
        <x:f>IF(AND(BI$7&gt;=$E32,BI$7&lt;=$F32),"■","")</x:f>
      </x:c>
      <x:c r="BJ32" s="319" t="str">
        <x:f>IF(AND(BJ$7&gt;=$E32,BJ$7&lt;=$F32),"■","")</x:f>
      </x:c>
      <x:c r="BK32" s="319" t="str">
        <x:f>IF(AND(BK$7&gt;=$E32,BK$7&lt;=$F32),"■","")</x:f>
      </x:c>
      <x:c r="BL32" s="319" t="str">
        <x:f>IF(AND(BL$7&gt;=$E32,BL$7&lt;=$F32),"■","")</x:f>
      </x:c>
      <x:c r="BM32" s="319" t="str">
        <x:f>IF(AND(BM$7&gt;=$E32,BM$7&lt;=$F32),"■","")</x:f>
      </x:c>
      <x:c r="BN32" s="319" t="str">
        <x:f>IF(AND(BN$7&gt;=$E32,BN$7&lt;=$F32),"■","")</x:f>
      </x:c>
      <x:c r="BO32" s="319" t="str">
        <x:f>IF(AND(BO$7&gt;=$E32,BO$7&lt;=$F32),"■","")</x:f>
      </x:c>
      <x:c r="BP32" s="320" t="str">
        <x:f>IF(AND(BP$7&gt;=$E32,BP$7&lt;=$F32),"■","")</x:f>
      </x:c>
      <x:c r="BQ32" s="61"/>
    </x:row>
    <x:row r="33" ht="38" customHeight="1">
      <x:c r="A33" s="61"/>
      <x:c r="B33" s="273" t="str">
        <x:v>3.3</x:v>
      </x:c>
      <x:c r="C33" s="274" t="str">
        <x:v>합성 VOC 키워드·군집 비교
[대기] 산출물: VOC 분석 모듈(독립 실험)</x:v>
      </x:c>
      <x:c r="D33" s="274" t="str">
        <x:v>윤대성</x:v>
      </x:c>
      <x:c r="E33" s="275" t="n">
        <x:v>46238</x:v>
      </x:c>
      <x:c r="F33" s="275" t="n">
        <x:v>46238</x:v>
      </x:c>
      <x:c r="G33" s="276" t="n">
        <x:f>MAX(0,F33-E33)</x:f>
        <x:v>0</x:v>
      </x:c>
      <x:c r="H33" s="277" t="n">
        <x:v>0</x:v>
      </x:c>
      <x:c r="I33" s="295" t="str">
        <x:f>IF(AND(I$7&gt;=$E33,I$7&lt;=$F33),"■","")</x:f>
      </x:c>
      <x:c r="J33" s="296" t="str">
        <x:f>IF(AND(J$7&gt;=$E33,J$7&lt;=$F33),"■","")</x:f>
      </x:c>
      <x:c r="K33" s="297" t="str">
        <x:f>IF(AND(K$7&gt;=$E33,K$7&lt;=$F33),"■","")</x:f>
      </x:c>
      <x:c r="L33" s="297" t="str">
        <x:f>IF(AND(L$7&gt;=$E33,L$7&lt;=$F33),"■","")</x:f>
      </x:c>
      <x:c r="M33" s="297" t="str">
        <x:f>IF(AND(M$7&gt;=$E33,M$7&lt;=$F33),"■","")</x:f>
      </x:c>
      <x:c r="N33" s="294" t="str">
        <x:f>IF(AND(N$7&gt;=$E33,N$7&lt;=$F33),"■","")</x:f>
      </x:c>
      <x:c r="O33" s="294" t="str">
        <x:f>IF(AND(O$7&gt;=$E33,O$7&lt;=$F33),"■","")</x:f>
      </x:c>
      <x:c r="P33" s="294" t="str">
        <x:f>IF(AND(P$7&gt;=$E33,P$7&lt;=$F33),"■","")</x:f>
      </x:c>
      <x:c r="Q33" s="294" t="str">
        <x:f>IF(AND(Q$7&gt;=$E33,Q$7&lt;=$F33),"■","")</x:f>
      </x:c>
      <x:c r="R33" s="294" t="str">
        <x:f>IF(AND(R$7&gt;=$E33,R$7&lt;=$F33),"■","")</x:f>
      </x:c>
      <x:c r="S33" s="297" t="str">
        <x:f>IF(AND(S$7&gt;=$E33,S$7&lt;=$F33),"■","")</x:f>
      </x:c>
      <x:c r="T33" s="297" t="str">
        <x:f>IF(AND(T$7&gt;=$E33,T$7&lt;=$F33),"■","")</x:f>
      </x:c>
      <x:c r="U33" s="297" t="str">
        <x:f>IF(AND(U$7&gt;=$E33,U$7&lt;=$F33),"■","")</x:f>
      </x:c>
      <x:c r="V33" s="297" t="str">
        <x:f>IF(AND(V$7&gt;=$E33,V$7&lt;=$F33),"■","")</x:f>
      </x:c>
      <x:c r="W33" s="297" t="str">
        <x:f>IF(AND(W$7&gt;=$E33,W$7&lt;=$F33),"■","")</x:f>
      </x:c>
      <x:c r="X33" s="305" t="str">
        <x:f>IF(AND(X$7&gt;=$E33,X$7&lt;=$F33),"■","")</x:f>
      </x:c>
      <x:c r="Y33" s="305" t="str">
        <x:f>IF(AND(Y$7&gt;=$E33,Y$7&lt;=$F33),"■","")</x:f>
      </x:c>
      <x:c r="Z33" s="305" t="str">
        <x:f>IF(AND(Z$7&gt;=$E33,Z$7&lt;=$F33),"■","")</x:f>
      </x:c>
      <x:c r="AA33" s="305" t="str">
        <x:f>IF(AND(AA$7&gt;=$E33,AA$7&lt;=$F33),"■","")</x:f>
      </x:c>
      <x:c r="AB33" s="305" t="str">
        <x:f>IF(AND(AB$7&gt;=$E33,AB$7&lt;=$F33),"■","")</x:f>
      </x:c>
      <x:c r="AC33" s="305" t="str">
        <x:f>IF(AND(AC$7&gt;=$E33,AC$7&lt;=$F33),"■","")</x:f>
      </x:c>
      <x:c r="AD33" s="305" t="str">
        <x:f>IF(AND(AD$7&gt;=$E33,AD$7&lt;=$F33),"■","")</x:f>
        <x:v>■</x:v>
      </x:c>
      <x:c r="AE33" s="305" t="str">
        <x:f>IF(AND(AE$7&gt;=$E33,AE$7&lt;=$F33),"■","")</x:f>
      </x:c>
      <x:c r="AF33" s="305" t="str">
        <x:f>IF(AND(AF$7&gt;=$E33,AF$7&lt;=$F33),"■","")</x:f>
      </x:c>
      <x:c r="AG33" s="305" t="str">
        <x:f>IF(AND(AG$7&gt;=$E33,AG$7&lt;=$F33),"■","")</x:f>
      </x:c>
      <x:c r="AH33" s="305" t="str">
        <x:f>IF(AND(AH$7&gt;=$E33,AH$7&lt;=$F33),"■","")</x:f>
      </x:c>
      <x:c r="AI33" s="305" t="str">
        <x:f>IF(AND(AI$7&gt;=$E33,AI$7&lt;=$F33),"■","")</x:f>
      </x:c>
      <x:c r="AJ33" s="305" t="str">
        <x:f>IF(AND(AJ$7&gt;=$E33,AJ$7&lt;=$F33),"■","")</x:f>
      </x:c>
      <x:c r="AK33" s="305" t="str">
        <x:f>IF(AND(AK$7&gt;=$E33,AK$7&lt;=$F33),"■","")</x:f>
      </x:c>
      <x:c r="AL33" s="305" t="str">
        <x:f>IF(AND(AL$7&gt;=$E33,AL$7&lt;=$F33),"■","")</x:f>
      </x:c>
      <x:c r="AM33" s="311" t="str">
        <x:f>IF(AND(AM$7&gt;=$E33,AM$7&lt;=$F33),"■","")</x:f>
      </x:c>
      <x:c r="AN33" s="311" t="str">
        <x:f>IF(AND(AN$7&gt;=$E33,AN$7&lt;=$F33),"■","")</x:f>
      </x:c>
      <x:c r="AO33" s="311" t="str">
        <x:f>IF(AND(AO$7&gt;=$E33,AO$7&lt;=$F33),"■","")</x:f>
      </x:c>
      <x:c r="AP33" s="311" t="str">
        <x:f>IF(AND(AP$7&gt;=$E33,AP$7&lt;=$F33),"■","")</x:f>
      </x:c>
      <x:c r="AQ33" s="311" t="str">
        <x:f>IF(AND(AQ$7&gt;=$E33,AQ$7&lt;=$F33),"■","")</x:f>
      </x:c>
      <x:c r="AR33" s="311" t="str">
        <x:f>IF(AND(AR$7&gt;=$E33,AR$7&lt;=$F33),"■","")</x:f>
      </x:c>
      <x:c r="AS33" s="311" t="str">
        <x:f>IF(AND(AS$7&gt;=$E33,AS$7&lt;=$F33),"■","")</x:f>
      </x:c>
      <x:c r="AT33" s="311" t="str">
        <x:f>IF(AND(AT$7&gt;=$E33,AT$7&lt;=$F33),"■","")</x:f>
      </x:c>
      <x:c r="AU33" s="311" t="str">
        <x:f>IF(AND(AU$7&gt;=$E33,AU$7&lt;=$F33),"■","")</x:f>
      </x:c>
      <x:c r="AV33" s="311" t="str">
        <x:f>IF(AND(AV$7&gt;=$E33,AV$7&lt;=$F33),"■","")</x:f>
      </x:c>
      <x:c r="AW33" s="311" t="str">
        <x:f>IF(AND(AW$7&gt;=$E33,AW$7&lt;=$F33),"■","")</x:f>
      </x:c>
      <x:c r="AX33" s="311" t="str">
        <x:f>IF(AND(AX$7&gt;=$E33,AX$7&lt;=$F33),"■","")</x:f>
      </x:c>
      <x:c r="AY33" s="311" t="str">
        <x:f>IF(AND(AY$7&gt;=$E33,AY$7&lt;=$F33),"■","")</x:f>
      </x:c>
      <x:c r="AZ33" s="311" t="str">
        <x:f>IF(AND(AZ$7&gt;=$E33,AZ$7&lt;=$F33),"■","")</x:f>
      </x:c>
      <x:c r="BA33" s="311" t="str">
        <x:f>IF(AND(BA$7&gt;=$E33,BA$7&lt;=$F33),"■","")</x:f>
      </x:c>
      <x:c r="BB33" s="321" t="str">
        <x:f>IF(AND(BB$7&gt;=$E33,BB$7&lt;=$F33),"■","")</x:f>
      </x:c>
      <x:c r="BC33" s="321" t="str">
        <x:f>IF(AND(BC$7&gt;=$E33,BC$7&lt;=$F33),"■","")</x:f>
      </x:c>
      <x:c r="BD33" s="321" t="str">
        <x:f>IF(AND(BD$7&gt;=$E33,BD$7&lt;=$F33),"■","")</x:f>
      </x:c>
      <x:c r="BE33" s="321" t="str">
        <x:f>IF(AND(BE$7&gt;=$E33,BE$7&lt;=$F33),"■","")</x:f>
      </x:c>
      <x:c r="BF33" s="321" t="str">
        <x:f>IF(AND(BF$7&gt;=$E33,BF$7&lt;=$F33),"■","")</x:f>
      </x:c>
      <x:c r="BG33" s="321" t="str">
        <x:f>IF(AND(BG$7&gt;=$E33,BG$7&lt;=$F33),"■","")</x:f>
      </x:c>
      <x:c r="BH33" s="321" t="str">
        <x:f>IF(AND(BH$7&gt;=$E33,BH$7&lt;=$F33),"■","")</x:f>
      </x:c>
      <x:c r="BI33" s="321" t="str">
        <x:f>IF(AND(BI$7&gt;=$E33,BI$7&lt;=$F33),"■","")</x:f>
      </x:c>
      <x:c r="BJ33" s="321" t="str">
        <x:f>IF(AND(BJ$7&gt;=$E33,BJ$7&lt;=$F33),"■","")</x:f>
      </x:c>
      <x:c r="BK33" s="321" t="str">
        <x:f>IF(AND(BK$7&gt;=$E33,BK$7&lt;=$F33),"■","")</x:f>
      </x:c>
      <x:c r="BL33" s="321" t="str">
        <x:f>IF(AND(BL$7&gt;=$E33,BL$7&lt;=$F33),"■","")</x:f>
      </x:c>
      <x:c r="BM33" s="321" t="str">
        <x:f>IF(AND(BM$7&gt;=$E33,BM$7&lt;=$F33),"■","")</x:f>
      </x:c>
      <x:c r="BN33" s="321" t="str">
        <x:f>IF(AND(BN$7&gt;=$E33,BN$7&lt;=$F33),"■","")</x:f>
      </x:c>
      <x:c r="BO33" s="321" t="str">
        <x:f>IF(AND(BO$7&gt;=$E33,BO$7&lt;=$F33),"■","")</x:f>
      </x:c>
      <x:c r="BP33" s="322" t="str">
        <x:f>IF(AND(BP$7&gt;=$E33,BP$7&lt;=$F33),"■","")</x:f>
      </x:c>
      <x:c r="BQ33" s="61"/>
    </x:row>
    <x:row r="34" ht="38" customHeight="1">
      <x:c r="A34" s="61"/>
      <x:c r="B34" s="273" t="str">
        <x:v>3.4</x:v>
      </x:c>
      <x:c r="C34" s="274" t="str">
        <x:v>2개 이상 모델 성능평가·오류 분석
[대기] 산출물: 머신러닝/딥러닝 학습결과서 · 제출 08/07</x:v>
      </x:c>
      <x:c r="D34" s="274" t="str">
        <x:v>윤대성</x:v>
      </x:c>
      <x:c r="E34" s="275" t="n">
        <x:v>46239</x:v>
      </x:c>
      <x:c r="F34" s="275" t="n">
        <x:v>46239</x:v>
      </x:c>
      <x:c r="G34" s="276" t="n">
        <x:f>MAX(0,F34-E34)</x:f>
        <x:v>0</x:v>
      </x:c>
      <x:c r="H34" s="277" t="n">
        <x:v>0</x:v>
      </x:c>
      <x:c r="I34" s="295" t="str">
        <x:f>IF(AND(I$7&gt;=$E34,I$7&lt;=$F34),"■","")</x:f>
      </x:c>
      <x:c r="J34" s="296" t="str">
        <x:f>IF(AND(J$7&gt;=$E34,J$7&lt;=$F34),"■","")</x:f>
      </x:c>
      <x:c r="K34" s="297" t="str">
        <x:f>IF(AND(K$7&gt;=$E34,K$7&lt;=$F34),"■","")</x:f>
      </x:c>
      <x:c r="L34" s="297" t="str">
        <x:f>IF(AND(L$7&gt;=$E34,L$7&lt;=$F34),"■","")</x:f>
      </x:c>
      <x:c r="M34" s="297" t="str">
        <x:f>IF(AND(M$7&gt;=$E34,M$7&lt;=$F34),"■","")</x:f>
      </x:c>
      <x:c r="N34" s="294" t="str">
        <x:f>IF(AND(N$7&gt;=$E34,N$7&lt;=$F34),"■","")</x:f>
      </x:c>
      <x:c r="O34" s="294" t="str">
        <x:f>IF(AND(O$7&gt;=$E34,O$7&lt;=$F34),"■","")</x:f>
      </x:c>
      <x:c r="P34" s="294" t="str">
        <x:f>IF(AND(P$7&gt;=$E34,P$7&lt;=$F34),"■","")</x:f>
      </x:c>
      <x:c r="Q34" s="294" t="str">
        <x:f>IF(AND(Q$7&gt;=$E34,Q$7&lt;=$F34),"■","")</x:f>
      </x:c>
      <x:c r="R34" s="294" t="str">
        <x:f>IF(AND(R$7&gt;=$E34,R$7&lt;=$F34),"■","")</x:f>
      </x:c>
      <x:c r="S34" s="294" t="str">
        <x:f>IF(AND(S$7&gt;=$E34,S$7&lt;=$F34),"■","")</x:f>
      </x:c>
      <x:c r="T34" s="294" t="str">
        <x:f>IF(AND(T$7&gt;=$E34,T$7&lt;=$F34),"■","")</x:f>
      </x:c>
      <x:c r="U34" s="294" t="str">
        <x:f>IF(AND(U$7&gt;=$E34,U$7&lt;=$F34),"■","")</x:f>
      </x:c>
      <x:c r="V34" s="294" t="str">
        <x:f>IF(AND(V$7&gt;=$E34,V$7&lt;=$F34),"■","")</x:f>
      </x:c>
      <x:c r="W34" s="297" t="str">
        <x:f>IF(AND(W$7&gt;=$E34,W$7&lt;=$F34),"■","")</x:f>
      </x:c>
      <x:c r="X34" s="305" t="str">
        <x:f>IF(AND(X$7&gt;=$E34,X$7&lt;=$F34),"■","")</x:f>
      </x:c>
      <x:c r="Y34" s="305" t="str">
        <x:f>IF(AND(Y$7&gt;=$E34,Y$7&lt;=$F34),"■","")</x:f>
      </x:c>
      <x:c r="Z34" s="305" t="str">
        <x:f>IF(AND(Z$7&gt;=$E34,Z$7&lt;=$F34),"■","")</x:f>
      </x:c>
      <x:c r="AA34" s="305" t="str">
        <x:f>IF(AND(AA$7&gt;=$E34,AA$7&lt;=$F34),"■","")</x:f>
      </x:c>
      <x:c r="AB34" s="305" t="str">
        <x:f>IF(AND(AB$7&gt;=$E34,AB$7&lt;=$F34),"■","")</x:f>
      </x:c>
      <x:c r="AC34" s="305" t="str">
        <x:f>IF(AND(AC$7&gt;=$E34,AC$7&lt;=$F34),"■","")</x:f>
      </x:c>
      <x:c r="AD34" s="305" t="str">
        <x:f>IF(AND(AD$7&gt;=$E34,AD$7&lt;=$F34),"■","")</x:f>
      </x:c>
      <x:c r="AE34" s="305" t="str">
        <x:f>IF(AND(AE$7&gt;=$E34,AE$7&lt;=$F34),"■","")</x:f>
        <x:v>■</x:v>
      </x:c>
      <x:c r="AF34" s="305" t="str">
        <x:f>IF(AND(AF$7&gt;=$E34,AF$7&lt;=$F34),"■","")</x:f>
      </x:c>
      <x:c r="AG34" s="305" t="str">
        <x:f>IF(AND(AG$7&gt;=$E34,AG$7&lt;=$F34),"■","")</x:f>
      </x:c>
      <x:c r="AH34" s="305" t="str">
        <x:f>IF(AND(AH$7&gt;=$E34,AH$7&lt;=$F34),"■","")</x:f>
      </x:c>
      <x:c r="AI34" s="305" t="str">
        <x:f>IF(AND(AI$7&gt;=$E34,AI$7&lt;=$F34),"■","")</x:f>
      </x:c>
      <x:c r="AJ34" s="305" t="str">
        <x:f>IF(AND(AJ$7&gt;=$E34,AJ$7&lt;=$F34),"■","")</x:f>
      </x:c>
      <x:c r="AK34" s="305" t="str">
        <x:f>IF(AND(AK$7&gt;=$E34,AK$7&lt;=$F34),"■","")</x:f>
      </x:c>
      <x:c r="AL34" s="305" t="str">
        <x:f>IF(AND(AL$7&gt;=$E34,AL$7&lt;=$F34),"■","")</x:f>
      </x:c>
      <x:c r="AM34" s="311" t="str">
        <x:f>IF(AND(AM$7&gt;=$E34,AM$7&lt;=$F34),"■","")</x:f>
      </x:c>
      <x:c r="AN34" s="311" t="str">
        <x:f>IF(AND(AN$7&gt;=$E34,AN$7&lt;=$F34),"■","")</x:f>
      </x:c>
      <x:c r="AO34" s="311" t="str">
        <x:f>IF(AND(AO$7&gt;=$E34,AO$7&lt;=$F34),"■","")</x:f>
      </x:c>
      <x:c r="AP34" s="311" t="str">
        <x:f>IF(AND(AP$7&gt;=$E34,AP$7&lt;=$F34),"■","")</x:f>
      </x:c>
      <x:c r="AQ34" s="311" t="str">
        <x:f>IF(AND(AQ$7&gt;=$E34,AQ$7&lt;=$F34),"■","")</x:f>
      </x:c>
      <x:c r="AR34" s="311" t="str">
        <x:f>IF(AND(AR$7&gt;=$E34,AR$7&lt;=$F34),"■","")</x:f>
      </x:c>
      <x:c r="AS34" s="311" t="str">
        <x:f>IF(AND(AS$7&gt;=$E34,AS$7&lt;=$F34),"■","")</x:f>
      </x:c>
      <x:c r="AT34" s="311" t="str">
        <x:f>IF(AND(AT$7&gt;=$E34,AT$7&lt;=$F34),"■","")</x:f>
      </x:c>
      <x:c r="AU34" s="311" t="str">
        <x:f>IF(AND(AU$7&gt;=$E34,AU$7&lt;=$F34),"■","")</x:f>
      </x:c>
      <x:c r="AV34" s="311" t="str">
        <x:f>IF(AND(AV$7&gt;=$E34,AV$7&lt;=$F34),"■","")</x:f>
      </x:c>
      <x:c r="AW34" s="311" t="str">
        <x:f>IF(AND(AW$7&gt;=$E34,AW$7&lt;=$F34),"■","")</x:f>
      </x:c>
      <x:c r="AX34" s="311" t="str">
        <x:f>IF(AND(AX$7&gt;=$E34,AX$7&lt;=$F34),"■","")</x:f>
      </x:c>
      <x:c r="AY34" s="311" t="str">
        <x:f>IF(AND(AY$7&gt;=$E34,AY$7&lt;=$F34),"■","")</x:f>
      </x:c>
      <x:c r="AZ34" s="311" t="str">
        <x:f>IF(AND(AZ$7&gt;=$E34,AZ$7&lt;=$F34),"■","")</x:f>
      </x:c>
      <x:c r="BA34" s="311" t="str">
        <x:f>IF(AND(BA$7&gt;=$E34,BA$7&lt;=$F34),"■","")</x:f>
      </x:c>
      <x:c r="BB34" s="321" t="str">
        <x:f>IF(AND(BB$7&gt;=$E34,BB$7&lt;=$F34),"■","")</x:f>
      </x:c>
      <x:c r="BC34" s="321" t="str">
        <x:f>IF(AND(BC$7&gt;=$E34,BC$7&lt;=$F34),"■","")</x:f>
      </x:c>
      <x:c r="BD34" s="321" t="str">
        <x:f>IF(AND(BD$7&gt;=$E34,BD$7&lt;=$F34),"■","")</x:f>
      </x:c>
      <x:c r="BE34" s="321" t="str">
        <x:f>IF(AND(BE$7&gt;=$E34,BE$7&lt;=$F34),"■","")</x:f>
      </x:c>
      <x:c r="BF34" s="321" t="str">
        <x:f>IF(AND(BF$7&gt;=$E34,BF$7&lt;=$F34),"■","")</x:f>
      </x:c>
      <x:c r="BG34" s="321" t="str">
        <x:f>IF(AND(BG$7&gt;=$E34,BG$7&lt;=$F34),"■","")</x:f>
      </x:c>
      <x:c r="BH34" s="321" t="str">
        <x:f>IF(AND(BH$7&gt;=$E34,BH$7&lt;=$F34),"■","")</x:f>
      </x:c>
      <x:c r="BI34" s="321" t="str">
        <x:f>IF(AND(BI$7&gt;=$E34,BI$7&lt;=$F34),"■","")</x:f>
      </x:c>
      <x:c r="BJ34" s="321" t="str">
        <x:f>IF(AND(BJ$7&gt;=$E34,BJ$7&lt;=$F34),"■","")</x:f>
      </x:c>
      <x:c r="BK34" s="321" t="str">
        <x:f>IF(AND(BK$7&gt;=$E34,BK$7&lt;=$F34),"■","")</x:f>
      </x:c>
      <x:c r="BL34" s="321" t="str">
        <x:f>IF(AND(BL$7&gt;=$E34,BL$7&lt;=$F34),"■","")</x:f>
      </x:c>
      <x:c r="BM34" s="321" t="str">
        <x:f>IF(AND(BM$7&gt;=$E34,BM$7&lt;=$F34),"■","")</x:f>
      </x:c>
      <x:c r="BN34" s="321" t="str">
        <x:f>IF(AND(BN$7&gt;=$E34,BN$7&lt;=$F34),"■","")</x:f>
      </x:c>
      <x:c r="BO34" s="321" t="str">
        <x:f>IF(AND(BO$7&gt;=$E34,BO$7&lt;=$F34),"■","")</x:f>
      </x:c>
      <x:c r="BP34" s="322" t="str">
        <x:f>IF(AND(BP$7&gt;=$E34,BP$7&lt;=$F34),"■","")</x:f>
      </x:c>
      <x:c r="BQ34" s="61"/>
    </x:row>
    <x:row r="35" ht="38" customHeight="1">
      <x:c r="A35" s="61"/>
      <x:c r="B35" s="273" t="str">
        <x:v>3.5</x:v>
      </x:c>
      <x:c r="C35" s="274" t="str">
        <x:v>최종 모델 저장·재현·연동 검증
[대기] 산출물: 학습한 ML/DL 모델 · 제출 08/07</x:v>
      </x:c>
      <x:c r="D35" s="274" t="str">
        <x:v>윤대성</x:v>
      </x:c>
      <x:c r="E35" s="275" t="n">
        <x:v>46240</x:v>
      </x:c>
      <x:c r="F35" s="275" t="n">
        <x:v>46241</x:v>
      </x:c>
      <x:c r="G35" s="276" t="n">
        <x:f>MAX(0,F35-E35)</x:f>
        <x:v>1</x:v>
      </x:c>
      <x:c r="H35" s="277" t="n">
        <x:v>0</x:v>
      </x:c>
      <x:c r="I35" s="295" t="str">
        <x:f>IF(AND(I$7&gt;=$E35,I$7&lt;=$F35),"■","")</x:f>
      </x:c>
      <x:c r="J35" s="296" t="str">
        <x:f>IF(AND(J$7&gt;=$E35,J$7&lt;=$F35),"■","")</x:f>
      </x:c>
      <x:c r="K35" s="297" t="str">
        <x:f>IF(AND(K$7&gt;=$E35,K$7&lt;=$F35),"■","")</x:f>
      </x:c>
      <x:c r="L35" s="297" t="str">
        <x:f>IF(AND(L$7&gt;=$E35,L$7&lt;=$F35),"■","")</x:f>
      </x:c>
      <x:c r="M35" s="297" t="str">
        <x:f>IF(AND(M$7&gt;=$E35,M$7&lt;=$F35),"■","")</x:f>
      </x:c>
      <x:c r="N35" s="294" t="str">
        <x:f>IF(AND(N$7&gt;=$E35,N$7&lt;=$F35),"■","")</x:f>
      </x:c>
      <x:c r="O35" s="294" t="str">
        <x:f>IF(AND(O$7&gt;=$E35,O$7&lt;=$F35),"■","")</x:f>
      </x:c>
      <x:c r="P35" s="294" t="str">
        <x:f>IF(AND(P$7&gt;=$E35,P$7&lt;=$F35),"■","")</x:f>
      </x:c>
      <x:c r="Q35" s="294" t="str">
        <x:f>IF(AND(Q$7&gt;=$E35,Q$7&lt;=$F35),"■","")</x:f>
      </x:c>
      <x:c r="R35" s="294" t="str">
        <x:f>IF(AND(R$7&gt;=$E35,R$7&lt;=$F35),"■","")</x:f>
      </x:c>
      <x:c r="S35" s="294" t="str">
        <x:f>IF(AND(S$7&gt;=$E35,S$7&lt;=$F35),"■","")</x:f>
      </x:c>
      <x:c r="T35" s="294" t="str">
        <x:f>IF(AND(T$7&gt;=$E35,T$7&lt;=$F35),"■","")</x:f>
      </x:c>
      <x:c r="U35" s="294" t="str">
        <x:f>IF(AND(U$7&gt;=$E35,U$7&lt;=$F35),"■","")</x:f>
      </x:c>
      <x:c r="V35" s="294" t="str">
        <x:f>IF(AND(V$7&gt;=$E35,V$7&lt;=$F35),"■","")</x:f>
      </x:c>
      <x:c r="W35" s="297" t="str">
        <x:f>IF(AND(W$7&gt;=$E35,W$7&lt;=$F35),"■","")</x:f>
      </x:c>
      <x:c r="X35" s="305" t="str">
        <x:f>IF(AND(X$7&gt;=$E35,X$7&lt;=$F35),"■","")</x:f>
      </x:c>
      <x:c r="Y35" s="305" t="str">
        <x:f>IF(AND(Y$7&gt;=$E35,Y$7&lt;=$F35),"■","")</x:f>
      </x:c>
      <x:c r="Z35" s="305" t="str">
        <x:f>IF(AND(Z$7&gt;=$E35,Z$7&lt;=$F35),"■","")</x:f>
      </x:c>
      <x:c r="AA35" s="305" t="str">
        <x:f>IF(AND(AA$7&gt;=$E35,AA$7&lt;=$F35),"■","")</x:f>
      </x:c>
      <x:c r="AB35" s="305" t="str">
        <x:f>IF(AND(AB$7&gt;=$E35,AB$7&lt;=$F35),"■","")</x:f>
      </x:c>
      <x:c r="AC35" s="305" t="str">
        <x:f>IF(AND(AC$7&gt;=$E35,AC$7&lt;=$F35),"■","")</x:f>
      </x:c>
      <x:c r="AD35" s="305" t="str">
        <x:f>IF(AND(AD$7&gt;=$E35,AD$7&lt;=$F35),"■","")</x:f>
      </x:c>
      <x:c r="AE35" s="305" t="str">
        <x:f>IF(AND(AE$7&gt;=$E35,AE$7&lt;=$F35),"■","")</x:f>
      </x:c>
      <x:c r="AF35" s="305" t="str">
        <x:f>IF(AND(AF$7&gt;=$E35,AF$7&lt;=$F35),"■","")</x:f>
        <x:v>■</x:v>
      </x:c>
      <x:c r="AG35" s="305" t="str">
        <x:f>IF(AND(AG$7&gt;=$E35,AG$7&lt;=$F35),"■","")</x:f>
        <x:v>■</x:v>
      </x:c>
      <x:c r="AH35" s="305" t="str">
        <x:f>IF(AND(AH$7&gt;=$E35,AH$7&lt;=$F35),"■","")</x:f>
      </x:c>
      <x:c r="AI35" s="305" t="str">
        <x:f>IF(AND(AI$7&gt;=$E35,AI$7&lt;=$F35),"■","")</x:f>
      </x:c>
      <x:c r="AJ35" s="305" t="str">
        <x:f>IF(AND(AJ$7&gt;=$E35,AJ$7&lt;=$F35),"■","")</x:f>
      </x:c>
      <x:c r="AK35" s="305" t="str">
        <x:f>IF(AND(AK$7&gt;=$E35,AK$7&lt;=$F35),"■","")</x:f>
      </x:c>
      <x:c r="AL35" s="305" t="str">
        <x:f>IF(AND(AL$7&gt;=$E35,AL$7&lt;=$F35),"■","")</x:f>
      </x:c>
      <x:c r="AM35" s="311" t="str">
        <x:f>IF(AND(AM$7&gt;=$E35,AM$7&lt;=$F35),"■","")</x:f>
      </x:c>
      <x:c r="AN35" s="311" t="str">
        <x:f>IF(AND(AN$7&gt;=$E35,AN$7&lt;=$F35),"■","")</x:f>
      </x:c>
      <x:c r="AO35" s="311" t="str">
        <x:f>IF(AND(AO$7&gt;=$E35,AO$7&lt;=$F35),"■","")</x:f>
      </x:c>
      <x:c r="AP35" s="311" t="str">
        <x:f>IF(AND(AP$7&gt;=$E35,AP$7&lt;=$F35),"■","")</x:f>
      </x:c>
      <x:c r="AQ35" s="311" t="str">
        <x:f>IF(AND(AQ$7&gt;=$E35,AQ$7&lt;=$F35),"■","")</x:f>
      </x:c>
      <x:c r="AR35" s="311" t="str">
        <x:f>IF(AND(AR$7&gt;=$E35,AR$7&lt;=$F35),"■","")</x:f>
      </x:c>
      <x:c r="AS35" s="311" t="str">
        <x:f>IF(AND(AS$7&gt;=$E35,AS$7&lt;=$F35),"■","")</x:f>
      </x:c>
      <x:c r="AT35" s="311" t="str">
        <x:f>IF(AND(AT$7&gt;=$E35,AT$7&lt;=$F35),"■","")</x:f>
      </x:c>
      <x:c r="AU35" s="311" t="str">
        <x:f>IF(AND(AU$7&gt;=$E35,AU$7&lt;=$F35),"■","")</x:f>
      </x:c>
      <x:c r="AV35" s="311" t="str">
        <x:f>IF(AND(AV$7&gt;=$E35,AV$7&lt;=$F35),"■","")</x:f>
      </x:c>
      <x:c r="AW35" s="311" t="str">
        <x:f>IF(AND(AW$7&gt;=$E35,AW$7&lt;=$F35),"■","")</x:f>
      </x:c>
      <x:c r="AX35" s="311" t="str">
        <x:f>IF(AND(AX$7&gt;=$E35,AX$7&lt;=$F35),"■","")</x:f>
      </x:c>
      <x:c r="AY35" s="311" t="str">
        <x:f>IF(AND(AY$7&gt;=$E35,AY$7&lt;=$F35),"■","")</x:f>
      </x:c>
      <x:c r="AZ35" s="311" t="str">
        <x:f>IF(AND(AZ$7&gt;=$E35,AZ$7&lt;=$F35),"■","")</x:f>
      </x:c>
      <x:c r="BA35" s="311" t="str">
        <x:f>IF(AND(BA$7&gt;=$E35,BA$7&lt;=$F35),"■","")</x:f>
      </x:c>
      <x:c r="BB35" s="321" t="str">
        <x:f>IF(AND(BB$7&gt;=$E35,BB$7&lt;=$F35),"■","")</x:f>
      </x:c>
      <x:c r="BC35" s="321" t="str">
        <x:f>IF(AND(BC$7&gt;=$E35,BC$7&lt;=$F35),"■","")</x:f>
      </x:c>
      <x:c r="BD35" s="321" t="str">
        <x:f>IF(AND(BD$7&gt;=$E35,BD$7&lt;=$F35),"■","")</x:f>
      </x:c>
      <x:c r="BE35" s="321" t="str">
        <x:f>IF(AND(BE$7&gt;=$E35,BE$7&lt;=$F35),"■","")</x:f>
      </x:c>
      <x:c r="BF35" s="321" t="str">
        <x:f>IF(AND(BF$7&gt;=$E35,BF$7&lt;=$F35),"■","")</x:f>
      </x:c>
      <x:c r="BG35" s="321" t="str">
        <x:f>IF(AND(BG$7&gt;=$E35,BG$7&lt;=$F35),"■","")</x:f>
      </x:c>
      <x:c r="BH35" s="321" t="str">
        <x:f>IF(AND(BH$7&gt;=$E35,BH$7&lt;=$F35),"■","")</x:f>
      </x:c>
      <x:c r="BI35" s="321" t="str">
        <x:f>IF(AND(BI$7&gt;=$E35,BI$7&lt;=$F35),"■","")</x:f>
      </x:c>
      <x:c r="BJ35" s="321" t="str">
        <x:f>IF(AND(BJ$7&gt;=$E35,BJ$7&lt;=$F35),"■","")</x:f>
      </x:c>
      <x:c r="BK35" s="321" t="str">
        <x:f>IF(AND(BK$7&gt;=$E35,BK$7&lt;=$F35),"■","")</x:f>
      </x:c>
      <x:c r="BL35" s="321" t="str">
        <x:f>IF(AND(BL$7&gt;=$E35,BL$7&lt;=$F35),"■","")</x:f>
      </x:c>
      <x:c r="BM35" s="321" t="str">
        <x:f>IF(AND(BM$7&gt;=$E35,BM$7&lt;=$F35),"■","")</x:f>
      </x:c>
      <x:c r="BN35" s="321" t="str">
        <x:f>IF(AND(BN$7&gt;=$E35,BN$7&lt;=$F35),"■","")</x:f>
      </x:c>
      <x:c r="BO35" s="321" t="str">
        <x:f>IF(AND(BO$7&gt;=$E35,BO$7&lt;=$F35),"■","")</x:f>
      </x:c>
      <x:c r="BP35" s="322" t="str">
        <x:f>IF(AND(BP$7&gt;=$E35,BP$7&lt;=$F35),"■","")</x:f>
      </x:c>
      <x:c r="BQ35" s="61"/>
    </x:row>
    <x:row r="36" ht="38" customHeight="1">
      <x:c r="A36" s="32"/>
      <x:c r="B36" s="376" t="str">
        <x:v>3.6</x:v>
      </x:c>
      <x:c r="C36" s="377" t="str">
        <x:v>합성 VOC VectorDB 검색 성능 검증·GraphDB 미도입 사유 기록
[대기] 산출물: 벡터DB/GraphDB 구축 결과서(공식 명칭·pgvector 독립 실험) · 제출 08/07</x:v>
      </x:c>
      <x:c r="D36" s="377" t="str">
        <x:v>김재홍</x:v>
      </x:c>
      <x:c r="E36" s="378" t="n">
        <x:v>46233</x:v>
      </x:c>
      <x:c r="F36" s="378" t="n">
        <x:v>46237</x:v>
      </x:c>
      <x:c r="G36" s="379" t="n">
        <x:f>MAX(0,F36-E36)</x:f>
        <x:v>4</x:v>
      </x:c>
      <x:c r="H36" s="380" t="n">
        <x:v>0</x:v>
      </x:c>
      <x:c r="I36" s="382" t="str">
        <x:f>IF(AND(I$7&gt;=$E36,I$7&lt;=$F36),"■","")</x:f>
      </x:c>
      <x:c r="J36" s="382" t="str">
        <x:f>IF(AND(J$7&gt;=$E36,J$7&lt;=$F36),"■","")</x:f>
      </x:c>
      <x:c r="K36" s="382" t="str">
        <x:f>IF(AND(K$7&gt;=$E36,K$7&lt;=$F36),"■","")</x:f>
      </x:c>
      <x:c r="L36" s="382" t="str">
        <x:f>IF(AND(L$7&gt;=$E36,L$7&lt;=$F36),"■","")</x:f>
      </x:c>
      <x:c r="M36" s="382" t="str">
        <x:f>IF(AND(M$7&gt;=$E36,M$7&lt;=$F36),"■","")</x:f>
      </x:c>
      <x:c r="N36" s="382" t="str">
        <x:f>IF(AND(N$7&gt;=$E36,N$7&lt;=$F36),"■","")</x:f>
      </x:c>
      <x:c r="O36" s="382" t="str">
        <x:f>IF(AND(O$7&gt;=$E36,O$7&lt;=$F36),"■","")</x:f>
      </x:c>
      <x:c r="P36" s="382" t="str">
        <x:f>IF(AND(P$7&gt;=$E36,P$7&lt;=$F36),"■","")</x:f>
      </x:c>
      <x:c r="Q36" s="382" t="str">
        <x:f>IF(AND(Q$7&gt;=$E36,Q$7&lt;=$F36),"■","")</x:f>
      </x:c>
      <x:c r="R36" s="382" t="str">
        <x:f>IF(AND(R$7&gt;=$E36,R$7&lt;=$F36),"■","")</x:f>
      </x:c>
      <x:c r="S36" s="382" t="str">
        <x:f>IF(AND(S$7&gt;=$E36,S$7&lt;=$F36),"■","")</x:f>
      </x:c>
      <x:c r="T36" s="382" t="str">
        <x:f>IF(AND(T$7&gt;=$E36,T$7&lt;=$F36),"■","")</x:f>
      </x:c>
      <x:c r="U36" s="382" t="str">
        <x:f>IF(AND(U$7&gt;=$E36,U$7&lt;=$F36),"■","")</x:f>
      </x:c>
      <x:c r="V36" s="382" t="str">
        <x:f>IF(AND(V$7&gt;=$E36,V$7&lt;=$F36),"■","")</x:f>
      </x:c>
      <x:c r="W36" s="382" t="str">
        <x:f>IF(AND(W$7&gt;=$E36,W$7&lt;=$F36),"■","")</x:f>
      </x:c>
      <x:c r="X36" s="384" t="str">
        <x:f>IF(AND(X$7&gt;=$E36,X$7&lt;=$F36),"■","")</x:f>
      </x:c>
      <x:c r="Y36" s="384" t="str">
        <x:f>IF(AND(Y$7&gt;=$E36,Y$7&lt;=$F36),"■","")</x:f>
      </x:c>
      <x:c r="Z36" s="384" t="str">
        <x:f>IF(AND(Z$7&gt;=$E36,Z$7&lt;=$F36),"■","")</x:f>
      </x:c>
      <x:c r="AA36" s="384" t="str">
        <x:f>IF(AND(AA$7&gt;=$E36,AA$7&lt;=$F36),"■","")</x:f>
        <x:v>■</x:v>
      </x:c>
      <x:c r="AB36" s="384" t="str">
        <x:f>IF(AND(AB$7&gt;=$E36,AB$7&lt;=$F36),"■","")</x:f>
        <x:v>■</x:v>
      </x:c>
      <x:c r="AC36" s="384" t="str">
        <x:f>IF(AND(AC$7&gt;=$E36,AC$7&lt;=$F36),"■","")</x:f>
        <x:v>■</x:v>
      </x:c>
      <x:c r="AD36" s="384" t="str">
        <x:f>IF(AND(AD$7&gt;=$E36,AD$7&lt;=$F36),"■","")</x:f>
      </x:c>
      <x:c r="AE36" s="384" t="str">
        <x:f>IF(AND(AE$7&gt;=$E36,AE$7&lt;=$F36),"■","")</x:f>
      </x:c>
      <x:c r="AF36" s="384" t="str">
        <x:f>IF(AND(AF$7&gt;=$E36,AF$7&lt;=$F36),"■","")</x:f>
      </x:c>
      <x:c r="AG36" s="384" t="str">
        <x:f>IF(AND(AG$7&gt;=$E36,AG$7&lt;=$F36),"■","")</x:f>
      </x:c>
      <x:c r="AH36" s="384" t="str">
        <x:f>IF(AND(AH$7&gt;=$E36,AH$7&lt;=$F36),"■","")</x:f>
      </x:c>
      <x:c r="AI36" s="384" t="str">
        <x:f>IF(AND(AI$7&gt;=$E36,AI$7&lt;=$F36),"■","")</x:f>
      </x:c>
      <x:c r="AJ36" s="384" t="str">
        <x:f>IF(AND(AJ$7&gt;=$E36,AJ$7&lt;=$F36),"■","")</x:f>
      </x:c>
      <x:c r="AK36" s="384" t="str">
        <x:f>IF(AND(AK$7&gt;=$E36,AK$7&lt;=$F36),"■","")</x:f>
      </x:c>
      <x:c r="AL36" s="384" t="str">
        <x:f>IF(AND(AL$7&gt;=$E36,AL$7&lt;=$F36),"■","")</x:f>
      </x:c>
      <x:c r="AM36" s="386" t="str">
        <x:f>IF(AND(AM$7&gt;=$E36,AM$7&lt;=$F36),"■","")</x:f>
      </x:c>
      <x:c r="AN36" s="386" t="str">
        <x:f>IF(AND(AN$7&gt;=$E36,AN$7&lt;=$F36),"■","")</x:f>
      </x:c>
      <x:c r="AO36" s="386" t="str">
        <x:f>IF(AND(AO$7&gt;=$E36,AO$7&lt;=$F36),"■","")</x:f>
      </x:c>
      <x:c r="AP36" s="386" t="str">
        <x:f>IF(AND(AP$7&gt;=$E36,AP$7&lt;=$F36),"■","")</x:f>
      </x:c>
      <x:c r="AQ36" s="386" t="str">
        <x:f>IF(AND(AQ$7&gt;=$E36,AQ$7&lt;=$F36),"■","")</x:f>
      </x:c>
      <x:c r="AR36" s="386" t="str">
        <x:f>IF(AND(AR$7&gt;=$E36,AR$7&lt;=$F36),"■","")</x:f>
      </x:c>
      <x:c r="AS36" s="386" t="str">
        <x:f>IF(AND(AS$7&gt;=$E36,AS$7&lt;=$F36),"■","")</x:f>
      </x:c>
      <x:c r="AT36" s="386" t="str">
        <x:f>IF(AND(AT$7&gt;=$E36,AT$7&lt;=$F36),"■","")</x:f>
      </x:c>
      <x:c r="AU36" s="386" t="str">
        <x:f>IF(AND(AU$7&gt;=$E36,AU$7&lt;=$F36),"■","")</x:f>
      </x:c>
      <x:c r="AV36" s="386" t="str">
        <x:f>IF(AND(AV$7&gt;=$E36,AV$7&lt;=$F36),"■","")</x:f>
      </x:c>
      <x:c r="AW36" s="386" t="str">
        <x:f>IF(AND(AW$7&gt;=$E36,AW$7&lt;=$F36),"■","")</x:f>
      </x:c>
      <x:c r="AX36" s="386" t="str">
        <x:f>IF(AND(AX$7&gt;=$E36,AX$7&lt;=$F36),"■","")</x:f>
      </x:c>
      <x:c r="AY36" s="386" t="str">
        <x:f>IF(AND(AY$7&gt;=$E36,AY$7&lt;=$F36),"■","")</x:f>
      </x:c>
      <x:c r="AZ36" s="386" t="str">
        <x:f>IF(AND(AZ$7&gt;=$E36,AZ$7&lt;=$F36),"■","")</x:f>
      </x:c>
      <x:c r="BA36" s="386" t="str">
        <x:f>IF(AND(BA$7&gt;=$E36,BA$7&lt;=$F36),"■","")</x:f>
      </x:c>
      <x:c r="BB36" s="388" t="str">
        <x:f>IF(AND(BB$7&gt;=$E36,BB$7&lt;=$F36),"■","")</x:f>
      </x:c>
      <x:c r="BC36" s="388" t="str">
        <x:f>IF(AND(BC$7&gt;=$E36,BC$7&lt;=$F36),"■","")</x:f>
      </x:c>
      <x:c r="BD36" s="388" t="str">
        <x:f>IF(AND(BD$7&gt;=$E36,BD$7&lt;=$F36),"■","")</x:f>
      </x:c>
      <x:c r="BE36" s="388" t="str">
        <x:f>IF(AND(BE$7&gt;=$E36,BE$7&lt;=$F36),"■","")</x:f>
      </x:c>
      <x:c r="BF36" s="388" t="str">
        <x:f>IF(AND(BF$7&gt;=$E36,BF$7&lt;=$F36),"■","")</x:f>
      </x:c>
      <x:c r="BG36" s="388" t="str">
        <x:f>IF(AND(BG$7&gt;=$E36,BG$7&lt;=$F36),"■","")</x:f>
      </x:c>
      <x:c r="BH36" s="388" t="str">
        <x:f>IF(AND(BH$7&gt;=$E36,BH$7&lt;=$F36),"■","")</x:f>
      </x:c>
      <x:c r="BI36" s="388" t="str">
        <x:f>IF(AND(BI$7&gt;=$E36,BI$7&lt;=$F36),"■","")</x:f>
      </x:c>
      <x:c r="BJ36" s="388" t="str">
        <x:f>IF(AND(BJ$7&gt;=$E36,BJ$7&lt;=$F36),"■","")</x:f>
      </x:c>
      <x:c r="BK36" s="388" t="str">
        <x:f>IF(AND(BK$7&gt;=$E36,BK$7&lt;=$F36),"■","")</x:f>
      </x:c>
      <x:c r="BL36" s="388" t="str">
        <x:f>IF(AND(BL$7&gt;=$E36,BL$7&lt;=$F36),"■","")</x:f>
      </x:c>
      <x:c r="BM36" s="388" t="str">
        <x:f>IF(AND(BM$7&gt;=$E36,BM$7&lt;=$F36),"■","")</x:f>
      </x:c>
      <x:c r="BN36" s="388" t="str">
        <x:f>IF(AND(BN$7&gt;=$E36,BN$7&lt;=$F36),"■","")</x:f>
      </x:c>
      <x:c r="BO36" s="388" t="str">
        <x:f>IF(AND(BO$7&gt;=$E36,BO$7&lt;=$F36),"■","")</x:f>
      </x:c>
      <x:c r="BP36" s="388" t="str">
        <x:f>IF(AND(BP$7&gt;=$E36,BP$7&lt;=$F36),"■","")</x:f>
      </x:c>
      <x:c r="BQ36" s="32"/>
    </x:row>
    <x:row r="37" ht="38" customHeight="1">
      <x:c r="A37" s="32"/>
      <x:c r="B37" s="376" t="str">
        <x:v>3.7★</x:v>
      </x:c>
      <x:c r="C37" s="377" t="str">
        <x:v>versioned rule 명세 동결·독립 seed 반례·임계값 민감도 검증
[대기] 산출물: rule 명세·Gate evidence</x:v>
      </x:c>
      <x:c r="D37" s="377" t="str">
        <x:v>윤대성·정승</x:v>
      </x:c>
      <x:c r="E37" s="378" t="n">
        <x:v>46233</x:v>
      </x:c>
      <x:c r="F37" s="378" t="n">
        <x:v>46237</x:v>
      </x:c>
      <x:c r="G37" s="379" t="n">
        <x:f>MAX(0,F37-E37)</x:f>
        <x:v>4</x:v>
      </x:c>
      <x:c r="H37" s="380" t="n">
        <x:v>0</x:v>
      </x:c>
      <x:c r="I37" s="382" t="str">
        <x:f>IF(AND(I$7&gt;=$E37,I$7&lt;=$F37),"■","")</x:f>
      </x:c>
      <x:c r="J37" s="382" t="str">
        <x:f>IF(AND(J$7&gt;=$E37,J$7&lt;=$F37),"■","")</x:f>
      </x:c>
      <x:c r="K37" s="382" t="str">
        <x:f>IF(AND(K$7&gt;=$E37,K$7&lt;=$F37),"■","")</x:f>
      </x:c>
      <x:c r="L37" s="382" t="str">
        <x:f>IF(AND(L$7&gt;=$E37,L$7&lt;=$F37),"■","")</x:f>
      </x:c>
      <x:c r="M37" s="382" t="str">
        <x:f>IF(AND(M$7&gt;=$E37,M$7&lt;=$F37),"■","")</x:f>
      </x:c>
      <x:c r="N37" s="382" t="str">
        <x:f>IF(AND(N$7&gt;=$E37,N$7&lt;=$F37),"■","")</x:f>
      </x:c>
      <x:c r="O37" s="382" t="str">
        <x:f>IF(AND(O$7&gt;=$E37,O$7&lt;=$F37),"■","")</x:f>
      </x:c>
      <x:c r="P37" s="382" t="str">
        <x:f>IF(AND(P$7&gt;=$E37,P$7&lt;=$F37),"■","")</x:f>
      </x:c>
      <x:c r="Q37" s="382" t="str">
        <x:f>IF(AND(Q$7&gt;=$E37,Q$7&lt;=$F37),"■","")</x:f>
      </x:c>
      <x:c r="R37" s="382" t="str">
        <x:f>IF(AND(R$7&gt;=$E37,R$7&lt;=$F37),"■","")</x:f>
      </x:c>
      <x:c r="S37" s="382" t="str">
        <x:f>IF(AND(S$7&gt;=$E37,S$7&lt;=$F37),"■","")</x:f>
      </x:c>
      <x:c r="T37" s="382" t="str">
        <x:f>IF(AND(T$7&gt;=$E37,T$7&lt;=$F37),"■","")</x:f>
      </x:c>
      <x:c r="U37" s="382" t="str">
        <x:f>IF(AND(U$7&gt;=$E37,U$7&lt;=$F37),"■","")</x:f>
      </x:c>
      <x:c r="V37" s="382" t="str">
        <x:f>IF(AND(V$7&gt;=$E37,V$7&lt;=$F37),"■","")</x:f>
      </x:c>
      <x:c r="W37" s="382" t="str">
        <x:f>IF(AND(W$7&gt;=$E37,W$7&lt;=$F37),"■","")</x:f>
      </x:c>
      <x:c r="X37" s="384" t="str">
        <x:f>IF(AND(X$7&gt;=$E37,X$7&lt;=$F37),"■","")</x:f>
      </x:c>
      <x:c r="Y37" s="384" t="str">
        <x:f>IF(AND(Y$7&gt;=$E37,Y$7&lt;=$F37),"■","")</x:f>
      </x:c>
      <x:c r="Z37" s="384" t="str">
        <x:f>IF(AND(Z$7&gt;=$E37,Z$7&lt;=$F37),"■","")</x:f>
      </x:c>
      <x:c r="AA37" s="384" t="str">
        <x:f>IF(AND(AA$7&gt;=$E37,AA$7&lt;=$F37),"■","")</x:f>
        <x:v>■</x:v>
      </x:c>
      <x:c r="AB37" s="384" t="str">
        <x:f>IF(AND(AB$7&gt;=$E37,AB$7&lt;=$F37),"■","")</x:f>
        <x:v>■</x:v>
      </x:c>
      <x:c r="AC37" s="384" t="str">
        <x:f>IF(AND(AC$7&gt;=$E37,AC$7&lt;=$F37),"■","")</x:f>
        <x:v>■</x:v>
      </x:c>
      <x:c r="AD37" s="384" t="str">
        <x:f>IF(AND(AD$7&gt;=$E37,AD$7&lt;=$F37),"■","")</x:f>
      </x:c>
      <x:c r="AE37" s="384" t="str">
        <x:f>IF(AND(AE$7&gt;=$E37,AE$7&lt;=$F37),"■","")</x:f>
      </x:c>
      <x:c r="AF37" s="384" t="str">
        <x:f>IF(AND(AF$7&gt;=$E37,AF$7&lt;=$F37),"■","")</x:f>
      </x:c>
      <x:c r="AG37" s="384" t="str">
        <x:f>IF(AND(AG$7&gt;=$E37,AG$7&lt;=$F37),"■","")</x:f>
      </x:c>
      <x:c r="AH37" s="384" t="str">
        <x:f>IF(AND(AH$7&gt;=$E37,AH$7&lt;=$F37),"■","")</x:f>
      </x:c>
      <x:c r="AI37" s="384" t="str">
        <x:f>IF(AND(AI$7&gt;=$E37,AI$7&lt;=$F37),"■","")</x:f>
      </x:c>
      <x:c r="AJ37" s="384" t="str">
        <x:f>IF(AND(AJ$7&gt;=$E37,AJ$7&lt;=$F37),"■","")</x:f>
      </x:c>
      <x:c r="AK37" s="384" t="str">
        <x:f>IF(AND(AK$7&gt;=$E37,AK$7&lt;=$F37),"■","")</x:f>
      </x:c>
      <x:c r="AL37" s="384" t="str">
        <x:f>IF(AND(AL$7&gt;=$E37,AL$7&lt;=$F37),"■","")</x:f>
      </x:c>
      <x:c r="AM37" s="386" t="str">
        <x:f>IF(AND(AM$7&gt;=$E37,AM$7&lt;=$F37),"■","")</x:f>
      </x:c>
      <x:c r="AN37" s="386" t="str">
        <x:f>IF(AND(AN$7&gt;=$E37,AN$7&lt;=$F37),"■","")</x:f>
      </x:c>
      <x:c r="AO37" s="386" t="str">
        <x:f>IF(AND(AO$7&gt;=$E37,AO$7&lt;=$F37),"■","")</x:f>
      </x:c>
      <x:c r="AP37" s="386" t="str">
        <x:f>IF(AND(AP$7&gt;=$E37,AP$7&lt;=$F37),"■","")</x:f>
      </x:c>
      <x:c r="AQ37" s="386" t="str">
        <x:f>IF(AND(AQ$7&gt;=$E37,AQ$7&lt;=$F37),"■","")</x:f>
      </x:c>
      <x:c r="AR37" s="386" t="str">
        <x:f>IF(AND(AR$7&gt;=$E37,AR$7&lt;=$F37),"■","")</x:f>
      </x:c>
      <x:c r="AS37" s="386" t="str">
        <x:f>IF(AND(AS$7&gt;=$E37,AS$7&lt;=$F37),"■","")</x:f>
      </x:c>
      <x:c r="AT37" s="386" t="str">
        <x:f>IF(AND(AT$7&gt;=$E37,AT$7&lt;=$F37),"■","")</x:f>
      </x:c>
      <x:c r="AU37" s="386" t="str">
        <x:f>IF(AND(AU$7&gt;=$E37,AU$7&lt;=$F37),"■","")</x:f>
      </x:c>
      <x:c r="AV37" s="386" t="str">
        <x:f>IF(AND(AV$7&gt;=$E37,AV$7&lt;=$F37),"■","")</x:f>
      </x:c>
      <x:c r="AW37" s="386" t="str">
        <x:f>IF(AND(AW$7&gt;=$E37,AW$7&lt;=$F37),"■","")</x:f>
      </x:c>
      <x:c r="AX37" s="386" t="str">
        <x:f>IF(AND(AX$7&gt;=$E37,AX$7&lt;=$F37),"■","")</x:f>
      </x:c>
      <x:c r="AY37" s="386" t="str">
        <x:f>IF(AND(AY$7&gt;=$E37,AY$7&lt;=$F37),"■","")</x:f>
      </x:c>
      <x:c r="AZ37" s="386" t="str">
        <x:f>IF(AND(AZ$7&gt;=$E37,AZ$7&lt;=$F37),"■","")</x:f>
      </x:c>
      <x:c r="BA37" s="386" t="str">
        <x:f>IF(AND(BA$7&gt;=$E37,BA$7&lt;=$F37),"■","")</x:f>
      </x:c>
      <x:c r="BB37" s="388" t="str">
        <x:f>IF(AND(BB$7&gt;=$E37,BB$7&lt;=$F37),"■","")</x:f>
      </x:c>
      <x:c r="BC37" s="388" t="str">
        <x:f>IF(AND(BC$7&gt;=$E37,BC$7&lt;=$F37),"■","")</x:f>
      </x:c>
      <x:c r="BD37" s="388" t="str">
        <x:f>IF(AND(BD$7&gt;=$E37,BD$7&lt;=$F37),"■","")</x:f>
      </x:c>
      <x:c r="BE37" s="388" t="str">
        <x:f>IF(AND(BE$7&gt;=$E37,BE$7&lt;=$F37),"■","")</x:f>
      </x:c>
      <x:c r="BF37" s="388" t="str">
        <x:f>IF(AND(BF$7&gt;=$E37,BF$7&lt;=$F37),"■","")</x:f>
      </x:c>
      <x:c r="BG37" s="388" t="str">
        <x:f>IF(AND(BG$7&gt;=$E37,BG$7&lt;=$F37),"■","")</x:f>
      </x:c>
      <x:c r="BH37" s="388" t="str">
        <x:f>IF(AND(BH$7&gt;=$E37,BH$7&lt;=$F37),"■","")</x:f>
      </x:c>
      <x:c r="BI37" s="388" t="str">
        <x:f>IF(AND(BI$7&gt;=$E37,BI$7&lt;=$F37),"■","")</x:f>
      </x:c>
      <x:c r="BJ37" s="388" t="str">
        <x:f>IF(AND(BJ$7&gt;=$E37,BJ$7&lt;=$F37),"■","")</x:f>
      </x:c>
      <x:c r="BK37" s="388" t="str">
        <x:f>IF(AND(BK$7&gt;=$E37,BK$7&lt;=$F37),"■","")</x:f>
      </x:c>
      <x:c r="BL37" s="388" t="str">
        <x:f>IF(AND(BL$7&gt;=$E37,BL$7&lt;=$F37),"■","")</x:f>
      </x:c>
      <x:c r="BM37" s="388" t="str">
        <x:f>IF(AND(BM$7&gt;=$E37,BM$7&lt;=$F37),"■","")</x:f>
      </x:c>
      <x:c r="BN37" s="388" t="str">
        <x:f>IF(AND(BN$7&gt;=$E37,BN$7&lt;=$F37),"■","")</x:f>
      </x:c>
      <x:c r="BO37" s="388" t="str">
        <x:f>IF(AND(BO$7&gt;=$E37,BO$7&lt;=$F37),"■","")</x:f>
      </x:c>
      <x:c r="BP37" s="388" t="str">
        <x:f>IF(AND(BP$7&gt;=$E37,BP$7&lt;=$F37),"■","")</x:f>
      </x:c>
      <x:c r="BQ37" s="32"/>
    </x:row>
    <x:row r="38" ht="24" customHeight="1">
      <x:c r="A38" s="32"/>
      <x:c r="B38" s="395" t="str">
        <x:v>4</x:v>
      </x:c>
      <x:c r="C38" s="396" t="str">
        <x:v>프로토타입·중간발표</x:v>
      </x:c>
      <x:c r="D38" s="396"/>
      <x:c r="E38" s="397"/>
      <x:c r="F38" s="397"/>
      <x:c r="G38" s="398"/>
      <x:c r="H38" s="399"/>
      <x:c r="I38" s="400"/>
      <x:c r="J38" s="400"/>
      <x:c r="K38" s="400"/>
      <x:c r="L38" s="400"/>
      <x:c r="M38" s="400"/>
      <x:c r="N38" s="400"/>
      <x:c r="O38" s="400"/>
      <x:c r="P38" s="400"/>
      <x:c r="Q38" s="400"/>
      <x:c r="R38" s="400"/>
      <x:c r="S38" s="400"/>
      <x:c r="T38" s="400"/>
      <x:c r="U38" s="400"/>
      <x:c r="V38" s="400"/>
      <x:c r="W38" s="400"/>
      <x:c r="X38" s="400"/>
      <x:c r="Y38" s="400"/>
      <x:c r="Z38" s="400"/>
      <x:c r="AA38" s="400"/>
      <x:c r="AB38" s="400"/>
      <x:c r="AC38" s="400"/>
      <x:c r="AD38" s="400"/>
      <x:c r="AE38" s="400"/>
      <x:c r="AF38" s="400"/>
      <x:c r="AG38" s="400"/>
      <x:c r="AH38" s="400"/>
      <x:c r="AI38" s="400"/>
      <x:c r="AJ38" s="400"/>
      <x:c r="AK38" s="400"/>
      <x:c r="AL38" s="400"/>
      <x:c r="AM38" s="400"/>
      <x:c r="AN38" s="400"/>
      <x:c r="AO38" s="400"/>
      <x:c r="AP38" s="400"/>
      <x:c r="AQ38" s="400"/>
      <x:c r="AR38" s="400"/>
      <x:c r="AS38" s="400"/>
      <x:c r="AT38" s="400"/>
      <x:c r="AU38" s="400"/>
      <x:c r="AV38" s="400"/>
      <x:c r="AW38" s="400"/>
      <x:c r="AX38" s="400"/>
      <x:c r="AY38" s="400"/>
      <x:c r="AZ38" s="400"/>
      <x:c r="BA38" s="400"/>
      <x:c r="BB38" s="400"/>
      <x:c r="BC38" s="400"/>
      <x:c r="BD38" s="400"/>
      <x:c r="BE38" s="400"/>
      <x:c r="BF38" s="400"/>
      <x:c r="BG38" s="400"/>
      <x:c r="BH38" s="400"/>
      <x:c r="BI38" s="400"/>
      <x:c r="BJ38" s="400"/>
      <x:c r="BK38" s="400"/>
      <x:c r="BL38" s="400"/>
      <x:c r="BM38" s="400"/>
      <x:c r="BN38" s="400"/>
      <x:c r="BO38" s="400"/>
      <x:c r="BP38" s="400"/>
      <x:c r="BQ38" s="32"/>
    </x:row>
    <x:row r="39" ht="38" customHeight="1">
      <x:c r="B39" s="406" t="str">
        <x:v>4.1★</x:v>
      </x:c>
      <x:c r="C39" s="407" t="str">
        <x:v>React 목업 6종 기본 흐름·역할 선택
[대기] 산출물: UI 프로토타입</x:v>
      </x:c>
      <x:c r="D39" s="407" t="str">
        <x:v>송민지</x:v>
      </x:c>
      <x:c r="E39" s="408" t="n">
        <x:v>46231</x:v>
      </x:c>
      <x:c r="F39" s="408" t="n">
        <x:v>46237</x:v>
      </x:c>
      <x:c r="G39" s="409" t="n">
        <x:f>MAX(0,F39-E39)</x:f>
        <x:v>6</x:v>
      </x:c>
      <x:c r="H39" s="410" t="n">
        <x:v>0</x:v>
      </x:c>
      <x:c r="I39" s="412" t="str">
        <x:f>IF(AND(I$7&gt;=$E39,I$7&lt;=$F39),"■","")</x:f>
      </x:c>
      <x:c r="J39" s="412" t="str">
        <x:f>IF(AND(J$7&gt;=$E39,J$7&lt;=$F39),"■","")</x:f>
      </x:c>
      <x:c r="K39" s="412" t="str">
        <x:f>IF(AND(K$7&gt;=$E39,K$7&lt;=$F39),"■","")</x:f>
      </x:c>
      <x:c r="L39" s="412" t="str">
        <x:f>IF(AND(L$7&gt;=$E39,L$7&lt;=$F39),"■","")</x:f>
      </x:c>
      <x:c r="M39" s="412" t="str">
        <x:f>IF(AND(M$7&gt;=$E39,M$7&lt;=$F39),"■","")</x:f>
      </x:c>
      <x:c r="N39" s="412" t="str">
        <x:f>IF(AND(N$7&gt;=$E39,N$7&lt;=$F39),"■","")</x:f>
      </x:c>
      <x:c r="O39" s="412" t="str">
        <x:f>IF(AND(O$7&gt;=$E39,O$7&lt;=$F39),"■","")</x:f>
      </x:c>
      <x:c r="P39" s="412" t="str">
        <x:f>IF(AND(P$7&gt;=$E39,P$7&lt;=$F39),"■","")</x:f>
      </x:c>
      <x:c r="Q39" s="412" t="str">
        <x:f>IF(AND(Q$7&gt;=$E39,Q$7&lt;=$F39),"■","")</x:f>
      </x:c>
      <x:c r="R39" s="412" t="str">
        <x:f>IF(AND(R$7&gt;=$E39,R$7&lt;=$F39),"■","")</x:f>
      </x:c>
      <x:c r="S39" s="412" t="str">
        <x:f>IF(AND(S$7&gt;=$E39,S$7&lt;=$F39),"■","")</x:f>
      </x:c>
      <x:c r="T39" s="412" t="str">
        <x:f>IF(AND(T$7&gt;=$E39,T$7&lt;=$F39),"■","")</x:f>
      </x:c>
      <x:c r="U39" s="412" t="str">
        <x:f>IF(AND(U$7&gt;=$E39,U$7&lt;=$F39),"■","")</x:f>
      </x:c>
      <x:c r="V39" s="412" t="str">
        <x:f>IF(AND(V$7&gt;=$E39,V$7&lt;=$F39),"■","")</x:f>
      </x:c>
      <x:c r="W39" s="412" t="str">
        <x:f>IF(AND(W$7&gt;=$E39,W$7&lt;=$F39),"■","")</x:f>
      </x:c>
      <x:c r="X39" s="414" t="str">
        <x:f>IF(AND(X$7&gt;=$E39,X$7&lt;=$F39),"■","")</x:f>
      </x:c>
      <x:c r="Y39" s="414" t="str">
        <x:f>IF(AND(Y$7&gt;=$E39,Y$7&lt;=$F39),"■","")</x:f>
        <x:v>■</x:v>
      </x:c>
      <x:c r="Z39" s="414" t="str">
        <x:f>IF(AND(Z$7&gt;=$E39,Z$7&lt;=$F39),"■","")</x:f>
        <x:v>■</x:v>
      </x:c>
      <x:c r="AA39" s="414" t="str">
        <x:f>IF(AND(AA$7&gt;=$E39,AA$7&lt;=$F39),"■","")</x:f>
        <x:v>■</x:v>
      </x:c>
      <x:c r="AB39" s="414" t="str">
        <x:f>IF(AND(AB$7&gt;=$E39,AB$7&lt;=$F39),"■","")</x:f>
        <x:v>■</x:v>
      </x:c>
      <x:c r="AC39" s="414" t="str">
        <x:f>IF(AND(AC$7&gt;=$E39,AC$7&lt;=$F39),"■","")</x:f>
        <x:v>■</x:v>
      </x:c>
      <x:c r="AD39" s="414" t="str">
        <x:f>IF(AND(AD$7&gt;=$E39,AD$7&lt;=$F39),"■","")</x:f>
      </x:c>
      <x:c r="AE39" s="414" t="str">
        <x:f>IF(AND(AE$7&gt;=$E39,AE$7&lt;=$F39),"■","")</x:f>
      </x:c>
      <x:c r="AF39" s="414" t="str">
        <x:f>IF(AND(AF$7&gt;=$E39,AF$7&lt;=$F39),"■","")</x:f>
      </x:c>
      <x:c r="AG39" s="414" t="str">
        <x:f>IF(AND(AG$7&gt;=$E39,AG$7&lt;=$F39),"■","")</x:f>
      </x:c>
      <x:c r="AH39" s="414" t="str">
        <x:f>IF(AND(AH$7&gt;=$E39,AH$7&lt;=$F39),"■","")</x:f>
      </x:c>
      <x:c r="AI39" s="414" t="str">
        <x:f>IF(AND(AI$7&gt;=$E39,AI$7&lt;=$F39),"■","")</x:f>
      </x:c>
      <x:c r="AJ39" s="414" t="str">
        <x:f>IF(AND(AJ$7&gt;=$E39,AJ$7&lt;=$F39),"■","")</x:f>
      </x:c>
      <x:c r="AK39" s="414" t="str">
        <x:f>IF(AND(AK$7&gt;=$E39,AK$7&lt;=$F39),"■","")</x:f>
      </x:c>
      <x:c r="AL39" s="414" t="str">
        <x:f>IF(AND(AL$7&gt;=$E39,AL$7&lt;=$F39),"■","")</x:f>
      </x:c>
      <x:c r="AM39" s="416" t="str">
        <x:f>IF(AND(AM$7&gt;=$E39,AM$7&lt;=$F39),"■","")</x:f>
      </x:c>
      <x:c r="AN39" s="416" t="str">
        <x:f>IF(AND(AN$7&gt;=$E39,AN$7&lt;=$F39),"■","")</x:f>
      </x:c>
      <x:c r="AO39" s="416" t="str">
        <x:f>IF(AND(AO$7&gt;=$E39,AO$7&lt;=$F39),"■","")</x:f>
      </x:c>
      <x:c r="AP39" s="416" t="str">
        <x:f>IF(AND(AP$7&gt;=$E39,AP$7&lt;=$F39),"■","")</x:f>
      </x:c>
      <x:c r="AQ39" s="416" t="str">
        <x:f>IF(AND(AQ$7&gt;=$E39,AQ$7&lt;=$F39),"■","")</x:f>
      </x:c>
      <x:c r="AR39" s="416" t="str">
        <x:f>IF(AND(AR$7&gt;=$E39,AR$7&lt;=$F39),"■","")</x:f>
      </x:c>
      <x:c r="AS39" s="416" t="str">
        <x:f>IF(AND(AS$7&gt;=$E39,AS$7&lt;=$F39),"■","")</x:f>
      </x:c>
      <x:c r="AT39" s="416" t="str">
        <x:f>IF(AND(AT$7&gt;=$E39,AT$7&lt;=$F39),"■","")</x:f>
      </x:c>
      <x:c r="AU39" s="416" t="str">
        <x:f>IF(AND(AU$7&gt;=$E39,AU$7&lt;=$F39),"■","")</x:f>
      </x:c>
      <x:c r="AV39" s="416" t="str">
        <x:f>IF(AND(AV$7&gt;=$E39,AV$7&lt;=$F39),"■","")</x:f>
      </x:c>
      <x:c r="AW39" s="416" t="str">
        <x:f>IF(AND(AW$7&gt;=$E39,AW$7&lt;=$F39),"■","")</x:f>
      </x:c>
      <x:c r="AX39" s="416" t="str">
        <x:f>IF(AND(AX$7&gt;=$E39,AX$7&lt;=$F39),"■","")</x:f>
      </x:c>
      <x:c r="AY39" s="416" t="str">
        <x:f>IF(AND(AY$7&gt;=$E39,AY$7&lt;=$F39),"■","")</x:f>
      </x:c>
      <x:c r="AZ39" s="416" t="str">
        <x:f>IF(AND(AZ$7&gt;=$E39,AZ$7&lt;=$F39),"■","")</x:f>
      </x:c>
      <x:c r="BA39" s="416" t="str">
        <x:f>IF(AND(BA$7&gt;=$E39,BA$7&lt;=$F39),"■","")</x:f>
      </x:c>
      <x:c r="BB39" s="418" t="str">
        <x:f>IF(AND(BB$7&gt;=$E39,BB$7&lt;=$F39),"■","")</x:f>
      </x:c>
      <x:c r="BC39" s="418" t="str">
        <x:f>IF(AND(BC$7&gt;=$E39,BC$7&lt;=$F39),"■","")</x:f>
      </x:c>
      <x:c r="BD39" s="418" t="str">
        <x:f>IF(AND(BD$7&gt;=$E39,BD$7&lt;=$F39),"■","")</x:f>
      </x:c>
      <x:c r="BE39" s="418" t="str">
        <x:f>IF(AND(BE$7&gt;=$E39,BE$7&lt;=$F39),"■","")</x:f>
      </x:c>
      <x:c r="BF39" s="418" t="str">
        <x:f>IF(AND(BF$7&gt;=$E39,BF$7&lt;=$F39),"■","")</x:f>
      </x:c>
      <x:c r="BG39" s="418" t="str">
        <x:f>IF(AND(BG$7&gt;=$E39,BG$7&lt;=$F39),"■","")</x:f>
      </x:c>
      <x:c r="BH39" s="418" t="str">
        <x:f>IF(AND(BH$7&gt;=$E39,BH$7&lt;=$F39),"■","")</x:f>
      </x:c>
      <x:c r="BI39" s="418" t="str">
        <x:f>IF(AND(BI$7&gt;=$E39,BI$7&lt;=$F39),"■","")</x:f>
      </x:c>
      <x:c r="BJ39" s="418" t="str">
        <x:f>IF(AND(BJ$7&gt;=$E39,BJ$7&lt;=$F39),"■","")</x:f>
      </x:c>
      <x:c r="BK39" s="418" t="str">
        <x:f>IF(AND(BK$7&gt;=$E39,BK$7&lt;=$F39),"■","")</x:f>
      </x:c>
      <x:c r="BL39" s="418" t="str">
        <x:f>IF(AND(BL$7&gt;=$E39,BL$7&lt;=$F39),"■","")</x:f>
      </x:c>
      <x:c r="BM39" s="418" t="str">
        <x:f>IF(AND(BM$7&gt;=$E39,BM$7&lt;=$F39),"■","")</x:f>
      </x:c>
      <x:c r="BN39" s="418" t="str">
        <x:f>IF(AND(BN$7&gt;=$E39,BN$7&lt;=$F39),"■","")</x:f>
      </x:c>
      <x:c r="BO39" s="418" t="str">
        <x:f>IF(AND(BO$7&gt;=$E39,BO$7&lt;=$F39),"■","")</x:f>
      </x:c>
      <x:c r="BP39" s="418" t="str">
        <x:f>IF(AND(BP$7&gt;=$E39,BP$7&lt;=$F39),"■","")</x:f>
      </x:c>
    </x:row>
    <x:row r="40" ht="38" customHeight="1">
      <x:c r="B40" s="406" t="str">
        <x:v>4.2★</x:v>
      </x:c>
      <x:c r="C40" s="407" t="str">
        <x:v>합의된 역할·상태·근거·합성 표시를 반영한 fixture·차트·DRAFT 흐름
[대기] 산출물: 중간발표 화면</x:v>
      </x:c>
      <x:c r="D40" s="407" t="str">
        <x:v>송민지·박준희</x:v>
      </x:c>
      <x:c r="E40" s="408" t="n">
        <x:v>46232</x:v>
      </x:c>
      <x:c r="F40" s="408" t="n">
        <x:v>46239</x:v>
      </x:c>
      <x:c r="G40" s="409" t="n">
        <x:f>MAX(0,F40-E40)</x:f>
        <x:v>7</x:v>
      </x:c>
      <x:c r="H40" s="410" t="n">
        <x:v>0</x:v>
      </x:c>
      <x:c r="I40" s="412" t="str">
        <x:f>IF(AND(I$7&gt;=$E40,I$7&lt;=$F40),"■","")</x:f>
      </x:c>
      <x:c r="J40" s="412" t="str">
        <x:f>IF(AND(J$7&gt;=$E40,J$7&lt;=$F40),"■","")</x:f>
      </x:c>
      <x:c r="K40" s="412" t="str">
        <x:f>IF(AND(K$7&gt;=$E40,K$7&lt;=$F40),"■","")</x:f>
      </x:c>
      <x:c r="L40" s="412" t="str">
        <x:f>IF(AND(L$7&gt;=$E40,L$7&lt;=$F40),"■","")</x:f>
      </x:c>
      <x:c r="M40" s="412" t="str">
        <x:f>IF(AND(M$7&gt;=$E40,M$7&lt;=$F40),"■","")</x:f>
      </x:c>
      <x:c r="N40" s="412" t="str">
        <x:f>IF(AND(N$7&gt;=$E40,N$7&lt;=$F40),"■","")</x:f>
      </x:c>
      <x:c r="O40" s="412" t="str">
        <x:f>IF(AND(O$7&gt;=$E40,O$7&lt;=$F40),"■","")</x:f>
      </x:c>
      <x:c r="P40" s="412" t="str">
        <x:f>IF(AND(P$7&gt;=$E40,P$7&lt;=$F40),"■","")</x:f>
      </x:c>
      <x:c r="Q40" s="412" t="str">
        <x:f>IF(AND(Q$7&gt;=$E40,Q$7&lt;=$F40),"■","")</x:f>
      </x:c>
      <x:c r="R40" s="412" t="str">
        <x:f>IF(AND(R$7&gt;=$E40,R$7&lt;=$F40),"■","")</x:f>
      </x:c>
      <x:c r="S40" s="412" t="str">
        <x:f>IF(AND(S$7&gt;=$E40,S$7&lt;=$F40),"■","")</x:f>
      </x:c>
      <x:c r="T40" s="412" t="str">
        <x:f>IF(AND(T$7&gt;=$E40,T$7&lt;=$F40),"■","")</x:f>
      </x:c>
      <x:c r="U40" s="412" t="str">
        <x:f>IF(AND(U$7&gt;=$E40,U$7&lt;=$F40),"■","")</x:f>
      </x:c>
      <x:c r="V40" s="412" t="str">
        <x:f>IF(AND(V$7&gt;=$E40,V$7&lt;=$F40),"■","")</x:f>
      </x:c>
      <x:c r="W40" s="412" t="str">
        <x:f>IF(AND(W$7&gt;=$E40,W$7&lt;=$F40),"■","")</x:f>
      </x:c>
      <x:c r="X40" s="414" t="str">
        <x:f>IF(AND(X$7&gt;=$E40,X$7&lt;=$F40),"■","")</x:f>
      </x:c>
      <x:c r="Y40" s="414" t="str">
        <x:f>IF(AND(Y$7&gt;=$E40,Y$7&lt;=$F40),"■","")</x:f>
      </x:c>
      <x:c r="Z40" s="414" t="str">
        <x:f>IF(AND(Z$7&gt;=$E40,Z$7&lt;=$F40),"■","")</x:f>
        <x:v>■</x:v>
      </x:c>
      <x:c r="AA40" s="414" t="str">
        <x:f>IF(AND(AA$7&gt;=$E40,AA$7&lt;=$F40),"■","")</x:f>
        <x:v>■</x:v>
      </x:c>
      <x:c r="AB40" s="414" t="str">
        <x:f>IF(AND(AB$7&gt;=$E40,AB$7&lt;=$F40),"■","")</x:f>
        <x:v>■</x:v>
      </x:c>
      <x:c r="AC40" s="414" t="str">
        <x:f>IF(AND(AC$7&gt;=$E40,AC$7&lt;=$F40),"■","")</x:f>
        <x:v>■</x:v>
      </x:c>
      <x:c r="AD40" s="414" t="str">
        <x:f>IF(AND(AD$7&gt;=$E40,AD$7&lt;=$F40),"■","")</x:f>
        <x:v>■</x:v>
      </x:c>
      <x:c r="AE40" s="414" t="str">
        <x:f>IF(AND(AE$7&gt;=$E40,AE$7&lt;=$F40),"■","")</x:f>
        <x:v>■</x:v>
      </x:c>
      <x:c r="AF40" s="414" t="str">
        <x:f>IF(AND(AF$7&gt;=$E40,AF$7&lt;=$F40),"■","")</x:f>
      </x:c>
      <x:c r="AG40" s="414" t="str">
        <x:f>IF(AND(AG$7&gt;=$E40,AG$7&lt;=$F40),"■","")</x:f>
      </x:c>
      <x:c r="AH40" s="414" t="str">
        <x:f>IF(AND(AH$7&gt;=$E40,AH$7&lt;=$F40),"■","")</x:f>
      </x:c>
      <x:c r="AI40" s="414" t="str">
        <x:f>IF(AND(AI$7&gt;=$E40,AI$7&lt;=$F40),"■","")</x:f>
      </x:c>
      <x:c r="AJ40" s="414" t="str">
        <x:f>IF(AND(AJ$7&gt;=$E40,AJ$7&lt;=$F40),"■","")</x:f>
      </x:c>
      <x:c r="AK40" s="414" t="str">
        <x:f>IF(AND(AK$7&gt;=$E40,AK$7&lt;=$F40),"■","")</x:f>
      </x:c>
      <x:c r="AL40" s="414" t="str">
        <x:f>IF(AND(AL$7&gt;=$E40,AL$7&lt;=$F40),"■","")</x:f>
      </x:c>
      <x:c r="AM40" s="416" t="str">
        <x:f>IF(AND(AM$7&gt;=$E40,AM$7&lt;=$F40),"■","")</x:f>
      </x:c>
      <x:c r="AN40" s="416" t="str">
        <x:f>IF(AND(AN$7&gt;=$E40,AN$7&lt;=$F40),"■","")</x:f>
      </x:c>
      <x:c r="AO40" s="416" t="str">
        <x:f>IF(AND(AO$7&gt;=$E40,AO$7&lt;=$F40),"■","")</x:f>
      </x:c>
      <x:c r="AP40" s="416" t="str">
        <x:f>IF(AND(AP$7&gt;=$E40,AP$7&lt;=$F40),"■","")</x:f>
      </x:c>
      <x:c r="AQ40" s="416" t="str">
        <x:f>IF(AND(AQ$7&gt;=$E40,AQ$7&lt;=$F40),"■","")</x:f>
      </x:c>
      <x:c r="AR40" s="416" t="str">
        <x:f>IF(AND(AR$7&gt;=$E40,AR$7&lt;=$F40),"■","")</x:f>
      </x:c>
      <x:c r="AS40" s="416" t="str">
        <x:f>IF(AND(AS$7&gt;=$E40,AS$7&lt;=$F40),"■","")</x:f>
      </x:c>
      <x:c r="AT40" s="416" t="str">
        <x:f>IF(AND(AT$7&gt;=$E40,AT$7&lt;=$F40),"■","")</x:f>
      </x:c>
      <x:c r="AU40" s="416" t="str">
        <x:f>IF(AND(AU$7&gt;=$E40,AU$7&lt;=$F40),"■","")</x:f>
      </x:c>
      <x:c r="AV40" s="416" t="str">
        <x:f>IF(AND(AV$7&gt;=$E40,AV$7&lt;=$F40),"■","")</x:f>
      </x:c>
      <x:c r="AW40" s="416" t="str">
        <x:f>IF(AND(AW$7&gt;=$E40,AW$7&lt;=$F40),"■","")</x:f>
      </x:c>
      <x:c r="AX40" s="416" t="str">
        <x:f>IF(AND(AX$7&gt;=$E40,AX$7&lt;=$F40),"■","")</x:f>
      </x:c>
      <x:c r="AY40" s="416" t="str">
        <x:f>IF(AND(AY$7&gt;=$E40,AY$7&lt;=$F40),"■","")</x:f>
      </x:c>
      <x:c r="AZ40" s="416" t="str">
        <x:f>IF(AND(AZ$7&gt;=$E40,AZ$7&lt;=$F40),"■","")</x:f>
      </x:c>
      <x:c r="BA40" s="416" t="str">
        <x:f>IF(AND(BA$7&gt;=$E40,BA$7&lt;=$F40),"■","")</x:f>
      </x:c>
      <x:c r="BB40" s="418" t="str">
        <x:f>IF(AND(BB$7&gt;=$E40,BB$7&lt;=$F40),"■","")</x:f>
      </x:c>
      <x:c r="BC40" s="418" t="str">
        <x:f>IF(AND(BC$7&gt;=$E40,BC$7&lt;=$F40),"■","")</x:f>
      </x:c>
      <x:c r="BD40" s="418" t="str">
        <x:f>IF(AND(BD$7&gt;=$E40,BD$7&lt;=$F40),"■","")</x:f>
      </x:c>
      <x:c r="BE40" s="418" t="str">
        <x:f>IF(AND(BE$7&gt;=$E40,BE$7&lt;=$F40),"■","")</x:f>
      </x:c>
      <x:c r="BF40" s="418" t="str">
        <x:f>IF(AND(BF$7&gt;=$E40,BF$7&lt;=$F40),"■","")</x:f>
      </x:c>
      <x:c r="BG40" s="418" t="str">
        <x:f>IF(AND(BG$7&gt;=$E40,BG$7&lt;=$F40),"■","")</x:f>
      </x:c>
      <x:c r="BH40" s="418" t="str">
        <x:f>IF(AND(BH$7&gt;=$E40,BH$7&lt;=$F40),"■","")</x:f>
      </x:c>
      <x:c r="BI40" s="418" t="str">
        <x:f>IF(AND(BI$7&gt;=$E40,BI$7&lt;=$F40),"■","")</x:f>
      </x:c>
      <x:c r="BJ40" s="418" t="str">
        <x:f>IF(AND(BJ$7&gt;=$E40,BJ$7&lt;=$F40),"■","")</x:f>
      </x:c>
      <x:c r="BK40" s="418" t="str">
        <x:f>IF(AND(BK$7&gt;=$E40,BK$7&lt;=$F40),"■","")</x:f>
      </x:c>
      <x:c r="BL40" s="418" t="str">
        <x:f>IF(AND(BL$7&gt;=$E40,BL$7&lt;=$F40),"■","")</x:f>
      </x:c>
      <x:c r="BM40" s="418" t="str">
        <x:f>IF(AND(BM$7&gt;=$E40,BM$7&lt;=$F40),"■","")</x:f>
      </x:c>
      <x:c r="BN40" s="418" t="str">
        <x:f>IF(AND(BN$7&gt;=$E40,BN$7&lt;=$F40),"■","")</x:f>
      </x:c>
      <x:c r="BO40" s="418" t="str">
        <x:f>IF(AND(BO$7&gt;=$E40,BO$7&lt;=$F40),"■","")</x:f>
      </x:c>
      <x:c r="BP40" s="418" t="str">
        <x:f>IF(AND(BP$7&gt;=$E40,BP$7&lt;=$F40),"■","")</x:f>
      </x:c>
    </x:row>
    <x:row r="41" ht="38" customHeight="1">
      <x:c r="B41" s="406" t="str">
        <x:v>4.3</x:v>
      </x:c>
      <x:c r="C41" s="407" t="str">
        <x:v>중간발표 자료·대본·시연·리허설 통합
[대기] 산출물: 중간 발표 PT 자료 · 제출 08/06</x:v>
      </x:c>
      <x:c r="D41" s="407" t="str">
        <x:v>정승</x:v>
      </x:c>
      <x:c r="E41" s="408" t="n">
        <x:v>46237</x:v>
      </x:c>
      <x:c r="F41" s="408" t="n">
        <x:v>46240</x:v>
      </x:c>
      <x:c r="G41" s="409" t="n">
        <x:f>MAX(0,F41-E41)</x:f>
        <x:v>3</x:v>
      </x:c>
      <x:c r="H41" s="410" t="n">
        <x:v>0</x:v>
      </x:c>
      <x:c r="I41" s="412" t="str">
        <x:f>IF(AND(I$7&gt;=$E41,I$7&lt;=$F41),"■","")</x:f>
      </x:c>
      <x:c r="J41" s="412" t="str">
        <x:f>IF(AND(J$7&gt;=$E41,J$7&lt;=$F41),"■","")</x:f>
      </x:c>
      <x:c r="K41" s="412" t="str">
        <x:f>IF(AND(K$7&gt;=$E41,K$7&lt;=$F41),"■","")</x:f>
      </x:c>
      <x:c r="L41" s="412" t="str">
        <x:f>IF(AND(L$7&gt;=$E41,L$7&lt;=$F41),"■","")</x:f>
      </x:c>
      <x:c r="M41" s="412" t="str">
        <x:f>IF(AND(M$7&gt;=$E41,M$7&lt;=$F41),"■","")</x:f>
      </x:c>
      <x:c r="N41" s="412" t="str">
        <x:f>IF(AND(N$7&gt;=$E41,N$7&lt;=$F41),"■","")</x:f>
      </x:c>
      <x:c r="O41" s="412" t="str">
        <x:f>IF(AND(O$7&gt;=$E41,O$7&lt;=$F41),"■","")</x:f>
      </x:c>
      <x:c r="P41" s="412" t="str">
        <x:f>IF(AND(P$7&gt;=$E41,P$7&lt;=$F41),"■","")</x:f>
      </x:c>
      <x:c r="Q41" s="412" t="str">
        <x:f>IF(AND(Q$7&gt;=$E41,Q$7&lt;=$F41),"■","")</x:f>
      </x:c>
      <x:c r="R41" s="412" t="str">
        <x:f>IF(AND(R$7&gt;=$E41,R$7&lt;=$F41),"■","")</x:f>
      </x:c>
      <x:c r="S41" s="412" t="str">
        <x:f>IF(AND(S$7&gt;=$E41,S$7&lt;=$F41),"■","")</x:f>
      </x:c>
      <x:c r="T41" s="412" t="str">
        <x:f>IF(AND(T$7&gt;=$E41,T$7&lt;=$F41),"■","")</x:f>
      </x:c>
      <x:c r="U41" s="412" t="str">
        <x:f>IF(AND(U$7&gt;=$E41,U$7&lt;=$F41),"■","")</x:f>
      </x:c>
      <x:c r="V41" s="412" t="str">
        <x:f>IF(AND(V$7&gt;=$E41,V$7&lt;=$F41),"■","")</x:f>
      </x:c>
      <x:c r="W41" s="412" t="str">
        <x:f>IF(AND(W$7&gt;=$E41,W$7&lt;=$F41),"■","")</x:f>
      </x:c>
      <x:c r="X41" s="414" t="str">
        <x:f>IF(AND(X$7&gt;=$E41,X$7&lt;=$F41),"■","")</x:f>
      </x:c>
      <x:c r="Y41" s="414" t="str">
        <x:f>IF(AND(Y$7&gt;=$E41,Y$7&lt;=$F41),"■","")</x:f>
      </x:c>
      <x:c r="Z41" s="414" t="str">
        <x:f>IF(AND(Z$7&gt;=$E41,Z$7&lt;=$F41),"■","")</x:f>
      </x:c>
      <x:c r="AA41" s="414" t="str">
        <x:f>IF(AND(AA$7&gt;=$E41,AA$7&lt;=$F41),"■","")</x:f>
      </x:c>
      <x:c r="AB41" s="414" t="str">
        <x:f>IF(AND(AB$7&gt;=$E41,AB$7&lt;=$F41),"■","")</x:f>
      </x:c>
      <x:c r="AC41" s="414" t="str">
        <x:f>IF(AND(AC$7&gt;=$E41,AC$7&lt;=$F41),"■","")</x:f>
        <x:v>■</x:v>
      </x:c>
      <x:c r="AD41" s="414" t="str">
        <x:f>IF(AND(AD$7&gt;=$E41,AD$7&lt;=$F41),"■","")</x:f>
        <x:v>■</x:v>
      </x:c>
      <x:c r="AE41" s="414" t="str">
        <x:f>IF(AND(AE$7&gt;=$E41,AE$7&lt;=$F41),"■","")</x:f>
        <x:v>■</x:v>
      </x:c>
      <x:c r="AF41" s="414" t="str">
        <x:f>IF(AND(AF$7&gt;=$E41,AF$7&lt;=$F41),"■","")</x:f>
        <x:v>■</x:v>
      </x:c>
      <x:c r="AG41" s="414" t="str">
        <x:f>IF(AND(AG$7&gt;=$E41,AG$7&lt;=$F41),"■","")</x:f>
      </x:c>
      <x:c r="AH41" s="414" t="str">
        <x:f>IF(AND(AH$7&gt;=$E41,AH$7&lt;=$F41),"■","")</x:f>
      </x:c>
      <x:c r="AI41" s="414" t="str">
        <x:f>IF(AND(AI$7&gt;=$E41,AI$7&lt;=$F41),"■","")</x:f>
      </x:c>
      <x:c r="AJ41" s="414" t="str">
        <x:f>IF(AND(AJ$7&gt;=$E41,AJ$7&lt;=$F41),"■","")</x:f>
      </x:c>
      <x:c r="AK41" s="414" t="str">
        <x:f>IF(AND(AK$7&gt;=$E41,AK$7&lt;=$F41),"■","")</x:f>
      </x:c>
      <x:c r="AL41" s="414" t="str">
        <x:f>IF(AND(AL$7&gt;=$E41,AL$7&lt;=$F41),"■","")</x:f>
      </x:c>
      <x:c r="AM41" s="416" t="str">
        <x:f>IF(AND(AM$7&gt;=$E41,AM$7&lt;=$F41),"■","")</x:f>
      </x:c>
      <x:c r="AN41" s="416" t="str">
        <x:f>IF(AND(AN$7&gt;=$E41,AN$7&lt;=$F41),"■","")</x:f>
      </x:c>
      <x:c r="AO41" s="416" t="str">
        <x:f>IF(AND(AO$7&gt;=$E41,AO$7&lt;=$F41),"■","")</x:f>
      </x:c>
      <x:c r="AP41" s="416" t="str">
        <x:f>IF(AND(AP$7&gt;=$E41,AP$7&lt;=$F41),"■","")</x:f>
      </x:c>
      <x:c r="AQ41" s="416" t="str">
        <x:f>IF(AND(AQ$7&gt;=$E41,AQ$7&lt;=$F41),"■","")</x:f>
      </x:c>
      <x:c r="AR41" s="416" t="str">
        <x:f>IF(AND(AR$7&gt;=$E41,AR$7&lt;=$F41),"■","")</x:f>
      </x:c>
      <x:c r="AS41" s="416" t="str">
        <x:f>IF(AND(AS$7&gt;=$E41,AS$7&lt;=$F41),"■","")</x:f>
      </x:c>
      <x:c r="AT41" s="416" t="str">
        <x:f>IF(AND(AT$7&gt;=$E41,AT$7&lt;=$F41),"■","")</x:f>
      </x:c>
      <x:c r="AU41" s="416" t="str">
        <x:f>IF(AND(AU$7&gt;=$E41,AU$7&lt;=$F41),"■","")</x:f>
      </x:c>
      <x:c r="AV41" s="416" t="str">
        <x:f>IF(AND(AV$7&gt;=$E41,AV$7&lt;=$F41),"■","")</x:f>
      </x:c>
      <x:c r="AW41" s="416" t="str">
        <x:f>IF(AND(AW$7&gt;=$E41,AW$7&lt;=$F41),"■","")</x:f>
      </x:c>
      <x:c r="AX41" s="416" t="str">
        <x:f>IF(AND(AX$7&gt;=$E41,AX$7&lt;=$F41),"■","")</x:f>
      </x:c>
      <x:c r="AY41" s="416" t="str">
        <x:f>IF(AND(AY$7&gt;=$E41,AY$7&lt;=$F41),"■","")</x:f>
      </x:c>
      <x:c r="AZ41" s="416" t="str">
        <x:f>IF(AND(AZ$7&gt;=$E41,AZ$7&lt;=$F41),"■","")</x:f>
      </x:c>
      <x:c r="BA41" s="416" t="str">
        <x:f>IF(AND(BA$7&gt;=$E41,BA$7&lt;=$F41),"■","")</x:f>
      </x:c>
      <x:c r="BB41" s="418" t="str">
        <x:f>IF(AND(BB$7&gt;=$E41,BB$7&lt;=$F41),"■","")</x:f>
      </x:c>
      <x:c r="BC41" s="418" t="str">
        <x:f>IF(AND(BC$7&gt;=$E41,BC$7&lt;=$F41),"■","")</x:f>
      </x:c>
      <x:c r="BD41" s="418" t="str">
        <x:f>IF(AND(BD$7&gt;=$E41,BD$7&lt;=$F41),"■","")</x:f>
      </x:c>
      <x:c r="BE41" s="418" t="str">
        <x:f>IF(AND(BE$7&gt;=$E41,BE$7&lt;=$F41),"■","")</x:f>
      </x:c>
      <x:c r="BF41" s="418" t="str">
        <x:f>IF(AND(BF$7&gt;=$E41,BF$7&lt;=$F41),"■","")</x:f>
      </x:c>
      <x:c r="BG41" s="418" t="str">
        <x:f>IF(AND(BG$7&gt;=$E41,BG$7&lt;=$F41),"■","")</x:f>
      </x:c>
      <x:c r="BH41" s="418" t="str">
        <x:f>IF(AND(BH$7&gt;=$E41,BH$7&lt;=$F41),"■","")</x:f>
      </x:c>
      <x:c r="BI41" s="418" t="str">
        <x:f>IF(AND(BI$7&gt;=$E41,BI$7&lt;=$F41),"■","")</x:f>
      </x:c>
      <x:c r="BJ41" s="418" t="str">
        <x:f>IF(AND(BJ$7&gt;=$E41,BJ$7&lt;=$F41),"■","")</x:f>
      </x:c>
      <x:c r="BK41" s="418" t="str">
        <x:f>IF(AND(BK$7&gt;=$E41,BK$7&lt;=$F41),"■","")</x:f>
      </x:c>
      <x:c r="BL41" s="418" t="str">
        <x:f>IF(AND(BL$7&gt;=$E41,BL$7&lt;=$F41),"■","")</x:f>
      </x:c>
      <x:c r="BM41" s="418" t="str">
        <x:f>IF(AND(BM$7&gt;=$E41,BM$7&lt;=$F41),"■","")</x:f>
      </x:c>
      <x:c r="BN41" s="418" t="str">
        <x:f>IF(AND(BN$7&gt;=$E41,BN$7&lt;=$F41),"■","")</x:f>
      </x:c>
      <x:c r="BO41" s="418" t="str">
        <x:f>IF(AND(BO$7&gt;=$E41,BO$7&lt;=$F41),"■","")</x:f>
      </x:c>
      <x:c r="BP41" s="418" t="str">
        <x:f>IF(AND(BP$7&gt;=$E41,BP$7&lt;=$F41),"■","")</x:f>
      </x:c>
    </x:row>
    <x:row r="42" ht="38" customHeight="1">
      <x:c r="B42" s="406" t="str">
        <x:v>4.4</x:v>
      </x:c>
      <x:c r="C42" s="407" t="str">
        <x:v>중간발표 진행 및 피드백 수집
[대기] 산출물: 피드백 목록</x:v>
      </x:c>
      <x:c r="D42" s="407" t="str">
        <x:v>정승</x:v>
      </x:c>
      <x:c r="E42" s="408" t="n">
        <x:v>46240</x:v>
      </x:c>
      <x:c r="F42" s="408" t="n">
        <x:v>46241</x:v>
      </x:c>
      <x:c r="G42" s="409" t="n">
        <x:f>MAX(0,F42-E42)</x:f>
        <x:v>1</x:v>
      </x:c>
      <x:c r="H42" s="410" t="n">
        <x:v>0</x:v>
      </x:c>
      <x:c r="I42" s="412" t="str">
        <x:f>IF(AND(I$7&gt;=$E42,I$7&lt;=$F42),"■","")</x:f>
      </x:c>
      <x:c r="J42" s="412" t="str">
        <x:f>IF(AND(J$7&gt;=$E42,J$7&lt;=$F42),"■","")</x:f>
      </x:c>
      <x:c r="K42" s="412" t="str">
        <x:f>IF(AND(K$7&gt;=$E42,K$7&lt;=$F42),"■","")</x:f>
      </x:c>
      <x:c r="L42" s="412" t="str">
        <x:f>IF(AND(L$7&gt;=$E42,L$7&lt;=$F42),"■","")</x:f>
      </x:c>
      <x:c r="M42" s="412" t="str">
        <x:f>IF(AND(M$7&gt;=$E42,M$7&lt;=$F42),"■","")</x:f>
      </x:c>
      <x:c r="N42" s="412" t="str">
        <x:f>IF(AND(N$7&gt;=$E42,N$7&lt;=$F42),"■","")</x:f>
      </x:c>
      <x:c r="O42" s="412" t="str">
        <x:f>IF(AND(O$7&gt;=$E42,O$7&lt;=$F42),"■","")</x:f>
      </x:c>
      <x:c r="P42" s="412" t="str">
        <x:f>IF(AND(P$7&gt;=$E42,P$7&lt;=$F42),"■","")</x:f>
      </x:c>
      <x:c r="Q42" s="412" t="str">
        <x:f>IF(AND(Q$7&gt;=$E42,Q$7&lt;=$F42),"■","")</x:f>
      </x:c>
      <x:c r="R42" s="412" t="str">
        <x:f>IF(AND(R$7&gt;=$E42,R$7&lt;=$F42),"■","")</x:f>
      </x:c>
      <x:c r="S42" s="412" t="str">
        <x:f>IF(AND(S$7&gt;=$E42,S$7&lt;=$F42),"■","")</x:f>
      </x:c>
      <x:c r="T42" s="412" t="str">
        <x:f>IF(AND(T$7&gt;=$E42,T$7&lt;=$F42),"■","")</x:f>
      </x:c>
      <x:c r="U42" s="412" t="str">
        <x:f>IF(AND(U$7&gt;=$E42,U$7&lt;=$F42),"■","")</x:f>
      </x:c>
      <x:c r="V42" s="412" t="str">
        <x:f>IF(AND(V$7&gt;=$E42,V$7&lt;=$F42),"■","")</x:f>
      </x:c>
      <x:c r="W42" s="412" t="str">
        <x:f>IF(AND(W$7&gt;=$E42,W$7&lt;=$F42),"■","")</x:f>
      </x:c>
      <x:c r="X42" s="414" t="str">
        <x:f>IF(AND(X$7&gt;=$E42,X$7&lt;=$F42),"■","")</x:f>
      </x:c>
      <x:c r="Y42" s="414" t="str">
        <x:f>IF(AND(Y$7&gt;=$E42,Y$7&lt;=$F42),"■","")</x:f>
      </x:c>
      <x:c r="Z42" s="414" t="str">
        <x:f>IF(AND(Z$7&gt;=$E42,Z$7&lt;=$F42),"■","")</x:f>
      </x:c>
      <x:c r="AA42" s="414" t="str">
        <x:f>IF(AND(AA$7&gt;=$E42,AA$7&lt;=$F42),"■","")</x:f>
      </x:c>
      <x:c r="AB42" s="414" t="str">
        <x:f>IF(AND(AB$7&gt;=$E42,AB$7&lt;=$F42),"■","")</x:f>
      </x:c>
      <x:c r="AC42" s="414" t="str">
        <x:f>IF(AND(AC$7&gt;=$E42,AC$7&lt;=$F42),"■","")</x:f>
      </x:c>
      <x:c r="AD42" s="414" t="str">
        <x:f>IF(AND(AD$7&gt;=$E42,AD$7&lt;=$F42),"■","")</x:f>
      </x:c>
      <x:c r="AE42" s="414" t="str">
        <x:f>IF(AND(AE$7&gt;=$E42,AE$7&lt;=$F42),"■","")</x:f>
      </x:c>
      <x:c r="AF42" s="414" t="str">
        <x:f>IF(AND(AF$7&gt;=$E42,AF$7&lt;=$F42),"■","")</x:f>
        <x:v>■</x:v>
      </x:c>
      <x:c r="AG42" s="414" t="str">
        <x:f>IF(AND(AG$7&gt;=$E42,AG$7&lt;=$F42),"■","")</x:f>
        <x:v>■</x:v>
      </x:c>
      <x:c r="AH42" s="414" t="str">
        <x:f>IF(AND(AH$7&gt;=$E42,AH$7&lt;=$F42),"■","")</x:f>
      </x:c>
      <x:c r="AI42" s="414" t="str">
        <x:f>IF(AND(AI$7&gt;=$E42,AI$7&lt;=$F42),"■","")</x:f>
      </x:c>
      <x:c r="AJ42" s="414" t="str">
        <x:f>IF(AND(AJ$7&gt;=$E42,AJ$7&lt;=$F42),"■","")</x:f>
      </x:c>
      <x:c r="AK42" s="414" t="str">
        <x:f>IF(AND(AK$7&gt;=$E42,AK$7&lt;=$F42),"■","")</x:f>
      </x:c>
      <x:c r="AL42" s="414" t="str">
        <x:f>IF(AND(AL$7&gt;=$E42,AL$7&lt;=$F42),"■","")</x:f>
      </x:c>
      <x:c r="AM42" s="416" t="str">
        <x:f>IF(AND(AM$7&gt;=$E42,AM$7&lt;=$F42),"■","")</x:f>
      </x:c>
      <x:c r="AN42" s="416" t="str">
        <x:f>IF(AND(AN$7&gt;=$E42,AN$7&lt;=$F42),"■","")</x:f>
      </x:c>
      <x:c r="AO42" s="416" t="str">
        <x:f>IF(AND(AO$7&gt;=$E42,AO$7&lt;=$F42),"■","")</x:f>
      </x:c>
      <x:c r="AP42" s="416" t="str">
        <x:f>IF(AND(AP$7&gt;=$E42,AP$7&lt;=$F42),"■","")</x:f>
      </x:c>
      <x:c r="AQ42" s="416" t="str">
        <x:f>IF(AND(AQ$7&gt;=$E42,AQ$7&lt;=$F42),"■","")</x:f>
      </x:c>
      <x:c r="AR42" s="416" t="str">
        <x:f>IF(AND(AR$7&gt;=$E42,AR$7&lt;=$F42),"■","")</x:f>
      </x:c>
      <x:c r="AS42" s="416" t="str">
        <x:f>IF(AND(AS$7&gt;=$E42,AS$7&lt;=$F42),"■","")</x:f>
      </x:c>
      <x:c r="AT42" s="416" t="str">
        <x:f>IF(AND(AT$7&gt;=$E42,AT$7&lt;=$F42),"■","")</x:f>
      </x:c>
      <x:c r="AU42" s="416" t="str">
        <x:f>IF(AND(AU$7&gt;=$E42,AU$7&lt;=$F42),"■","")</x:f>
      </x:c>
      <x:c r="AV42" s="416" t="str">
        <x:f>IF(AND(AV$7&gt;=$E42,AV$7&lt;=$F42),"■","")</x:f>
      </x:c>
      <x:c r="AW42" s="416" t="str">
        <x:f>IF(AND(AW$7&gt;=$E42,AW$7&lt;=$F42),"■","")</x:f>
      </x:c>
      <x:c r="AX42" s="416" t="str">
        <x:f>IF(AND(AX$7&gt;=$E42,AX$7&lt;=$F42),"■","")</x:f>
      </x:c>
      <x:c r="AY42" s="416" t="str">
        <x:f>IF(AND(AY$7&gt;=$E42,AY$7&lt;=$F42),"■","")</x:f>
      </x:c>
      <x:c r="AZ42" s="416" t="str">
        <x:f>IF(AND(AZ$7&gt;=$E42,AZ$7&lt;=$F42),"■","")</x:f>
      </x:c>
      <x:c r="BA42" s="416" t="str">
        <x:f>IF(AND(BA$7&gt;=$E42,BA$7&lt;=$F42),"■","")</x:f>
      </x:c>
      <x:c r="BB42" s="418" t="str">
        <x:f>IF(AND(BB$7&gt;=$E42,BB$7&lt;=$F42),"■","")</x:f>
      </x:c>
      <x:c r="BC42" s="418" t="str">
        <x:f>IF(AND(BC$7&gt;=$E42,BC$7&lt;=$F42),"■","")</x:f>
      </x:c>
      <x:c r="BD42" s="418" t="str">
        <x:f>IF(AND(BD$7&gt;=$E42,BD$7&lt;=$F42),"■","")</x:f>
      </x:c>
      <x:c r="BE42" s="418" t="str">
        <x:f>IF(AND(BE$7&gt;=$E42,BE$7&lt;=$F42),"■","")</x:f>
      </x:c>
      <x:c r="BF42" s="418" t="str">
        <x:f>IF(AND(BF$7&gt;=$E42,BF$7&lt;=$F42),"■","")</x:f>
      </x:c>
      <x:c r="BG42" s="418" t="str">
        <x:f>IF(AND(BG$7&gt;=$E42,BG$7&lt;=$F42),"■","")</x:f>
      </x:c>
      <x:c r="BH42" s="418" t="str">
        <x:f>IF(AND(BH$7&gt;=$E42,BH$7&lt;=$F42),"■","")</x:f>
      </x:c>
      <x:c r="BI42" s="418" t="str">
        <x:f>IF(AND(BI$7&gt;=$E42,BI$7&lt;=$F42),"■","")</x:f>
      </x:c>
      <x:c r="BJ42" s="418" t="str">
        <x:f>IF(AND(BJ$7&gt;=$E42,BJ$7&lt;=$F42),"■","")</x:f>
      </x:c>
      <x:c r="BK42" s="418" t="str">
        <x:f>IF(AND(BK$7&gt;=$E42,BK$7&lt;=$F42),"■","")</x:f>
      </x:c>
      <x:c r="BL42" s="418" t="str">
        <x:f>IF(AND(BL$7&gt;=$E42,BL$7&lt;=$F42),"■","")</x:f>
      </x:c>
      <x:c r="BM42" s="418" t="str">
        <x:f>IF(AND(BM$7&gt;=$E42,BM$7&lt;=$F42),"■","")</x:f>
      </x:c>
      <x:c r="BN42" s="418" t="str">
        <x:f>IF(AND(BN$7&gt;=$E42,BN$7&lt;=$F42),"■","")</x:f>
      </x:c>
      <x:c r="BO42" s="418" t="str">
        <x:f>IF(AND(BO$7&gt;=$E42,BO$7&lt;=$F42),"■","")</x:f>
      </x:c>
      <x:c r="BP42" s="418" t="str">
        <x:f>IF(AND(BP$7&gt;=$E42,BP$7&lt;=$F42),"■","")</x:f>
      </x:c>
    </x:row>
    <x:row r="43" ht="24" customHeight="1">
      <x:c r="B43" s="425" t="str">
        <x:v>5</x:v>
      </x:c>
      <x:c r="C43" s="426" t="str">
        <x:v>운영 분석 엔진</x:v>
      </x:c>
      <x:c r="D43" s="426"/>
      <x:c r="E43" s="427"/>
      <x:c r="F43" s="427"/>
      <x:c r="G43" s="428"/>
      <x:c r="H43" s="429"/>
      <x:c r="I43" s="430"/>
      <x:c r="J43" s="430"/>
      <x:c r="K43" s="430"/>
      <x:c r="L43" s="430"/>
      <x:c r="M43" s="430"/>
      <x:c r="N43" s="430"/>
      <x:c r="O43" s="430"/>
      <x:c r="P43" s="430"/>
      <x:c r="Q43" s="430"/>
      <x:c r="R43" s="430"/>
      <x:c r="S43" s="430"/>
      <x:c r="T43" s="430"/>
      <x:c r="U43" s="430"/>
      <x:c r="V43" s="430"/>
      <x:c r="W43" s="430"/>
      <x:c r="X43" s="430"/>
      <x:c r="Y43" s="430"/>
      <x:c r="Z43" s="430"/>
      <x:c r="AA43" s="430"/>
      <x:c r="AB43" s="430"/>
      <x:c r="AC43" s="430"/>
      <x:c r="AD43" s="430"/>
      <x:c r="AE43" s="430"/>
      <x:c r="AF43" s="430"/>
      <x:c r="AG43" s="430"/>
      <x:c r="AH43" s="430"/>
      <x:c r="AI43" s="430"/>
      <x:c r="AJ43" s="430"/>
      <x:c r="AK43" s="430"/>
      <x:c r="AL43" s="430"/>
      <x:c r="AM43" s="430"/>
      <x:c r="AN43" s="430"/>
      <x:c r="AO43" s="430"/>
      <x:c r="AP43" s="430"/>
      <x:c r="AQ43" s="430"/>
      <x:c r="AR43" s="430"/>
      <x:c r="AS43" s="430"/>
      <x:c r="AT43" s="430"/>
      <x:c r="AU43" s="430"/>
      <x:c r="AV43" s="430"/>
      <x:c r="AW43" s="430"/>
      <x:c r="AX43" s="430"/>
      <x:c r="AY43" s="430"/>
      <x:c r="AZ43" s="430"/>
      <x:c r="BA43" s="430"/>
      <x:c r="BB43" s="430"/>
      <x:c r="BC43" s="430"/>
      <x:c r="BD43" s="430"/>
      <x:c r="BE43" s="430"/>
      <x:c r="BF43" s="430"/>
      <x:c r="BG43" s="430"/>
      <x:c r="BH43" s="430"/>
      <x:c r="BI43" s="430"/>
      <x:c r="BJ43" s="430"/>
      <x:c r="BK43" s="430"/>
      <x:c r="BL43" s="430"/>
      <x:c r="BM43" s="430"/>
      <x:c r="BN43" s="430"/>
      <x:c r="BO43" s="430"/>
      <x:c r="BP43" s="430"/>
    </x:row>
    <x:row r="44" ht="38" customHeight="1">
      <x:c r="B44" s="406" t="str">
        <x:v>5.1</x:v>
      </x:c>
      <x:c r="C44" s="407" t="str">
        <x:v>중간발표 피드백 분류·Gate 영향 검토
[대기] 산출물: 수정 계획</x:v>
      </x:c>
      <x:c r="D44" s="407" t="str">
        <x:v>박준희</x:v>
      </x:c>
      <x:c r="E44" s="408" t="n">
        <x:v>46241</x:v>
      </x:c>
      <x:c r="F44" s="408" t="n">
        <x:v>46241</x:v>
      </x:c>
      <x:c r="G44" s="409" t="n">
        <x:f>MAX(0,F44-E44)</x:f>
        <x:v>0</x:v>
      </x:c>
      <x:c r="H44" s="410" t="n">
        <x:v>0</x:v>
      </x:c>
      <x:c r="I44" s="412" t="str">
        <x:f>IF(AND(I$7&gt;=$E44,I$7&lt;=$F44),"■","")</x:f>
      </x:c>
      <x:c r="J44" s="412" t="str">
        <x:f>IF(AND(J$7&gt;=$E44,J$7&lt;=$F44),"■","")</x:f>
      </x:c>
      <x:c r="K44" s="412" t="str">
        <x:f>IF(AND(K$7&gt;=$E44,K$7&lt;=$F44),"■","")</x:f>
      </x:c>
      <x:c r="L44" s="412" t="str">
        <x:f>IF(AND(L$7&gt;=$E44,L$7&lt;=$F44),"■","")</x:f>
      </x:c>
      <x:c r="M44" s="412" t="str">
        <x:f>IF(AND(M$7&gt;=$E44,M$7&lt;=$F44),"■","")</x:f>
      </x:c>
      <x:c r="N44" s="412" t="str">
        <x:f>IF(AND(N$7&gt;=$E44,N$7&lt;=$F44),"■","")</x:f>
      </x:c>
      <x:c r="O44" s="412" t="str">
        <x:f>IF(AND(O$7&gt;=$E44,O$7&lt;=$F44),"■","")</x:f>
      </x:c>
      <x:c r="P44" s="412" t="str">
        <x:f>IF(AND(P$7&gt;=$E44,P$7&lt;=$F44),"■","")</x:f>
      </x:c>
      <x:c r="Q44" s="412" t="str">
        <x:f>IF(AND(Q$7&gt;=$E44,Q$7&lt;=$F44),"■","")</x:f>
      </x:c>
      <x:c r="R44" s="412" t="str">
        <x:f>IF(AND(R$7&gt;=$E44,R$7&lt;=$F44),"■","")</x:f>
      </x:c>
      <x:c r="S44" s="412" t="str">
        <x:f>IF(AND(S$7&gt;=$E44,S$7&lt;=$F44),"■","")</x:f>
      </x:c>
      <x:c r="T44" s="412" t="str">
        <x:f>IF(AND(T$7&gt;=$E44,T$7&lt;=$F44),"■","")</x:f>
      </x:c>
      <x:c r="U44" s="412" t="str">
        <x:f>IF(AND(U$7&gt;=$E44,U$7&lt;=$F44),"■","")</x:f>
      </x:c>
      <x:c r="V44" s="412" t="str">
        <x:f>IF(AND(V$7&gt;=$E44,V$7&lt;=$F44),"■","")</x:f>
      </x:c>
      <x:c r="W44" s="412" t="str">
        <x:f>IF(AND(W$7&gt;=$E44,W$7&lt;=$F44),"■","")</x:f>
      </x:c>
      <x:c r="X44" s="414" t="str">
        <x:f>IF(AND(X$7&gt;=$E44,X$7&lt;=$F44),"■","")</x:f>
      </x:c>
      <x:c r="Y44" s="414" t="str">
        <x:f>IF(AND(Y$7&gt;=$E44,Y$7&lt;=$F44),"■","")</x:f>
      </x:c>
      <x:c r="Z44" s="414" t="str">
        <x:f>IF(AND(Z$7&gt;=$E44,Z$7&lt;=$F44),"■","")</x:f>
      </x:c>
      <x:c r="AA44" s="414" t="str">
        <x:f>IF(AND(AA$7&gt;=$E44,AA$7&lt;=$F44),"■","")</x:f>
      </x:c>
      <x:c r="AB44" s="414" t="str">
        <x:f>IF(AND(AB$7&gt;=$E44,AB$7&lt;=$F44),"■","")</x:f>
      </x:c>
      <x:c r="AC44" s="414" t="str">
        <x:f>IF(AND(AC$7&gt;=$E44,AC$7&lt;=$F44),"■","")</x:f>
      </x:c>
      <x:c r="AD44" s="414" t="str">
        <x:f>IF(AND(AD$7&gt;=$E44,AD$7&lt;=$F44),"■","")</x:f>
      </x:c>
      <x:c r="AE44" s="414" t="str">
        <x:f>IF(AND(AE$7&gt;=$E44,AE$7&lt;=$F44),"■","")</x:f>
      </x:c>
      <x:c r="AF44" s="414" t="str">
        <x:f>IF(AND(AF$7&gt;=$E44,AF$7&lt;=$F44),"■","")</x:f>
      </x:c>
      <x:c r="AG44" s="414" t="str">
        <x:f>IF(AND(AG$7&gt;=$E44,AG$7&lt;=$F44),"■","")</x:f>
        <x:v>■</x:v>
      </x:c>
      <x:c r="AH44" s="414" t="str">
        <x:f>IF(AND(AH$7&gt;=$E44,AH$7&lt;=$F44),"■","")</x:f>
      </x:c>
      <x:c r="AI44" s="414" t="str">
        <x:f>IF(AND(AI$7&gt;=$E44,AI$7&lt;=$F44),"■","")</x:f>
      </x:c>
      <x:c r="AJ44" s="414" t="str">
        <x:f>IF(AND(AJ$7&gt;=$E44,AJ$7&lt;=$F44),"■","")</x:f>
      </x:c>
      <x:c r="AK44" s="414" t="str">
        <x:f>IF(AND(AK$7&gt;=$E44,AK$7&lt;=$F44),"■","")</x:f>
      </x:c>
      <x:c r="AL44" s="414" t="str">
        <x:f>IF(AND(AL$7&gt;=$E44,AL$7&lt;=$F44),"■","")</x:f>
      </x:c>
      <x:c r="AM44" s="416" t="str">
        <x:f>IF(AND(AM$7&gt;=$E44,AM$7&lt;=$F44),"■","")</x:f>
      </x:c>
      <x:c r="AN44" s="416" t="str">
        <x:f>IF(AND(AN$7&gt;=$E44,AN$7&lt;=$F44),"■","")</x:f>
      </x:c>
      <x:c r="AO44" s="416" t="str">
        <x:f>IF(AND(AO$7&gt;=$E44,AO$7&lt;=$F44),"■","")</x:f>
      </x:c>
      <x:c r="AP44" s="416" t="str">
        <x:f>IF(AND(AP$7&gt;=$E44,AP$7&lt;=$F44),"■","")</x:f>
      </x:c>
      <x:c r="AQ44" s="416" t="str">
        <x:f>IF(AND(AQ$7&gt;=$E44,AQ$7&lt;=$F44),"■","")</x:f>
      </x:c>
      <x:c r="AR44" s="416" t="str">
        <x:f>IF(AND(AR$7&gt;=$E44,AR$7&lt;=$F44),"■","")</x:f>
      </x:c>
      <x:c r="AS44" s="416" t="str">
        <x:f>IF(AND(AS$7&gt;=$E44,AS$7&lt;=$F44),"■","")</x:f>
      </x:c>
      <x:c r="AT44" s="416" t="str">
        <x:f>IF(AND(AT$7&gt;=$E44,AT$7&lt;=$F44),"■","")</x:f>
      </x:c>
      <x:c r="AU44" s="416" t="str">
        <x:f>IF(AND(AU$7&gt;=$E44,AU$7&lt;=$F44),"■","")</x:f>
      </x:c>
      <x:c r="AV44" s="416" t="str">
        <x:f>IF(AND(AV$7&gt;=$E44,AV$7&lt;=$F44),"■","")</x:f>
      </x:c>
      <x:c r="AW44" s="416" t="str">
        <x:f>IF(AND(AW$7&gt;=$E44,AW$7&lt;=$F44),"■","")</x:f>
      </x:c>
      <x:c r="AX44" s="416" t="str">
        <x:f>IF(AND(AX$7&gt;=$E44,AX$7&lt;=$F44),"■","")</x:f>
      </x:c>
      <x:c r="AY44" s="416" t="str">
        <x:f>IF(AND(AY$7&gt;=$E44,AY$7&lt;=$F44),"■","")</x:f>
      </x:c>
      <x:c r="AZ44" s="416" t="str">
        <x:f>IF(AND(AZ$7&gt;=$E44,AZ$7&lt;=$F44),"■","")</x:f>
      </x:c>
      <x:c r="BA44" s="416" t="str">
        <x:f>IF(AND(BA$7&gt;=$E44,BA$7&lt;=$F44),"■","")</x:f>
      </x:c>
      <x:c r="BB44" s="418" t="str">
        <x:f>IF(AND(BB$7&gt;=$E44,BB$7&lt;=$F44),"■","")</x:f>
      </x:c>
      <x:c r="BC44" s="418" t="str">
        <x:f>IF(AND(BC$7&gt;=$E44,BC$7&lt;=$F44),"■","")</x:f>
      </x:c>
      <x:c r="BD44" s="418" t="str">
        <x:f>IF(AND(BD$7&gt;=$E44,BD$7&lt;=$F44),"■","")</x:f>
      </x:c>
      <x:c r="BE44" s="418" t="str">
        <x:f>IF(AND(BE$7&gt;=$E44,BE$7&lt;=$F44),"■","")</x:f>
      </x:c>
      <x:c r="BF44" s="418" t="str">
        <x:f>IF(AND(BF$7&gt;=$E44,BF$7&lt;=$F44),"■","")</x:f>
      </x:c>
      <x:c r="BG44" s="418" t="str">
        <x:f>IF(AND(BG$7&gt;=$E44,BG$7&lt;=$F44),"■","")</x:f>
      </x:c>
      <x:c r="BH44" s="418" t="str">
        <x:f>IF(AND(BH$7&gt;=$E44,BH$7&lt;=$F44),"■","")</x:f>
      </x:c>
      <x:c r="BI44" s="418" t="str">
        <x:f>IF(AND(BI$7&gt;=$E44,BI$7&lt;=$F44),"■","")</x:f>
      </x:c>
      <x:c r="BJ44" s="418" t="str">
        <x:f>IF(AND(BJ$7&gt;=$E44,BJ$7&lt;=$F44),"■","")</x:f>
      </x:c>
      <x:c r="BK44" s="418" t="str">
        <x:f>IF(AND(BK$7&gt;=$E44,BK$7&lt;=$F44),"■","")</x:f>
      </x:c>
      <x:c r="BL44" s="418" t="str">
        <x:f>IF(AND(BL$7&gt;=$E44,BL$7&lt;=$F44),"■","")</x:f>
      </x:c>
      <x:c r="BM44" s="418" t="str">
        <x:f>IF(AND(BM$7&gt;=$E44,BM$7&lt;=$F44),"■","")</x:f>
      </x:c>
      <x:c r="BN44" s="418" t="str">
        <x:f>IF(AND(BN$7&gt;=$E44,BN$7&lt;=$F44),"■","")</x:f>
      </x:c>
      <x:c r="BO44" s="418" t="str">
        <x:f>IF(AND(BO$7&gt;=$E44,BO$7&lt;=$F44),"■","")</x:f>
      </x:c>
      <x:c r="BP44" s="418" t="str">
        <x:f>IF(AND(BP$7&gt;=$E44,BP$7&lt;=$F44),"■","")</x:f>
      </x:c>
    </x:row>
    <x:row r="45" ht="38" customHeight="1">
      <x:c r="B45" s="406" t="str">
        <x:v>5.2</x:v>
      </x:c>
      <x:c r="C45" s="407" t="str">
        <x:v>기능 A~D 공용 평점·매출·운영수익·예약·투숙·인력 최소 KPI 계산
[대기] 산출물: KPI 모듈</x:v>
      </x:c>
      <x:c r="D45" s="407" t="str">
        <x:v>정승</x:v>
      </x:c>
      <x:c r="E45" s="408" t="n">
        <x:v>46241</x:v>
      </x:c>
      <x:c r="F45" s="408" t="n">
        <x:v>46244</x:v>
      </x:c>
      <x:c r="G45" s="409" t="n">
        <x:f>MAX(0,F45-E45)</x:f>
        <x:v>3</x:v>
      </x:c>
      <x:c r="H45" s="410" t="n">
        <x:v>0</x:v>
      </x:c>
      <x:c r="I45" s="412" t="str">
        <x:f>IF(AND(I$7&gt;=$E45,I$7&lt;=$F45),"■","")</x:f>
      </x:c>
      <x:c r="J45" s="412" t="str">
        <x:f>IF(AND(J$7&gt;=$E45,J$7&lt;=$F45),"■","")</x:f>
      </x:c>
      <x:c r="K45" s="412" t="str">
        <x:f>IF(AND(K$7&gt;=$E45,K$7&lt;=$F45),"■","")</x:f>
      </x:c>
      <x:c r="L45" s="412" t="str">
        <x:f>IF(AND(L$7&gt;=$E45,L$7&lt;=$F45),"■","")</x:f>
      </x:c>
      <x:c r="M45" s="412" t="str">
        <x:f>IF(AND(M$7&gt;=$E45,M$7&lt;=$F45),"■","")</x:f>
      </x:c>
      <x:c r="N45" s="412" t="str">
        <x:f>IF(AND(N$7&gt;=$E45,N$7&lt;=$F45),"■","")</x:f>
      </x:c>
      <x:c r="O45" s="412" t="str">
        <x:f>IF(AND(O$7&gt;=$E45,O$7&lt;=$F45),"■","")</x:f>
      </x:c>
      <x:c r="P45" s="412" t="str">
        <x:f>IF(AND(P$7&gt;=$E45,P$7&lt;=$F45),"■","")</x:f>
      </x:c>
      <x:c r="Q45" s="412" t="str">
        <x:f>IF(AND(Q$7&gt;=$E45,Q$7&lt;=$F45),"■","")</x:f>
      </x:c>
      <x:c r="R45" s="412" t="str">
        <x:f>IF(AND(R$7&gt;=$E45,R$7&lt;=$F45),"■","")</x:f>
      </x:c>
      <x:c r="S45" s="412" t="str">
        <x:f>IF(AND(S$7&gt;=$E45,S$7&lt;=$F45),"■","")</x:f>
      </x:c>
      <x:c r="T45" s="412" t="str">
        <x:f>IF(AND(T$7&gt;=$E45,T$7&lt;=$F45),"■","")</x:f>
      </x:c>
      <x:c r="U45" s="412" t="str">
        <x:f>IF(AND(U$7&gt;=$E45,U$7&lt;=$F45),"■","")</x:f>
      </x:c>
      <x:c r="V45" s="412" t="str">
        <x:f>IF(AND(V$7&gt;=$E45,V$7&lt;=$F45),"■","")</x:f>
      </x:c>
      <x:c r="W45" s="412" t="str">
        <x:f>IF(AND(W$7&gt;=$E45,W$7&lt;=$F45),"■","")</x:f>
      </x:c>
      <x:c r="X45" s="414" t="str">
        <x:f>IF(AND(X$7&gt;=$E45,X$7&lt;=$F45),"■","")</x:f>
      </x:c>
      <x:c r="Y45" s="414" t="str">
        <x:f>IF(AND(Y$7&gt;=$E45,Y$7&lt;=$F45),"■","")</x:f>
      </x:c>
      <x:c r="Z45" s="414" t="str">
        <x:f>IF(AND(Z$7&gt;=$E45,Z$7&lt;=$F45),"■","")</x:f>
      </x:c>
      <x:c r="AA45" s="414" t="str">
        <x:f>IF(AND(AA$7&gt;=$E45,AA$7&lt;=$F45),"■","")</x:f>
      </x:c>
      <x:c r="AB45" s="414" t="str">
        <x:f>IF(AND(AB$7&gt;=$E45,AB$7&lt;=$F45),"■","")</x:f>
      </x:c>
      <x:c r="AC45" s="414" t="str">
        <x:f>IF(AND(AC$7&gt;=$E45,AC$7&lt;=$F45),"■","")</x:f>
      </x:c>
      <x:c r="AD45" s="414" t="str">
        <x:f>IF(AND(AD$7&gt;=$E45,AD$7&lt;=$F45),"■","")</x:f>
      </x:c>
      <x:c r="AE45" s="414" t="str">
        <x:f>IF(AND(AE$7&gt;=$E45,AE$7&lt;=$F45),"■","")</x:f>
      </x:c>
      <x:c r="AF45" s="414" t="str">
        <x:f>IF(AND(AF$7&gt;=$E45,AF$7&lt;=$F45),"■","")</x:f>
      </x:c>
      <x:c r="AG45" s="414" t="str">
        <x:f>IF(AND(AG$7&gt;=$E45,AG$7&lt;=$F45),"■","")</x:f>
        <x:v>■</x:v>
      </x:c>
      <x:c r="AH45" s="414" t="str">
        <x:f>IF(AND(AH$7&gt;=$E45,AH$7&lt;=$F45),"■","")</x:f>
        <x:v>■</x:v>
      </x:c>
      <x:c r="AI45" s="414" t="str">
        <x:f>IF(AND(AI$7&gt;=$E45,AI$7&lt;=$F45),"■","")</x:f>
      </x:c>
      <x:c r="AJ45" s="414" t="str">
        <x:f>IF(AND(AJ$7&gt;=$E45,AJ$7&lt;=$F45),"■","")</x:f>
      </x:c>
      <x:c r="AK45" s="414" t="str">
        <x:f>IF(AND(AK$7&gt;=$E45,AK$7&lt;=$F45),"■","")</x:f>
      </x:c>
      <x:c r="AL45" s="414" t="str">
        <x:f>IF(AND(AL$7&gt;=$E45,AL$7&lt;=$F45),"■","")</x:f>
      </x:c>
      <x:c r="AM45" s="416" t="str">
        <x:f>IF(AND(AM$7&gt;=$E45,AM$7&lt;=$F45),"■","")</x:f>
      </x:c>
      <x:c r="AN45" s="416" t="str">
        <x:f>IF(AND(AN$7&gt;=$E45,AN$7&lt;=$F45),"■","")</x:f>
      </x:c>
      <x:c r="AO45" s="416" t="str">
        <x:f>IF(AND(AO$7&gt;=$E45,AO$7&lt;=$F45),"■","")</x:f>
      </x:c>
      <x:c r="AP45" s="416" t="str">
        <x:f>IF(AND(AP$7&gt;=$E45,AP$7&lt;=$F45),"■","")</x:f>
      </x:c>
      <x:c r="AQ45" s="416" t="str">
        <x:f>IF(AND(AQ$7&gt;=$E45,AQ$7&lt;=$F45),"■","")</x:f>
      </x:c>
      <x:c r="AR45" s="416" t="str">
        <x:f>IF(AND(AR$7&gt;=$E45,AR$7&lt;=$F45),"■","")</x:f>
      </x:c>
      <x:c r="AS45" s="416" t="str">
        <x:f>IF(AND(AS$7&gt;=$E45,AS$7&lt;=$F45),"■","")</x:f>
      </x:c>
      <x:c r="AT45" s="416" t="str">
        <x:f>IF(AND(AT$7&gt;=$E45,AT$7&lt;=$F45),"■","")</x:f>
      </x:c>
      <x:c r="AU45" s="416" t="str">
        <x:f>IF(AND(AU$7&gt;=$E45,AU$7&lt;=$F45),"■","")</x:f>
      </x:c>
      <x:c r="AV45" s="416" t="str">
        <x:f>IF(AND(AV$7&gt;=$E45,AV$7&lt;=$F45),"■","")</x:f>
      </x:c>
      <x:c r="AW45" s="416" t="str">
        <x:f>IF(AND(AW$7&gt;=$E45,AW$7&lt;=$F45),"■","")</x:f>
      </x:c>
      <x:c r="AX45" s="416" t="str">
        <x:f>IF(AND(AX$7&gt;=$E45,AX$7&lt;=$F45),"■","")</x:f>
      </x:c>
      <x:c r="AY45" s="416" t="str">
        <x:f>IF(AND(AY$7&gt;=$E45,AY$7&lt;=$F45),"■","")</x:f>
      </x:c>
      <x:c r="AZ45" s="416" t="str">
        <x:f>IF(AND(AZ$7&gt;=$E45,AZ$7&lt;=$F45),"■","")</x:f>
      </x:c>
      <x:c r="BA45" s="416" t="str">
        <x:f>IF(AND(BA$7&gt;=$E45,BA$7&lt;=$F45),"■","")</x:f>
      </x:c>
      <x:c r="BB45" s="418" t="str">
        <x:f>IF(AND(BB$7&gt;=$E45,BB$7&lt;=$F45),"■","")</x:f>
      </x:c>
      <x:c r="BC45" s="418" t="str">
        <x:f>IF(AND(BC$7&gt;=$E45,BC$7&lt;=$F45),"■","")</x:f>
      </x:c>
      <x:c r="BD45" s="418" t="str">
        <x:f>IF(AND(BD$7&gt;=$E45,BD$7&lt;=$F45),"■","")</x:f>
      </x:c>
      <x:c r="BE45" s="418" t="str">
        <x:f>IF(AND(BE$7&gt;=$E45,BE$7&lt;=$F45),"■","")</x:f>
      </x:c>
      <x:c r="BF45" s="418" t="str">
        <x:f>IF(AND(BF$7&gt;=$E45,BF$7&lt;=$F45),"■","")</x:f>
      </x:c>
      <x:c r="BG45" s="418" t="str">
        <x:f>IF(AND(BG$7&gt;=$E45,BG$7&lt;=$F45),"■","")</x:f>
      </x:c>
      <x:c r="BH45" s="418" t="str">
        <x:f>IF(AND(BH$7&gt;=$E45,BH$7&lt;=$F45),"■","")</x:f>
      </x:c>
      <x:c r="BI45" s="418" t="str">
        <x:f>IF(AND(BI$7&gt;=$E45,BI$7&lt;=$F45),"■","")</x:f>
      </x:c>
      <x:c r="BJ45" s="418" t="str">
        <x:f>IF(AND(BJ$7&gt;=$E45,BJ$7&lt;=$F45),"■","")</x:f>
      </x:c>
      <x:c r="BK45" s="418" t="str">
        <x:f>IF(AND(BK$7&gt;=$E45,BK$7&lt;=$F45),"■","")</x:f>
      </x:c>
      <x:c r="BL45" s="418" t="str">
        <x:f>IF(AND(BL$7&gt;=$E45,BL$7&lt;=$F45),"■","")</x:f>
      </x:c>
      <x:c r="BM45" s="418" t="str">
        <x:f>IF(AND(BM$7&gt;=$E45,BM$7&lt;=$F45),"■","")</x:f>
      </x:c>
      <x:c r="BN45" s="418" t="str">
        <x:f>IF(AND(BN$7&gt;=$E45,BN$7&lt;=$F45),"■","")</x:f>
      </x:c>
      <x:c r="BO45" s="418" t="str">
        <x:f>IF(AND(BO$7&gt;=$E45,BO$7&lt;=$F45),"■","")</x:f>
      </x:c>
      <x:c r="BP45" s="418" t="str">
        <x:f>IF(AND(BP$7&gt;=$E45,BP$7&lt;=$F45),"■","")</x:f>
      </x:c>
    </x:row>
    <x:row r="46" ht="38" customHeight="1">
      <x:c r="B46" s="406" t="str">
        <x:v>5.3★</x:v>
      </x:c>
      <x:c r="C46" s="407" t="str">
        <x:v>적재 후 analytical Gate 구현(bucket 완전성·집계 정합)
[대기] 산출물: 분석 품질 Gate</x:v>
      </x:c>
      <x:c r="D46" s="407" t="str">
        <x:v>정승·김재홍</x:v>
      </x:c>
      <x:c r="E46" s="408" t="n">
        <x:v>46241</x:v>
      </x:c>
      <x:c r="F46" s="408" t="n">
        <x:v>46244</x:v>
      </x:c>
      <x:c r="G46" s="409" t="n">
        <x:f>MAX(0,F46-E46)</x:f>
        <x:v>3</x:v>
      </x:c>
      <x:c r="H46" s="410" t="n">
        <x:v>0</x:v>
      </x:c>
      <x:c r="I46" s="412" t="str">
        <x:f>IF(AND(I$7&gt;=$E46,I$7&lt;=$F46),"■","")</x:f>
      </x:c>
      <x:c r="J46" s="412" t="str">
        <x:f>IF(AND(J$7&gt;=$E46,J$7&lt;=$F46),"■","")</x:f>
      </x:c>
      <x:c r="K46" s="412" t="str">
        <x:f>IF(AND(K$7&gt;=$E46,K$7&lt;=$F46),"■","")</x:f>
      </x:c>
      <x:c r="L46" s="412" t="str">
        <x:f>IF(AND(L$7&gt;=$E46,L$7&lt;=$F46),"■","")</x:f>
      </x:c>
      <x:c r="M46" s="412" t="str">
        <x:f>IF(AND(M$7&gt;=$E46,M$7&lt;=$F46),"■","")</x:f>
      </x:c>
      <x:c r="N46" s="412" t="str">
        <x:f>IF(AND(N$7&gt;=$E46,N$7&lt;=$F46),"■","")</x:f>
      </x:c>
      <x:c r="O46" s="412" t="str">
        <x:f>IF(AND(O$7&gt;=$E46,O$7&lt;=$F46),"■","")</x:f>
      </x:c>
      <x:c r="P46" s="412" t="str">
        <x:f>IF(AND(P$7&gt;=$E46,P$7&lt;=$F46),"■","")</x:f>
      </x:c>
      <x:c r="Q46" s="412" t="str">
        <x:f>IF(AND(Q$7&gt;=$E46,Q$7&lt;=$F46),"■","")</x:f>
      </x:c>
      <x:c r="R46" s="412" t="str">
        <x:f>IF(AND(R$7&gt;=$E46,R$7&lt;=$F46),"■","")</x:f>
      </x:c>
      <x:c r="S46" s="412" t="str">
        <x:f>IF(AND(S$7&gt;=$E46,S$7&lt;=$F46),"■","")</x:f>
      </x:c>
      <x:c r="T46" s="412" t="str">
        <x:f>IF(AND(T$7&gt;=$E46,T$7&lt;=$F46),"■","")</x:f>
      </x:c>
      <x:c r="U46" s="412" t="str">
        <x:f>IF(AND(U$7&gt;=$E46,U$7&lt;=$F46),"■","")</x:f>
      </x:c>
      <x:c r="V46" s="412" t="str">
        <x:f>IF(AND(V$7&gt;=$E46,V$7&lt;=$F46),"■","")</x:f>
      </x:c>
      <x:c r="W46" s="412" t="str">
        <x:f>IF(AND(W$7&gt;=$E46,W$7&lt;=$F46),"■","")</x:f>
      </x:c>
      <x:c r="X46" s="414" t="str">
        <x:f>IF(AND(X$7&gt;=$E46,X$7&lt;=$F46),"■","")</x:f>
      </x:c>
      <x:c r="Y46" s="414" t="str">
        <x:f>IF(AND(Y$7&gt;=$E46,Y$7&lt;=$F46),"■","")</x:f>
      </x:c>
      <x:c r="Z46" s="414" t="str">
        <x:f>IF(AND(Z$7&gt;=$E46,Z$7&lt;=$F46),"■","")</x:f>
      </x:c>
      <x:c r="AA46" s="414" t="str">
        <x:f>IF(AND(AA$7&gt;=$E46,AA$7&lt;=$F46),"■","")</x:f>
      </x:c>
      <x:c r="AB46" s="414" t="str">
        <x:f>IF(AND(AB$7&gt;=$E46,AB$7&lt;=$F46),"■","")</x:f>
      </x:c>
      <x:c r="AC46" s="414" t="str">
        <x:f>IF(AND(AC$7&gt;=$E46,AC$7&lt;=$F46),"■","")</x:f>
      </x:c>
      <x:c r="AD46" s="414" t="str">
        <x:f>IF(AND(AD$7&gt;=$E46,AD$7&lt;=$F46),"■","")</x:f>
      </x:c>
      <x:c r="AE46" s="414" t="str">
        <x:f>IF(AND(AE$7&gt;=$E46,AE$7&lt;=$F46),"■","")</x:f>
      </x:c>
      <x:c r="AF46" s="414" t="str">
        <x:f>IF(AND(AF$7&gt;=$E46,AF$7&lt;=$F46),"■","")</x:f>
      </x:c>
      <x:c r="AG46" s="414" t="str">
        <x:f>IF(AND(AG$7&gt;=$E46,AG$7&lt;=$F46),"■","")</x:f>
        <x:v>■</x:v>
      </x:c>
      <x:c r="AH46" s="414" t="str">
        <x:f>IF(AND(AH$7&gt;=$E46,AH$7&lt;=$F46),"■","")</x:f>
        <x:v>■</x:v>
      </x:c>
      <x:c r="AI46" s="414" t="str">
        <x:f>IF(AND(AI$7&gt;=$E46,AI$7&lt;=$F46),"■","")</x:f>
      </x:c>
      <x:c r="AJ46" s="414" t="str">
        <x:f>IF(AND(AJ$7&gt;=$E46,AJ$7&lt;=$F46),"■","")</x:f>
      </x:c>
      <x:c r="AK46" s="414" t="str">
        <x:f>IF(AND(AK$7&gt;=$E46,AK$7&lt;=$F46),"■","")</x:f>
      </x:c>
      <x:c r="AL46" s="414" t="str">
        <x:f>IF(AND(AL$7&gt;=$E46,AL$7&lt;=$F46),"■","")</x:f>
      </x:c>
      <x:c r="AM46" s="416" t="str">
        <x:f>IF(AND(AM$7&gt;=$E46,AM$7&lt;=$F46),"■","")</x:f>
      </x:c>
      <x:c r="AN46" s="416" t="str">
        <x:f>IF(AND(AN$7&gt;=$E46,AN$7&lt;=$F46),"■","")</x:f>
      </x:c>
      <x:c r="AO46" s="416" t="str">
        <x:f>IF(AND(AO$7&gt;=$E46,AO$7&lt;=$F46),"■","")</x:f>
      </x:c>
      <x:c r="AP46" s="416" t="str">
        <x:f>IF(AND(AP$7&gt;=$E46,AP$7&lt;=$F46),"■","")</x:f>
      </x:c>
      <x:c r="AQ46" s="416" t="str">
        <x:f>IF(AND(AQ$7&gt;=$E46,AQ$7&lt;=$F46),"■","")</x:f>
      </x:c>
      <x:c r="AR46" s="416" t="str">
        <x:f>IF(AND(AR$7&gt;=$E46,AR$7&lt;=$F46),"■","")</x:f>
      </x:c>
      <x:c r="AS46" s="416" t="str">
        <x:f>IF(AND(AS$7&gt;=$E46,AS$7&lt;=$F46),"■","")</x:f>
      </x:c>
      <x:c r="AT46" s="416" t="str">
        <x:f>IF(AND(AT$7&gt;=$E46,AT$7&lt;=$F46),"■","")</x:f>
      </x:c>
      <x:c r="AU46" s="416" t="str">
        <x:f>IF(AND(AU$7&gt;=$E46,AU$7&lt;=$F46),"■","")</x:f>
      </x:c>
      <x:c r="AV46" s="416" t="str">
        <x:f>IF(AND(AV$7&gt;=$E46,AV$7&lt;=$F46),"■","")</x:f>
      </x:c>
      <x:c r="AW46" s="416" t="str">
        <x:f>IF(AND(AW$7&gt;=$E46,AW$7&lt;=$F46),"■","")</x:f>
      </x:c>
      <x:c r="AX46" s="416" t="str">
        <x:f>IF(AND(AX$7&gt;=$E46,AX$7&lt;=$F46),"■","")</x:f>
      </x:c>
      <x:c r="AY46" s="416" t="str">
        <x:f>IF(AND(AY$7&gt;=$E46,AY$7&lt;=$F46),"■","")</x:f>
      </x:c>
      <x:c r="AZ46" s="416" t="str">
        <x:f>IF(AND(AZ$7&gt;=$E46,AZ$7&lt;=$F46),"■","")</x:f>
      </x:c>
      <x:c r="BA46" s="416" t="str">
        <x:f>IF(AND(BA$7&gt;=$E46,BA$7&lt;=$F46),"■","")</x:f>
      </x:c>
      <x:c r="BB46" s="418" t="str">
        <x:f>IF(AND(BB$7&gt;=$E46,BB$7&lt;=$F46),"■","")</x:f>
      </x:c>
      <x:c r="BC46" s="418" t="str">
        <x:f>IF(AND(BC$7&gt;=$E46,BC$7&lt;=$F46),"■","")</x:f>
      </x:c>
      <x:c r="BD46" s="418" t="str">
        <x:f>IF(AND(BD$7&gt;=$E46,BD$7&lt;=$F46),"■","")</x:f>
      </x:c>
      <x:c r="BE46" s="418" t="str">
        <x:f>IF(AND(BE$7&gt;=$E46,BE$7&lt;=$F46),"■","")</x:f>
      </x:c>
      <x:c r="BF46" s="418" t="str">
        <x:f>IF(AND(BF$7&gt;=$E46,BF$7&lt;=$F46),"■","")</x:f>
      </x:c>
      <x:c r="BG46" s="418" t="str">
        <x:f>IF(AND(BG$7&gt;=$E46,BG$7&lt;=$F46),"■","")</x:f>
      </x:c>
      <x:c r="BH46" s="418" t="str">
        <x:f>IF(AND(BH$7&gt;=$E46,BH$7&lt;=$F46),"■","")</x:f>
      </x:c>
      <x:c r="BI46" s="418" t="str">
        <x:f>IF(AND(BI$7&gt;=$E46,BI$7&lt;=$F46),"■","")</x:f>
      </x:c>
      <x:c r="BJ46" s="418" t="str">
        <x:f>IF(AND(BJ$7&gt;=$E46,BJ$7&lt;=$F46),"■","")</x:f>
      </x:c>
      <x:c r="BK46" s="418" t="str">
        <x:f>IF(AND(BK$7&gt;=$E46,BK$7&lt;=$F46),"■","")</x:f>
      </x:c>
      <x:c r="BL46" s="418" t="str">
        <x:f>IF(AND(BL$7&gt;=$E46,BL$7&lt;=$F46),"■","")</x:f>
      </x:c>
      <x:c r="BM46" s="418" t="str">
        <x:f>IF(AND(BM$7&gt;=$E46,BM$7&lt;=$F46),"■","")</x:f>
      </x:c>
      <x:c r="BN46" s="418" t="str">
        <x:f>IF(AND(BN$7&gt;=$E46,BN$7&lt;=$F46),"■","")</x:f>
      </x:c>
      <x:c r="BO46" s="418" t="str">
        <x:f>IF(AND(BO$7&gt;=$E46,BO$7&lt;=$F46),"■","")</x:f>
      </x:c>
      <x:c r="BP46" s="418" t="str">
        <x:f>IF(AND(BP$7&gt;=$E46,BP$7&lt;=$F46),"■","")</x:f>
      </x:c>
    </x:row>
    <x:row r="47" ht="38" customHeight="1">
      <x:c r="B47" s="406" t="str">
        <x:v>5.4★</x:v>
      </x:c>
      <x:c r="C47" s="407" t="str">
        <x:v>평점·운영 교차분석, 추가 질의 저점 리뷰, 해결 가능성·관측·원인 후보·반대 근거 구성
[대기] 산출물: 교차분석·근거 모듈</x:v>
      </x:c>
      <x:c r="D47" s="407" t="str">
        <x:v>윤대성·정승·박준희</x:v>
      </x:c>
      <x:c r="E47" s="408" t="n">
        <x:v>46245</x:v>
      </x:c>
      <x:c r="F47" s="408" t="n">
        <x:v>46245</x:v>
      </x:c>
      <x:c r="G47" s="409" t="n">
        <x:f>MAX(0,F47-E47)</x:f>
        <x:v>0</x:v>
      </x:c>
      <x:c r="H47" s="410" t="n">
        <x:v>0</x:v>
      </x:c>
      <x:c r="I47" s="412" t="str">
        <x:f>IF(AND(I$7&gt;=$E47,I$7&lt;=$F47),"■","")</x:f>
      </x:c>
      <x:c r="J47" s="412" t="str">
        <x:f>IF(AND(J$7&gt;=$E47,J$7&lt;=$F47),"■","")</x:f>
      </x:c>
      <x:c r="K47" s="412" t="str">
        <x:f>IF(AND(K$7&gt;=$E47,K$7&lt;=$F47),"■","")</x:f>
      </x:c>
      <x:c r="L47" s="412" t="str">
        <x:f>IF(AND(L$7&gt;=$E47,L$7&lt;=$F47),"■","")</x:f>
      </x:c>
      <x:c r="M47" s="412" t="str">
        <x:f>IF(AND(M$7&gt;=$E47,M$7&lt;=$F47),"■","")</x:f>
      </x:c>
      <x:c r="N47" s="412" t="str">
        <x:f>IF(AND(N$7&gt;=$E47,N$7&lt;=$F47),"■","")</x:f>
      </x:c>
      <x:c r="O47" s="412" t="str">
        <x:f>IF(AND(O$7&gt;=$E47,O$7&lt;=$F47),"■","")</x:f>
      </x:c>
      <x:c r="P47" s="412" t="str">
        <x:f>IF(AND(P$7&gt;=$E47,P$7&lt;=$F47),"■","")</x:f>
      </x:c>
      <x:c r="Q47" s="412" t="str">
        <x:f>IF(AND(Q$7&gt;=$E47,Q$7&lt;=$F47),"■","")</x:f>
      </x:c>
      <x:c r="R47" s="412" t="str">
        <x:f>IF(AND(R$7&gt;=$E47,R$7&lt;=$F47),"■","")</x:f>
      </x:c>
      <x:c r="S47" s="412" t="str">
        <x:f>IF(AND(S$7&gt;=$E47,S$7&lt;=$F47),"■","")</x:f>
      </x:c>
      <x:c r="T47" s="412" t="str">
        <x:f>IF(AND(T$7&gt;=$E47,T$7&lt;=$F47),"■","")</x:f>
      </x:c>
      <x:c r="U47" s="412" t="str">
        <x:f>IF(AND(U$7&gt;=$E47,U$7&lt;=$F47),"■","")</x:f>
      </x:c>
      <x:c r="V47" s="412" t="str">
        <x:f>IF(AND(V$7&gt;=$E47,V$7&lt;=$F47),"■","")</x:f>
      </x:c>
      <x:c r="W47" s="412" t="str">
        <x:f>IF(AND(W$7&gt;=$E47,W$7&lt;=$F47),"■","")</x:f>
      </x:c>
      <x:c r="X47" s="414" t="str">
        <x:f>IF(AND(X$7&gt;=$E47,X$7&lt;=$F47),"■","")</x:f>
      </x:c>
      <x:c r="Y47" s="414" t="str">
        <x:f>IF(AND(Y$7&gt;=$E47,Y$7&lt;=$F47),"■","")</x:f>
      </x:c>
      <x:c r="Z47" s="414" t="str">
        <x:f>IF(AND(Z$7&gt;=$E47,Z$7&lt;=$F47),"■","")</x:f>
      </x:c>
      <x:c r="AA47" s="414" t="str">
        <x:f>IF(AND(AA$7&gt;=$E47,AA$7&lt;=$F47),"■","")</x:f>
      </x:c>
      <x:c r="AB47" s="414" t="str">
        <x:f>IF(AND(AB$7&gt;=$E47,AB$7&lt;=$F47),"■","")</x:f>
      </x:c>
      <x:c r="AC47" s="414" t="str">
        <x:f>IF(AND(AC$7&gt;=$E47,AC$7&lt;=$F47),"■","")</x:f>
      </x:c>
      <x:c r="AD47" s="414" t="str">
        <x:f>IF(AND(AD$7&gt;=$E47,AD$7&lt;=$F47),"■","")</x:f>
      </x:c>
      <x:c r="AE47" s="414" t="str">
        <x:f>IF(AND(AE$7&gt;=$E47,AE$7&lt;=$F47),"■","")</x:f>
      </x:c>
      <x:c r="AF47" s="414" t="str">
        <x:f>IF(AND(AF$7&gt;=$E47,AF$7&lt;=$F47),"■","")</x:f>
      </x:c>
      <x:c r="AG47" s="414" t="str">
        <x:f>IF(AND(AG$7&gt;=$E47,AG$7&lt;=$F47),"■","")</x:f>
      </x:c>
      <x:c r="AH47" s="414" t="str">
        <x:f>IF(AND(AH$7&gt;=$E47,AH$7&lt;=$F47),"■","")</x:f>
      </x:c>
      <x:c r="AI47" s="414" t="str">
        <x:f>IF(AND(AI$7&gt;=$E47,AI$7&lt;=$F47),"■","")</x:f>
        <x:v>■</x:v>
      </x:c>
      <x:c r="AJ47" s="414" t="str">
        <x:f>IF(AND(AJ$7&gt;=$E47,AJ$7&lt;=$F47),"■","")</x:f>
      </x:c>
      <x:c r="AK47" s="414" t="str">
        <x:f>IF(AND(AK$7&gt;=$E47,AK$7&lt;=$F47),"■","")</x:f>
      </x:c>
      <x:c r="AL47" s="414" t="str">
        <x:f>IF(AND(AL$7&gt;=$E47,AL$7&lt;=$F47),"■","")</x:f>
      </x:c>
      <x:c r="AM47" s="416" t="str">
        <x:f>IF(AND(AM$7&gt;=$E47,AM$7&lt;=$F47),"■","")</x:f>
      </x:c>
      <x:c r="AN47" s="416" t="str">
        <x:f>IF(AND(AN$7&gt;=$E47,AN$7&lt;=$F47),"■","")</x:f>
      </x:c>
      <x:c r="AO47" s="416" t="str">
        <x:f>IF(AND(AO$7&gt;=$E47,AO$7&lt;=$F47),"■","")</x:f>
      </x:c>
      <x:c r="AP47" s="416" t="str">
        <x:f>IF(AND(AP$7&gt;=$E47,AP$7&lt;=$F47),"■","")</x:f>
      </x:c>
      <x:c r="AQ47" s="416" t="str">
        <x:f>IF(AND(AQ$7&gt;=$E47,AQ$7&lt;=$F47),"■","")</x:f>
      </x:c>
      <x:c r="AR47" s="416" t="str">
        <x:f>IF(AND(AR$7&gt;=$E47,AR$7&lt;=$F47),"■","")</x:f>
      </x:c>
      <x:c r="AS47" s="416" t="str">
        <x:f>IF(AND(AS$7&gt;=$E47,AS$7&lt;=$F47),"■","")</x:f>
      </x:c>
      <x:c r="AT47" s="416" t="str">
        <x:f>IF(AND(AT$7&gt;=$E47,AT$7&lt;=$F47),"■","")</x:f>
      </x:c>
      <x:c r="AU47" s="416" t="str">
        <x:f>IF(AND(AU$7&gt;=$E47,AU$7&lt;=$F47),"■","")</x:f>
      </x:c>
      <x:c r="AV47" s="416" t="str">
        <x:f>IF(AND(AV$7&gt;=$E47,AV$7&lt;=$F47),"■","")</x:f>
      </x:c>
      <x:c r="AW47" s="416" t="str">
        <x:f>IF(AND(AW$7&gt;=$E47,AW$7&lt;=$F47),"■","")</x:f>
      </x:c>
      <x:c r="AX47" s="416" t="str">
        <x:f>IF(AND(AX$7&gt;=$E47,AX$7&lt;=$F47),"■","")</x:f>
      </x:c>
      <x:c r="AY47" s="416" t="str">
        <x:f>IF(AND(AY$7&gt;=$E47,AY$7&lt;=$F47),"■","")</x:f>
      </x:c>
      <x:c r="AZ47" s="416" t="str">
        <x:f>IF(AND(AZ$7&gt;=$E47,AZ$7&lt;=$F47),"■","")</x:f>
      </x:c>
      <x:c r="BA47" s="416" t="str">
        <x:f>IF(AND(BA$7&gt;=$E47,BA$7&lt;=$F47),"■","")</x:f>
      </x:c>
      <x:c r="BB47" s="418" t="str">
        <x:f>IF(AND(BB$7&gt;=$E47,BB$7&lt;=$F47),"■","")</x:f>
      </x:c>
      <x:c r="BC47" s="418" t="str">
        <x:f>IF(AND(BC$7&gt;=$E47,BC$7&lt;=$F47),"■","")</x:f>
      </x:c>
      <x:c r="BD47" s="418" t="str">
        <x:f>IF(AND(BD$7&gt;=$E47,BD$7&lt;=$F47),"■","")</x:f>
      </x:c>
      <x:c r="BE47" s="418" t="str">
        <x:f>IF(AND(BE$7&gt;=$E47,BE$7&lt;=$F47),"■","")</x:f>
      </x:c>
      <x:c r="BF47" s="418" t="str">
        <x:f>IF(AND(BF$7&gt;=$E47,BF$7&lt;=$F47),"■","")</x:f>
      </x:c>
      <x:c r="BG47" s="418" t="str">
        <x:f>IF(AND(BG$7&gt;=$E47,BG$7&lt;=$F47),"■","")</x:f>
      </x:c>
      <x:c r="BH47" s="418" t="str">
        <x:f>IF(AND(BH$7&gt;=$E47,BH$7&lt;=$F47),"■","")</x:f>
      </x:c>
      <x:c r="BI47" s="418" t="str">
        <x:f>IF(AND(BI$7&gt;=$E47,BI$7&lt;=$F47),"■","")</x:f>
      </x:c>
      <x:c r="BJ47" s="418" t="str">
        <x:f>IF(AND(BJ$7&gt;=$E47,BJ$7&lt;=$F47),"■","")</x:f>
      </x:c>
      <x:c r="BK47" s="418" t="str">
        <x:f>IF(AND(BK$7&gt;=$E47,BK$7&lt;=$F47),"■","")</x:f>
      </x:c>
      <x:c r="BL47" s="418" t="str">
        <x:f>IF(AND(BL$7&gt;=$E47,BL$7&lt;=$F47),"■","")</x:f>
      </x:c>
      <x:c r="BM47" s="418" t="str">
        <x:f>IF(AND(BM$7&gt;=$E47,BM$7&lt;=$F47),"■","")</x:f>
      </x:c>
      <x:c r="BN47" s="418" t="str">
        <x:f>IF(AND(BN$7&gt;=$E47,BN$7&lt;=$F47),"■","")</x:f>
      </x:c>
      <x:c r="BO47" s="418" t="str">
        <x:f>IF(AND(BO$7&gt;=$E47,BO$7&lt;=$F47),"■","")</x:f>
      </x:c>
      <x:c r="BP47" s="418" t="str">
        <x:f>IF(AND(BP$7&gt;=$E47,BP$7&lt;=$F47),"■","")</x:f>
      </x:c>
    </x:row>
    <x:row r="48" ht="38" customHeight="1">
      <x:c r="B48" s="406" t="str">
        <x:v>5.6</x:v>
      </x:c>
      <x:c r="C48" s="407" t="str">
        <x:v>B·D 연동 기준·Fallback 수용 기준·아키텍처 문서화
[대기] 산출물: AI 시스템 아키텍처 · 제출 08/14</x:v>
      </x:c>
      <x:c r="D48" s="407" t="str">
        <x:v>박준희</x:v>
      </x:c>
      <x:c r="E48" s="408" t="n">
        <x:v>46241</x:v>
      </x:c>
      <x:c r="F48" s="408" t="n">
        <x:v>46245</x:v>
      </x:c>
      <x:c r="G48" s="409" t="n">
        <x:f>MAX(0,F48-E48)</x:f>
        <x:v>4</x:v>
      </x:c>
      <x:c r="H48" s="410" t="n">
        <x:v>0</x:v>
      </x:c>
      <x:c r="I48" s="412" t="str">
        <x:f>IF(AND(I$7&gt;=$E48,I$7&lt;=$F48),"■","")</x:f>
      </x:c>
      <x:c r="J48" s="412" t="str">
        <x:f>IF(AND(J$7&gt;=$E48,J$7&lt;=$F48),"■","")</x:f>
      </x:c>
      <x:c r="K48" s="412" t="str">
        <x:f>IF(AND(K$7&gt;=$E48,K$7&lt;=$F48),"■","")</x:f>
      </x:c>
      <x:c r="L48" s="412" t="str">
        <x:f>IF(AND(L$7&gt;=$E48,L$7&lt;=$F48),"■","")</x:f>
      </x:c>
      <x:c r="M48" s="412" t="str">
        <x:f>IF(AND(M$7&gt;=$E48,M$7&lt;=$F48),"■","")</x:f>
      </x:c>
      <x:c r="N48" s="412" t="str">
        <x:f>IF(AND(N$7&gt;=$E48,N$7&lt;=$F48),"■","")</x:f>
      </x:c>
      <x:c r="O48" s="412" t="str">
        <x:f>IF(AND(O$7&gt;=$E48,O$7&lt;=$F48),"■","")</x:f>
      </x:c>
      <x:c r="P48" s="412" t="str">
        <x:f>IF(AND(P$7&gt;=$E48,P$7&lt;=$F48),"■","")</x:f>
      </x:c>
      <x:c r="Q48" s="412" t="str">
        <x:f>IF(AND(Q$7&gt;=$E48,Q$7&lt;=$F48),"■","")</x:f>
      </x:c>
      <x:c r="R48" s="412" t="str">
        <x:f>IF(AND(R$7&gt;=$E48,R$7&lt;=$F48),"■","")</x:f>
      </x:c>
      <x:c r="S48" s="412" t="str">
        <x:f>IF(AND(S$7&gt;=$E48,S$7&lt;=$F48),"■","")</x:f>
      </x:c>
      <x:c r="T48" s="412" t="str">
        <x:f>IF(AND(T$7&gt;=$E48,T$7&lt;=$F48),"■","")</x:f>
      </x:c>
      <x:c r="U48" s="412" t="str">
        <x:f>IF(AND(U$7&gt;=$E48,U$7&lt;=$F48),"■","")</x:f>
      </x:c>
      <x:c r="V48" s="412" t="str">
        <x:f>IF(AND(V$7&gt;=$E48,V$7&lt;=$F48),"■","")</x:f>
      </x:c>
      <x:c r="W48" s="412" t="str">
        <x:f>IF(AND(W$7&gt;=$E48,W$7&lt;=$F48),"■","")</x:f>
      </x:c>
      <x:c r="X48" s="414" t="str">
        <x:f>IF(AND(X$7&gt;=$E48,X$7&lt;=$F48),"■","")</x:f>
      </x:c>
      <x:c r="Y48" s="414" t="str">
        <x:f>IF(AND(Y$7&gt;=$E48,Y$7&lt;=$F48),"■","")</x:f>
      </x:c>
      <x:c r="Z48" s="414" t="str">
        <x:f>IF(AND(Z$7&gt;=$E48,Z$7&lt;=$F48),"■","")</x:f>
      </x:c>
      <x:c r="AA48" s="414" t="str">
        <x:f>IF(AND(AA$7&gt;=$E48,AA$7&lt;=$F48),"■","")</x:f>
      </x:c>
      <x:c r="AB48" s="414" t="str">
        <x:f>IF(AND(AB$7&gt;=$E48,AB$7&lt;=$F48),"■","")</x:f>
      </x:c>
      <x:c r="AC48" s="414" t="str">
        <x:f>IF(AND(AC$7&gt;=$E48,AC$7&lt;=$F48),"■","")</x:f>
      </x:c>
      <x:c r="AD48" s="414" t="str">
        <x:f>IF(AND(AD$7&gt;=$E48,AD$7&lt;=$F48),"■","")</x:f>
      </x:c>
      <x:c r="AE48" s="414" t="str">
        <x:f>IF(AND(AE$7&gt;=$E48,AE$7&lt;=$F48),"■","")</x:f>
      </x:c>
      <x:c r="AF48" s="414" t="str">
        <x:f>IF(AND(AF$7&gt;=$E48,AF$7&lt;=$F48),"■","")</x:f>
      </x:c>
      <x:c r="AG48" s="414" t="str">
        <x:f>IF(AND(AG$7&gt;=$E48,AG$7&lt;=$F48),"■","")</x:f>
        <x:v>■</x:v>
      </x:c>
      <x:c r="AH48" s="414" t="str">
        <x:f>IF(AND(AH$7&gt;=$E48,AH$7&lt;=$F48),"■","")</x:f>
        <x:v>■</x:v>
      </x:c>
      <x:c r="AI48" s="414" t="str">
        <x:f>IF(AND(AI$7&gt;=$E48,AI$7&lt;=$F48),"■","")</x:f>
        <x:v>■</x:v>
      </x:c>
      <x:c r="AJ48" s="414" t="str">
        <x:f>IF(AND(AJ$7&gt;=$E48,AJ$7&lt;=$F48),"■","")</x:f>
      </x:c>
      <x:c r="AK48" s="414" t="str">
        <x:f>IF(AND(AK$7&gt;=$E48,AK$7&lt;=$F48),"■","")</x:f>
      </x:c>
      <x:c r="AL48" s="414" t="str">
        <x:f>IF(AND(AL$7&gt;=$E48,AL$7&lt;=$F48),"■","")</x:f>
      </x:c>
      <x:c r="AM48" s="416" t="str">
        <x:f>IF(AND(AM$7&gt;=$E48,AM$7&lt;=$F48),"■","")</x:f>
      </x:c>
      <x:c r="AN48" s="416" t="str">
        <x:f>IF(AND(AN$7&gt;=$E48,AN$7&lt;=$F48),"■","")</x:f>
      </x:c>
      <x:c r="AO48" s="416" t="str">
        <x:f>IF(AND(AO$7&gt;=$E48,AO$7&lt;=$F48),"■","")</x:f>
      </x:c>
      <x:c r="AP48" s="416" t="str">
        <x:f>IF(AND(AP$7&gt;=$E48,AP$7&lt;=$F48),"■","")</x:f>
      </x:c>
      <x:c r="AQ48" s="416" t="str">
        <x:f>IF(AND(AQ$7&gt;=$E48,AQ$7&lt;=$F48),"■","")</x:f>
      </x:c>
      <x:c r="AR48" s="416" t="str">
        <x:f>IF(AND(AR$7&gt;=$E48,AR$7&lt;=$F48),"■","")</x:f>
      </x:c>
      <x:c r="AS48" s="416" t="str">
        <x:f>IF(AND(AS$7&gt;=$E48,AS$7&lt;=$F48),"■","")</x:f>
      </x:c>
      <x:c r="AT48" s="416" t="str">
        <x:f>IF(AND(AT$7&gt;=$E48,AT$7&lt;=$F48),"■","")</x:f>
      </x:c>
      <x:c r="AU48" s="416" t="str">
        <x:f>IF(AND(AU$7&gt;=$E48,AU$7&lt;=$F48),"■","")</x:f>
      </x:c>
      <x:c r="AV48" s="416" t="str">
        <x:f>IF(AND(AV$7&gt;=$E48,AV$7&lt;=$F48),"■","")</x:f>
      </x:c>
      <x:c r="AW48" s="416" t="str">
        <x:f>IF(AND(AW$7&gt;=$E48,AW$7&lt;=$F48),"■","")</x:f>
      </x:c>
      <x:c r="AX48" s="416" t="str">
        <x:f>IF(AND(AX$7&gt;=$E48,AX$7&lt;=$F48),"■","")</x:f>
      </x:c>
      <x:c r="AY48" s="416" t="str">
        <x:f>IF(AND(AY$7&gt;=$E48,AY$7&lt;=$F48),"■","")</x:f>
      </x:c>
      <x:c r="AZ48" s="416" t="str">
        <x:f>IF(AND(AZ$7&gt;=$E48,AZ$7&lt;=$F48),"■","")</x:f>
      </x:c>
      <x:c r="BA48" s="416" t="str">
        <x:f>IF(AND(BA$7&gt;=$E48,BA$7&lt;=$F48),"■","")</x:f>
      </x:c>
      <x:c r="BB48" s="418" t="str">
        <x:f>IF(AND(BB$7&gt;=$E48,BB$7&lt;=$F48),"■","")</x:f>
      </x:c>
      <x:c r="BC48" s="418" t="str">
        <x:f>IF(AND(BC$7&gt;=$E48,BC$7&lt;=$F48),"■","")</x:f>
      </x:c>
      <x:c r="BD48" s="418" t="str">
        <x:f>IF(AND(BD$7&gt;=$E48,BD$7&lt;=$F48),"■","")</x:f>
      </x:c>
      <x:c r="BE48" s="418" t="str">
        <x:f>IF(AND(BE$7&gt;=$E48,BE$7&lt;=$F48),"■","")</x:f>
      </x:c>
      <x:c r="BF48" s="418" t="str">
        <x:f>IF(AND(BF$7&gt;=$E48,BF$7&lt;=$F48),"■","")</x:f>
      </x:c>
      <x:c r="BG48" s="418" t="str">
        <x:f>IF(AND(BG$7&gt;=$E48,BG$7&lt;=$F48),"■","")</x:f>
      </x:c>
      <x:c r="BH48" s="418" t="str">
        <x:f>IF(AND(BH$7&gt;=$E48,BH$7&lt;=$F48),"■","")</x:f>
      </x:c>
      <x:c r="BI48" s="418" t="str">
        <x:f>IF(AND(BI$7&gt;=$E48,BI$7&lt;=$F48),"■","")</x:f>
      </x:c>
      <x:c r="BJ48" s="418" t="str">
        <x:f>IF(AND(BJ$7&gt;=$E48,BJ$7&lt;=$F48),"■","")</x:f>
      </x:c>
      <x:c r="BK48" s="418" t="str">
        <x:f>IF(AND(BK$7&gt;=$E48,BK$7&lt;=$F48),"■","")</x:f>
      </x:c>
      <x:c r="BL48" s="418" t="str">
        <x:f>IF(AND(BL$7&gt;=$E48,BL$7&lt;=$F48),"■","")</x:f>
      </x:c>
      <x:c r="BM48" s="418" t="str">
        <x:f>IF(AND(BM$7&gt;=$E48,BM$7&lt;=$F48),"■","")</x:f>
      </x:c>
      <x:c r="BN48" s="418" t="str">
        <x:f>IF(AND(BN$7&gt;=$E48,BN$7&lt;=$F48),"■","")</x:f>
      </x:c>
      <x:c r="BO48" s="418" t="str">
        <x:f>IF(AND(BO$7&gt;=$E48,BO$7&lt;=$F48),"■","")</x:f>
      </x:c>
      <x:c r="BP48" s="418" t="str">
        <x:f>IF(AND(BP$7&gt;=$E48,BP$7&lt;=$F48),"■","")</x:f>
      </x:c>
    </x:row>
    <x:row r="49" ht="38" customHeight="1">
      <x:c r="B49" s="406" t="str">
        <x:v>5.7★</x:v>
      </x:c>
      <x:c r="C49" s="407" t="str">
        <x:v>FastAPI 품질·query·Incident·LLM fallback 패키징
[대기] 산출물: LLM 활용 소프트웨어 · 제출 08/14</x:v>
      </x:c>
      <x:c r="D49" s="407" t="str">
        <x:v>김재홍·윤대성</x:v>
      </x:c>
      <x:c r="E49" s="408" t="n">
        <x:v>46244</x:v>
      </x:c>
      <x:c r="F49" s="408" t="n">
        <x:v>46245</x:v>
      </x:c>
      <x:c r="G49" s="409" t="n">
        <x:f>MAX(0,F49-E49)</x:f>
        <x:v>1</x:v>
      </x:c>
      <x:c r="H49" s="410" t="n">
        <x:v>0</x:v>
      </x:c>
      <x:c r="I49" s="412" t="str">
        <x:f>IF(AND(I$7&gt;=$E49,I$7&lt;=$F49),"■","")</x:f>
      </x:c>
      <x:c r="J49" s="412" t="str">
        <x:f>IF(AND(J$7&gt;=$E49,J$7&lt;=$F49),"■","")</x:f>
      </x:c>
      <x:c r="K49" s="412" t="str">
        <x:f>IF(AND(K$7&gt;=$E49,K$7&lt;=$F49),"■","")</x:f>
      </x:c>
      <x:c r="L49" s="412" t="str">
        <x:f>IF(AND(L$7&gt;=$E49,L$7&lt;=$F49),"■","")</x:f>
      </x:c>
      <x:c r="M49" s="412" t="str">
        <x:f>IF(AND(M$7&gt;=$E49,M$7&lt;=$F49),"■","")</x:f>
      </x:c>
      <x:c r="N49" s="412" t="str">
        <x:f>IF(AND(N$7&gt;=$E49,N$7&lt;=$F49),"■","")</x:f>
      </x:c>
      <x:c r="O49" s="412" t="str">
        <x:f>IF(AND(O$7&gt;=$E49,O$7&lt;=$F49),"■","")</x:f>
      </x:c>
      <x:c r="P49" s="412" t="str">
        <x:f>IF(AND(P$7&gt;=$E49,P$7&lt;=$F49),"■","")</x:f>
      </x:c>
      <x:c r="Q49" s="412" t="str">
        <x:f>IF(AND(Q$7&gt;=$E49,Q$7&lt;=$F49),"■","")</x:f>
      </x:c>
      <x:c r="R49" s="412" t="str">
        <x:f>IF(AND(R$7&gt;=$E49,R$7&lt;=$F49),"■","")</x:f>
      </x:c>
      <x:c r="S49" s="412" t="str">
        <x:f>IF(AND(S$7&gt;=$E49,S$7&lt;=$F49),"■","")</x:f>
      </x:c>
      <x:c r="T49" s="412" t="str">
        <x:f>IF(AND(T$7&gt;=$E49,T$7&lt;=$F49),"■","")</x:f>
      </x:c>
      <x:c r="U49" s="412" t="str">
        <x:f>IF(AND(U$7&gt;=$E49,U$7&lt;=$F49),"■","")</x:f>
      </x:c>
      <x:c r="V49" s="412" t="str">
        <x:f>IF(AND(V$7&gt;=$E49,V$7&lt;=$F49),"■","")</x:f>
      </x:c>
      <x:c r="W49" s="412" t="str">
        <x:f>IF(AND(W$7&gt;=$E49,W$7&lt;=$F49),"■","")</x:f>
      </x:c>
      <x:c r="X49" s="414" t="str">
        <x:f>IF(AND(X$7&gt;=$E49,X$7&lt;=$F49),"■","")</x:f>
      </x:c>
      <x:c r="Y49" s="414" t="str">
        <x:f>IF(AND(Y$7&gt;=$E49,Y$7&lt;=$F49),"■","")</x:f>
      </x:c>
      <x:c r="Z49" s="414" t="str">
        <x:f>IF(AND(Z$7&gt;=$E49,Z$7&lt;=$F49),"■","")</x:f>
      </x:c>
      <x:c r="AA49" s="414" t="str">
        <x:f>IF(AND(AA$7&gt;=$E49,AA$7&lt;=$F49),"■","")</x:f>
      </x:c>
      <x:c r="AB49" s="414" t="str">
        <x:f>IF(AND(AB$7&gt;=$E49,AB$7&lt;=$F49),"■","")</x:f>
      </x:c>
      <x:c r="AC49" s="414" t="str">
        <x:f>IF(AND(AC$7&gt;=$E49,AC$7&lt;=$F49),"■","")</x:f>
      </x:c>
      <x:c r="AD49" s="414" t="str">
        <x:f>IF(AND(AD$7&gt;=$E49,AD$7&lt;=$F49),"■","")</x:f>
      </x:c>
      <x:c r="AE49" s="414" t="str">
        <x:f>IF(AND(AE$7&gt;=$E49,AE$7&lt;=$F49),"■","")</x:f>
      </x:c>
      <x:c r="AF49" s="414" t="str">
        <x:f>IF(AND(AF$7&gt;=$E49,AF$7&lt;=$F49),"■","")</x:f>
      </x:c>
      <x:c r="AG49" s="414" t="str">
        <x:f>IF(AND(AG$7&gt;=$E49,AG$7&lt;=$F49),"■","")</x:f>
      </x:c>
      <x:c r="AH49" s="414" t="str">
        <x:f>IF(AND(AH$7&gt;=$E49,AH$7&lt;=$F49),"■","")</x:f>
        <x:v>■</x:v>
      </x:c>
      <x:c r="AI49" s="414" t="str">
        <x:f>IF(AND(AI$7&gt;=$E49,AI$7&lt;=$F49),"■","")</x:f>
        <x:v>■</x:v>
      </x:c>
      <x:c r="AJ49" s="414" t="str">
        <x:f>IF(AND(AJ$7&gt;=$E49,AJ$7&lt;=$F49),"■","")</x:f>
      </x:c>
      <x:c r="AK49" s="414" t="str">
        <x:f>IF(AND(AK$7&gt;=$E49,AK$7&lt;=$F49),"■","")</x:f>
      </x:c>
      <x:c r="AL49" s="414" t="str">
        <x:f>IF(AND(AL$7&gt;=$E49,AL$7&lt;=$F49),"■","")</x:f>
      </x:c>
      <x:c r="AM49" s="416" t="str">
        <x:f>IF(AND(AM$7&gt;=$E49,AM$7&lt;=$F49),"■","")</x:f>
      </x:c>
      <x:c r="AN49" s="416" t="str">
        <x:f>IF(AND(AN$7&gt;=$E49,AN$7&lt;=$F49),"■","")</x:f>
      </x:c>
      <x:c r="AO49" s="416" t="str">
        <x:f>IF(AND(AO$7&gt;=$E49,AO$7&lt;=$F49),"■","")</x:f>
      </x:c>
      <x:c r="AP49" s="416" t="str">
        <x:f>IF(AND(AP$7&gt;=$E49,AP$7&lt;=$F49),"■","")</x:f>
      </x:c>
      <x:c r="AQ49" s="416" t="str">
        <x:f>IF(AND(AQ$7&gt;=$E49,AQ$7&lt;=$F49),"■","")</x:f>
      </x:c>
      <x:c r="AR49" s="416" t="str">
        <x:f>IF(AND(AR$7&gt;=$E49,AR$7&lt;=$F49),"■","")</x:f>
      </x:c>
      <x:c r="AS49" s="416" t="str">
        <x:f>IF(AND(AS$7&gt;=$E49,AS$7&lt;=$F49),"■","")</x:f>
      </x:c>
      <x:c r="AT49" s="416" t="str">
        <x:f>IF(AND(AT$7&gt;=$E49,AT$7&lt;=$F49),"■","")</x:f>
      </x:c>
      <x:c r="AU49" s="416" t="str">
        <x:f>IF(AND(AU$7&gt;=$E49,AU$7&lt;=$F49),"■","")</x:f>
      </x:c>
      <x:c r="AV49" s="416" t="str">
        <x:f>IF(AND(AV$7&gt;=$E49,AV$7&lt;=$F49),"■","")</x:f>
      </x:c>
      <x:c r="AW49" s="416" t="str">
        <x:f>IF(AND(AW$7&gt;=$E49,AW$7&lt;=$F49),"■","")</x:f>
      </x:c>
      <x:c r="AX49" s="416" t="str">
        <x:f>IF(AND(AX$7&gt;=$E49,AX$7&lt;=$F49),"■","")</x:f>
      </x:c>
      <x:c r="AY49" s="416" t="str">
        <x:f>IF(AND(AY$7&gt;=$E49,AY$7&lt;=$F49),"■","")</x:f>
      </x:c>
      <x:c r="AZ49" s="416" t="str">
        <x:f>IF(AND(AZ$7&gt;=$E49,AZ$7&lt;=$F49),"■","")</x:f>
      </x:c>
      <x:c r="BA49" s="416" t="str">
        <x:f>IF(AND(BA$7&gt;=$E49,BA$7&lt;=$F49),"■","")</x:f>
      </x:c>
      <x:c r="BB49" s="418" t="str">
        <x:f>IF(AND(BB$7&gt;=$E49,BB$7&lt;=$F49),"■","")</x:f>
      </x:c>
      <x:c r="BC49" s="418" t="str">
        <x:f>IF(AND(BC$7&gt;=$E49,BC$7&lt;=$F49),"■","")</x:f>
      </x:c>
      <x:c r="BD49" s="418" t="str">
        <x:f>IF(AND(BD$7&gt;=$E49,BD$7&lt;=$F49),"■","")</x:f>
      </x:c>
      <x:c r="BE49" s="418" t="str">
        <x:f>IF(AND(BE$7&gt;=$E49,BE$7&lt;=$F49),"■","")</x:f>
      </x:c>
      <x:c r="BF49" s="418" t="str">
        <x:f>IF(AND(BF$7&gt;=$E49,BF$7&lt;=$F49),"■","")</x:f>
      </x:c>
      <x:c r="BG49" s="418" t="str">
        <x:f>IF(AND(BG$7&gt;=$E49,BG$7&lt;=$F49),"■","")</x:f>
      </x:c>
      <x:c r="BH49" s="418" t="str">
        <x:f>IF(AND(BH$7&gt;=$E49,BH$7&lt;=$F49),"■","")</x:f>
      </x:c>
      <x:c r="BI49" s="418" t="str">
        <x:f>IF(AND(BI$7&gt;=$E49,BI$7&lt;=$F49),"■","")</x:f>
      </x:c>
      <x:c r="BJ49" s="418" t="str">
        <x:f>IF(AND(BJ$7&gt;=$E49,BJ$7&lt;=$F49),"■","")</x:f>
      </x:c>
      <x:c r="BK49" s="418" t="str">
        <x:f>IF(AND(BK$7&gt;=$E49,BK$7&lt;=$F49),"■","")</x:f>
      </x:c>
      <x:c r="BL49" s="418" t="str">
        <x:f>IF(AND(BL$7&gt;=$E49,BL$7&lt;=$F49),"■","")</x:f>
      </x:c>
      <x:c r="BM49" s="418" t="str">
        <x:f>IF(AND(BM$7&gt;=$E49,BM$7&lt;=$F49),"■","")</x:f>
      </x:c>
      <x:c r="BN49" s="418" t="str">
        <x:f>IF(AND(BN$7&gt;=$E49,BN$7&lt;=$F49),"■","")</x:f>
      </x:c>
      <x:c r="BO49" s="418" t="str">
        <x:f>IF(AND(BO$7&gt;=$E49,BO$7&lt;=$F49),"■","")</x:f>
      </x:c>
      <x:c r="BP49" s="418" t="str">
        <x:f>IF(AND(BP$7&gt;=$E49,BP$7&lt;=$F49),"■","")</x:f>
      </x:c>
    </x:row>
    <x:row r="50" ht="38" customHeight="1">
      <x:c r="B50" s="406" t="str">
        <x:v>5.8★</x:v>
      </x:c>
      <x:c r="C50" s="407" t="str">
        <x:v>합성 VOC sLLM·API LLM 비교
[대기] 산출물: 자체 sLLM 인공지능(독립 실험) · 제출 08/14</x:v>
      </x:c>
      <x:c r="D50" s="407" t="str">
        <x:v>윤대성</x:v>
      </x:c>
      <x:c r="E50" s="408" t="n">
        <x:v>46239</x:v>
      </x:c>
      <x:c r="F50" s="408" t="n">
        <x:v>46248</x:v>
      </x:c>
      <x:c r="G50" s="409" t="n">
        <x:f>MAX(0,F50-E50)</x:f>
        <x:v>9</x:v>
      </x:c>
      <x:c r="H50" s="410" t="n">
        <x:v>0</x:v>
      </x:c>
      <x:c r="I50" s="412" t="str">
        <x:f>IF(AND(I$7&gt;=$E50,I$7&lt;=$F50),"■","")</x:f>
      </x:c>
      <x:c r="J50" s="412" t="str">
        <x:f>IF(AND(J$7&gt;=$E50,J$7&lt;=$F50),"■","")</x:f>
      </x:c>
      <x:c r="K50" s="412" t="str">
        <x:f>IF(AND(K$7&gt;=$E50,K$7&lt;=$F50),"■","")</x:f>
      </x:c>
      <x:c r="L50" s="412" t="str">
        <x:f>IF(AND(L$7&gt;=$E50,L$7&lt;=$F50),"■","")</x:f>
      </x:c>
      <x:c r="M50" s="412" t="str">
        <x:f>IF(AND(M$7&gt;=$E50,M$7&lt;=$F50),"■","")</x:f>
      </x:c>
      <x:c r="N50" s="412" t="str">
        <x:f>IF(AND(N$7&gt;=$E50,N$7&lt;=$F50),"■","")</x:f>
      </x:c>
      <x:c r="O50" s="412" t="str">
        <x:f>IF(AND(O$7&gt;=$E50,O$7&lt;=$F50),"■","")</x:f>
      </x:c>
      <x:c r="P50" s="412" t="str">
        <x:f>IF(AND(P$7&gt;=$E50,P$7&lt;=$F50),"■","")</x:f>
      </x:c>
      <x:c r="Q50" s="412" t="str">
        <x:f>IF(AND(Q$7&gt;=$E50,Q$7&lt;=$F50),"■","")</x:f>
      </x:c>
      <x:c r="R50" s="412" t="str">
        <x:f>IF(AND(R$7&gt;=$E50,R$7&lt;=$F50),"■","")</x:f>
      </x:c>
      <x:c r="S50" s="412" t="str">
        <x:f>IF(AND(S$7&gt;=$E50,S$7&lt;=$F50),"■","")</x:f>
      </x:c>
      <x:c r="T50" s="412" t="str">
        <x:f>IF(AND(T$7&gt;=$E50,T$7&lt;=$F50),"■","")</x:f>
      </x:c>
      <x:c r="U50" s="412" t="str">
        <x:f>IF(AND(U$7&gt;=$E50,U$7&lt;=$F50),"■","")</x:f>
      </x:c>
      <x:c r="V50" s="412" t="str">
        <x:f>IF(AND(V$7&gt;=$E50,V$7&lt;=$F50),"■","")</x:f>
      </x:c>
      <x:c r="W50" s="412" t="str">
        <x:f>IF(AND(W$7&gt;=$E50,W$7&lt;=$F50),"■","")</x:f>
      </x:c>
      <x:c r="X50" s="414" t="str">
        <x:f>IF(AND(X$7&gt;=$E50,X$7&lt;=$F50),"■","")</x:f>
      </x:c>
      <x:c r="Y50" s="414" t="str">
        <x:f>IF(AND(Y$7&gt;=$E50,Y$7&lt;=$F50),"■","")</x:f>
      </x:c>
      <x:c r="Z50" s="414" t="str">
        <x:f>IF(AND(Z$7&gt;=$E50,Z$7&lt;=$F50),"■","")</x:f>
      </x:c>
      <x:c r="AA50" s="414" t="str">
        <x:f>IF(AND(AA$7&gt;=$E50,AA$7&lt;=$F50),"■","")</x:f>
      </x:c>
      <x:c r="AB50" s="414" t="str">
        <x:f>IF(AND(AB$7&gt;=$E50,AB$7&lt;=$F50),"■","")</x:f>
      </x:c>
      <x:c r="AC50" s="414" t="str">
        <x:f>IF(AND(AC$7&gt;=$E50,AC$7&lt;=$F50),"■","")</x:f>
      </x:c>
      <x:c r="AD50" s="414" t="str">
        <x:f>IF(AND(AD$7&gt;=$E50,AD$7&lt;=$F50),"■","")</x:f>
      </x:c>
      <x:c r="AE50" s="414" t="str">
        <x:f>IF(AND(AE$7&gt;=$E50,AE$7&lt;=$F50),"■","")</x:f>
        <x:v>■</x:v>
      </x:c>
      <x:c r="AF50" s="414" t="str">
        <x:f>IF(AND(AF$7&gt;=$E50,AF$7&lt;=$F50),"■","")</x:f>
        <x:v>■</x:v>
      </x:c>
      <x:c r="AG50" s="414" t="str">
        <x:f>IF(AND(AG$7&gt;=$E50,AG$7&lt;=$F50),"■","")</x:f>
        <x:v>■</x:v>
      </x:c>
      <x:c r="AH50" s="414" t="str">
        <x:f>IF(AND(AH$7&gt;=$E50,AH$7&lt;=$F50),"■","")</x:f>
        <x:v>■</x:v>
      </x:c>
      <x:c r="AI50" s="414" t="str">
        <x:f>IF(AND(AI$7&gt;=$E50,AI$7&lt;=$F50),"■","")</x:f>
        <x:v>■</x:v>
      </x:c>
      <x:c r="AJ50" s="414" t="str">
        <x:f>IF(AND(AJ$7&gt;=$E50,AJ$7&lt;=$F50),"■","")</x:f>
        <x:v>■</x:v>
      </x:c>
      <x:c r="AK50" s="414" t="str">
        <x:f>IF(AND(AK$7&gt;=$E50,AK$7&lt;=$F50),"■","")</x:f>
        <x:v>■</x:v>
      </x:c>
      <x:c r="AL50" s="414" t="str">
        <x:f>IF(AND(AL$7&gt;=$E50,AL$7&lt;=$F50),"■","")</x:f>
        <x:v>■</x:v>
      </x:c>
      <x:c r="AM50" s="416" t="str">
        <x:f>IF(AND(AM$7&gt;=$E50,AM$7&lt;=$F50),"■","")</x:f>
      </x:c>
      <x:c r="AN50" s="416" t="str">
        <x:f>IF(AND(AN$7&gt;=$E50,AN$7&lt;=$F50),"■","")</x:f>
      </x:c>
      <x:c r="AO50" s="416" t="str">
        <x:f>IF(AND(AO$7&gt;=$E50,AO$7&lt;=$F50),"■","")</x:f>
      </x:c>
      <x:c r="AP50" s="416" t="str">
        <x:f>IF(AND(AP$7&gt;=$E50,AP$7&lt;=$F50),"■","")</x:f>
      </x:c>
      <x:c r="AQ50" s="416" t="str">
        <x:f>IF(AND(AQ$7&gt;=$E50,AQ$7&lt;=$F50),"■","")</x:f>
      </x:c>
      <x:c r="AR50" s="416" t="str">
        <x:f>IF(AND(AR$7&gt;=$E50,AR$7&lt;=$F50),"■","")</x:f>
      </x:c>
      <x:c r="AS50" s="416" t="str">
        <x:f>IF(AND(AS$7&gt;=$E50,AS$7&lt;=$F50),"■","")</x:f>
      </x:c>
      <x:c r="AT50" s="416" t="str">
        <x:f>IF(AND(AT$7&gt;=$E50,AT$7&lt;=$F50),"■","")</x:f>
      </x:c>
      <x:c r="AU50" s="416" t="str">
        <x:f>IF(AND(AU$7&gt;=$E50,AU$7&lt;=$F50),"■","")</x:f>
      </x:c>
      <x:c r="AV50" s="416" t="str">
        <x:f>IF(AND(AV$7&gt;=$E50,AV$7&lt;=$F50),"■","")</x:f>
      </x:c>
      <x:c r="AW50" s="416" t="str">
        <x:f>IF(AND(AW$7&gt;=$E50,AW$7&lt;=$F50),"■","")</x:f>
      </x:c>
      <x:c r="AX50" s="416" t="str">
        <x:f>IF(AND(AX$7&gt;=$E50,AX$7&lt;=$F50),"■","")</x:f>
      </x:c>
      <x:c r="AY50" s="416" t="str">
        <x:f>IF(AND(AY$7&gt;=$E50,AY$7&lt;=$F50),"■","")</x:f>
      </x:c>
      <x:c r="AZ50" s="416" t="str">
        <x:f>IF(AND(AZ$7&gt;=$E50,AZ$7&lt;=$F50),"■","")</x:f>
      </x:c>
      <x:c r="BA50" s="416" t="str">
        <x:f>IF(AND(BA$7&gt;=$E50,BA$7&lt;=$F50),"■","")</x:f>
      </x:c>
      <x:c r="BB50" s="418" t="str">
        <x:f>IF(AND(BB$7&gt;=$E50,BB$7&lt;=$F50),"■","")</x:f>
      </x:c>
      <x:c r="BC50" s="418" t="str">
        <x:f>IF(AND(BC$7&gt;=$E50,BC$7&lt;=$F50),"■","")</x:f>
      </x:c>
      <x:c r="BD50" s="418" t="str">
        <x:f>IF(AND(BD$7&gt;=$E50,BD$7&lt;=$F50),"■","")</x:f>
      </x:c>
      <x:c r="BE50" s="418" t="str">
        <x:f>IF(AND(BE$7&gt;=$E50,BE$7&lt;=$F50),"■","")</x:f>
      </x:c>
      <x:c r="BF50" s="418" t="str">
        <x:f>IF(AND(BF$7&gt;=$E50,BF$7&lt;=$F50),"■","")</x:f>
      </x:c>
      <x:c r="BG50" s="418" t="str">
        <x:f>IF(AND(BG$7&gt;=$E50,BG$7&lt;=$F50),"■","")</x:f>
      </x:c>
      <x:c r="BH50" s="418" t="str">
        <x:f>IF(AND(BH$7&gt;=$E50,BH$7&lt;=$F50),"■","")</x:f>
      </x:c>
      <x:c r="BI50" s="418" t="str">
        <x:f>IF(AND(BI$7&gt;=$E50,BI$7&lt;=$F50),"■","")</x:f>
      </x:c>
      <x:c r="BJ50" s="418" t="str">
        <x:f>IF(AND(BJ$7&gt;=$E50,BJ$7&lt;=$F50),"■","")</x:f>
      </x:c>
      <x:c r="BK50" s="418" t="str">
        <x:f>IF(AND(BK$7&gt;=$E50,BK$7&lt;=$F50),"■","")</x:f>
      </x:c>
      <x:c r="BL50" s="418" t="str">
        <x:f>IF(AND(BL$7&gt;=$E50,BL$7&lt;=$F50),"■","")</x:f>
      </x:c>
      <x:c r="BM50" s="418" t="str">
        <x:f>IF(AND(BM$7&gt;=$E50,BM$7&lt;=$F50),"■","")</x:f>
      </x:c>
      <x:c r="BN50" s="418" t="str">
        <x:f>IF(AND(BN$7&gt;=$E50,BN$7&lt;=$F50),"■","")</x:f>
      </x:c>
      <x:c r="BO50" s="418" t="str">
        <x:f>IF(AND(BO$7&gt;=$E50,BO$7&lt;=$F50),"■","")</x:f>
      </x:c>
      <x:c r="BP50" s="418" t="str">
        <x:f>IF(AND(BP$7&gt;=$E50,BP$7&lt;=$F50),"■","")</x:f>
      </x:c>
    </x:row>
    <x:row r="51" ht="38" customHeight="1">
      <x:c r="B51" s="406" t="str">
        <x:v>5.9★</x:v>
      </x:c>
      <x:c r="C51" s="407" t="str">
        <x:v>batch 적재 완료→analytical Gate `READY`→감지→담당자 알림 trigger
[대기] 산출물: 트리거·알림 모듈</x:v>
      </x:c>
      <x:c r="D51" s="407" t="str">
        <x:v>김재홍</x:v>
      </x:c>
      <x:c r="E51" s="408" t="n">
        <x:v>46245</x:v>
      </x:c>
      <x:c r="F51" s="408" t="n">
        <x:v>46245</x:v>
      </x:c>
      <x:c r="G51" s="409" t="n">
        <x:f>MAX(0,F51-E51)</x:f>
        <x:v>0</x:v>
      </x:c>
      <x:c r="H51" s="410" t="n">
        <x:v>0</x:v>
      </x:c>
      <x:c r="I51" s="412" t="str">
        <x:f>IF(AND(I$7&gt;=$E51,I$7&lt;=$F51),"■","")</x:f>
      </x:c>
      <x:c r="J51" s="412" t="str">
        <x:f>IF(AND(J$7&gt;=$E51,J$7&lt;=$F51),"■","")</x:f>
      </x:c>
      <x:c r="K51" s="412" t="str">
        <x:f>IF(AND(K$7&gt;=$E51,K$7&lt;=$F51),"■","")</x:f>
      </x:c>
      <x:c r="L51" s="412" t="str">
        <x:f>IF(AND(L$7&gt;=$E51,L$7&lt;=$F51),"■","")</x:f>
      </x:c>
      <x:c r="M51" s="412" t="str">
        <x:f>IF(AND(M$7&gt;=$E51,M$7&lt;=$F51),"■","")</x:f>
      </x:c>
      <x:c r="N51" s="412" t="str">
        <x:f>IF(AND(N$7&gt;=$E51,N$7&lt;=$F51),"■","")</x:f>
      </x:c>
      <x:c r="O51" s="412" t="str">
        <x:f>IF(AND(O$7&gt;=$E51,O$7&lt;=$F51),"■","")</x:f>
      </x:c>
      <x:c r="P51" s="412" t="str">
        <x:f>IF(AND(P$7&gt;=$E51,P$7&lt;=$F51),"■","")</x:f>
      </x:c>
      <x:c r="Q51" s="412" t="str">
        <x:f>IF(AND(Q$7&gt;=$E51,Q$7&lt;=$F51),"■","")</x:f>
      </x:c>
      <x:c r="R51" s="412" t="str">
        <x:f>IF(AND(R$7&gt;=$E51,R$7&lt;=$F51),"■","")</x:f>
      </x:c>
      <x:c r="S51" s="412" t="str">
        <x:f>IF(AND(S$7&gt;=$E51,S$7&lt;=$F51),"■","")</x:f>
      </x:c>
      <x:c r="T51" s="412" t="str">
        <x:f>IF(AND(T$7&gt;=$E51,T$7&lt;=$F51),"■","")</x:f>
      </x:c>
      <x:c r="U51" s="412" t="str">
        <x:f>IF(AND(U$7&gt;=$E51,U$7&lt;=$F51),"■","")</x:f>
      </x:c>
      <x:c r="V51" s="412" t="str">
        <x:f>IF(AND(V$7&gt;=$E51,V$7&lt;=$F51),"■","")</x:f>
      </x:c>
      <x:c r="W51" s="412" t="str">
        <x:f>IF(AND(W$7&gt;=$E51,W$7&lt;=$F51),"■","")</x:f>
      </x:c>
      <x:c r="X51" s="414" t="str">
        <x:f>IF(AND(X$7&gt;=$E51,X$7&lt;=$F51),"■","")</x:f>
      </x:c>
      <x:c r="Y51" s="414" t="str">
        <x:f>IF(AND(Y$7&gt;=$E51,Y$7&lt;=$F51),"■","")</x:f>
      </x:c>
      <x:c r="Z51" s="414" t="str">
        <x:f>IF(AND(Z$7&gt;=$E51,Z$7&lt;=$F51),"■","")</x:f>
      </x:c>
      <x:c r="AA51" s="414" t="str">
        <x:f>IF(AND(AA$7&gt;=$E51,AA$7&lt;=$F51),"■","")</x:f>
      </x:c>
      <x:c r="AB51" s="414" t="str">
        <x:f>IF(AND(AB$7&gt;=$E51,AB$7&lt;=$F51),"■","")</x:f>
      </x:c>
      <x:c r="AC51" s="414" t="str">
        <x:f>IF(AND(AC$7&gt;=$E51,AC$7&lt;=$F51),"■","")</x:f>
      </x:c>
      <x:c r="AD51" s="414" t="str">
        <x:f>IF(AND(AD$7&gt;=$E51,AD$7&lt;=$F51),"■","")</x:f>
      </x:c>
      <x:c r="AE51" s="414" t="str">
        <x:f>IF(AND(AE$7&gt;=$E51,AE$7&lt;=$F51),"■","")</x:f>
      </x:c>
      <x:c r="AF51" s="414" t="str">
        <x:f>IF(AND(AF$7&gt;=$E51,AF$7&lt;=$F51),"■","")</x:f>
      </x:c>
      <x:c r="AG51" s="414" t="str">
        <x:f>IF(AND(AG$7&gt;=$E51,AG$7&lt;=$F51),"■","")</x:f>
      </x:c>
      <x:c r="AH51" s="414" t="str">
        <x:f>IF(AND(AH$7&gt;=$E51,AH$7&lt;=$F51),"■","")</x:f>
      </x:c>
      <x:c r="AI51" s="414" t="str">
        <x:f>IF(AND(AI$7&gt;=$E51,AI$7&lt;=$F51),"■","")</x:f>
        <x:v>■</x:v>
      </x:c>
      <x:c r="AJ51" s="414" t="str">
        <x:f>IF(AND(AJ$7&gt;=$E51,AJ$7&lt;=$F51),"■","")</x:f>
      </x:c>
      <x:c r="AK51" s="414" t="str">
        <x:f>IF(AND(AK$7&gt;=$E51,AK$7&lt;=$F51),"■","")</x:f>
      </x:c>
      <x:c r="AL51" s="414" t="str">
        <x:f>IF(AND(AL$7&gt;=$E51,AL$7&lt;=$F51),"■","")</x:f>
      </x:c>
      <x:c r="AM51" s="416" t="str">
        <x:f>IF(AND(AM$7&gt;=$E51,AM$7&lt;=$F51),"■","")</x:f>
      </x:c>
      <x:c r="AN51" s="416" t="str">
        <x:f>IF(AND(AN$7&gt;=$E51,AN$7&lt;=$F51),"■","")</x:f>
      </x:c>
      <x:c r="AO51" s="416" t="str">
        <x:f>IF(AND(AO$7&gt;=$E51,AO$7&lt;=$F51),"■","")</x:f>
      </x:c>
      <x:c r="AP51" s="416" t="str">
        <x:f>IF(AND(AP$7&gt;=$E51,AP$7&lt;=$F51),"■","")</x:f>
      </x:c>
      <x:c r="AQ51" s="416" t="str">
        <x:f>IF(AND(AQ$7&gt;=$E51,AQ$7&lt;=$F51),"■","")</x:f>
      </x:c>
      <x:c r="AR51" s="416" t="str">
        <x:f>IF(AND(AR$7&gt;=$E51,AR$7&lt;=$F51),"■","")</x:f>
      </x:c>
      <x:c r="AS51" s="416" t="str">
        <x:f>IF(AND(AS$7&gt;=$E51,AS$7&lt;=$F51),"■","")</x:f>
      </x:c>
      <x:c r="AT51" s="416" t="str">
        <x:f>IF(AND(AT$7&gt;=$E51,AT$7&lt;=$F51),"■","")</x:f>
      </x:c>
      <x:c r="AU51" s="416" t="str">
        <x:f>IF(AND(AU$7&gt;=$E51,AU$7&lt;=$F51),"■","")</x:f>
      </x:c>
      <x:c r="AV51" s="416" t="str">
        <x:f>IF(AND(AV$7&gt;=$E51,AV$7&lt;=$F51),"■","")</x:f>
      </x:c>
      <x:c r="AW51" s="416" t="str">
        <x:f>IF(AND(AW$7&gt;=$E51,AW$7&lt;=$F51),"■","")</x:f>
      </x:c>
      <x:c r="AX51" s="416" t="str">
        <x:f>IF(AND(AX$7&gt;=$E51,AX$7&lt;=$F51),"■","")</x:f>
      </x:c>
      <x:c r="AY51" s="416" t="str">
        <x:f>IF(AND(AY$7&gt;=$E51,AY$7&lt;=$F51),"■","")</x:f>
      </x:c>
      <x:c r="AZ51" s="416" t="str">
        <x:f>IF(AND(AZ$7&gt;=$E51,AZ$7&lt;=$F51),"■","")</x:f>
      </x:c>
      <x:c r="BA51" s="416" t="str">
        <x:f>IF(AND(BA$7&gt;=$E51,BA$7&lt;=$F51),"■","")</x:f>
      </x:c>
      <x:c r="BB51" s="418" t="str">
        <x:f>IF(AND(BB$7&gt;=$E51,BB$7&lt;=$F51),"■","")</x:f>
      </x:c>
      <x:c r="BC51" s="418" t="str">
        <x:f>IF(AND(BC$7&gt;=$E51,BC$7&lt;=$F51),"■","")</x:f>
      </x:c>
      <x:c r="BD51" s="418" t="str">
        <x:f>IF(AND(BD$7&gt;=$E51,BD$7&lt;=$F51),"■","")</x:f>
      </x:c>
      <x:c r="BE51" s="418" t="str">
        <x:f>IF(AND(BE$7&gt;=$E51,BE$7&lt;=$F51),"■","")</x:f>
      </x:c>
      <x:c r="BF51" s="418" t="str">
        <x:f>IF(AND(BF$7&gt;=$E51,BF$7&lt;=$F51),"■","")</x:f>
      </x:c>
      <x:c r="BG51" s="418" t="str">
        <x:f>IF(AND(BG$7&gt;=$E51,BG$7&lt;=$F51),"■","")</x:f>
      </x:c>
      <x:c r="BH51" s="418" t="str">
        <x:f>IF(AND(BH$7&gt;=$E51,BH$7&lt;=$F51),"■","")</x:f>
      </x:c>
      <x:c r="BI51" s="418" t="str">
        <x:f>IF(AND(BI$7&gt;=$E51,BI$7&lt;=$F51),"■","")</x:f>
      </x:c>
      <x:c r="BJ51" s="418" t="str">
        <x:f>IF(AND(BJ$7&gt;=$E51,BJ$7&lt;=$F51),"■","")</x:f>
      </x:c>
      <x:c r="BK51" s="418" t="str">
        <x:f>IF(AND(BK$7&gt;=$E51,BK$7&lt;=$F51),"■","")</x:f>
      </x:c>
      <x:c r="BL51" s="418" t="str">
        <x:f>IF(AND(BL$7&gt;=$E51,BL$7&lt;=$F51),"■","")</x:f>
      </x:c>
      <x:c r="BM51" s="418" t="str">
        <x:f>IF(AND(BM$7&gt;=$E51,BM$7&lt;=$F51),"■","")</x:f>
      </x:c>
      <x:c r="BN51" s="418" t="str">
        <x:f>IF(AND(BN$7&gt;=$E51,BN$7&lt;=$F51),"■","")</x:f>
      </x:c>
      <x:c r="BO51" s="418" t="str">
        <x:f>IF(AND(BO$7&gt;=$E51,BO$7&lt;=$F51),"■","")</x:f>
      </x:c>
      <x:c r="BP51" s="418" t="str">
        <x:f>IF(AND(BP$7&gt;=$E51,BP$7&lt;=$F51),"■","")</x:f>
      </x:c>
    </x:row>
    <x:row r="52" ht="38" customHeight="1">
      <x:c r="B52" s="406" t="str">
        <x:v>5.10★</x:v>
      </x:c>
      <x:c r="C52" s="407" t="str">
        <x:v>versioned rule 명세 구현·생성 규칙과 독립성 교차 리뷰
[대기] 산출물: 탐지 rule 모듈</x:v>
      </x:c>
      <x:c r="D52" s="407" t="str">
        <x:v>윤대성·정승</x:v>
      </x:c>
      <x:c r="E52" s="408" t="n">
        <x:v>46238</x:v>
      </x:c>
      <x:c r="F52" s="408" t="n">
        <x:v>46241</x:v>
      </x:c>
      <x:c r="G52" s="409" t="n">
        <x:f>MAX(0,F52-E52)</x:f>
        <x:v>3</x:v>
      </x:c>
      <x:c r="H52" s="410" t="n">
        <x:v>0</x:v>
      </x:c>
      <x:c r="I52" s="412" t="str">
        <x:f>IF(AND(I$7&gt;=$E52,I$7&lt;=$F52),"■","")</x:f>
      </x:c>
      <x:c r="J52" s="412" t="str">
        <x:f>IF(AND(J$7&gt;=$E52,J$7&lt;=$F52),"■","")</x:f>
      </x:c>
      <x:c r="K52" s="412" t="str">
        <x:f>IF(AND(K$7&gt;=$E52,K$7&lt;=$F52),"■","")</x:f>
      </x:c>
      <x:c r="L52" s="412" t="str">
        <x:f>IF(AND(L$7&gt;=$E52,L$7&lt;=$F52),"■","")</x:f>
      </x:c>
      <x:c r="M52" s="412" t="str">
        <x:f>IF(AND(M$7&gt;=$E52,M$7&lt;=$F52),"■","")</x:f>
      </x:c>
      <x:c r="N52" s="412" t="str">
        <x:f>IF(AND(N$7&gt;=$E52,N$7&lt;=$F52),"■","")</x:f>
      </x:c>
      <x:c r="O52" s="412" t="str">
        <x:f>IF(AND(O$7&gt;=$E52,O$7&lt;=$F52),"■","")</x:f>
      </x:c>
      <x:c r="P52" s="412" t="str">
        <x:f>IF(AND(P$7&gt;=$E52,P$7&lt;=$F52),"■","")</x:f>
      </x:c>
      <x:c r="Q52" s="412" t="str">
        <x:f>IF(AND(Q$7&gt;=$E52,Q$7&lt;=$F52),"■","")</x:f>
      </x:c>
      <x:c r="R52" s="412" t="str">
        <x:f>IF(AND(R$7&gt;=$E52,R$7&lt;=$F52),"■","")</x:f>
      </x:c>
      <x:c r="S52" s="412" t="str">
        <x:f>IF(AND(S$7&gt;=$E52,S$7&lt;=$F52),"■","")</x:f>
      </x:c>
      <x:c r="T52" s="412" t="str">
        <x:f>IF(AND(T$7&gt;=$E52,T$7&lt;=$F52),"■","")</x:f>
      </x:c>
      <x:c r="U52" s="412" t="str">
        <x:f>IF(AND(U$7&gt;=$E52,U$7&lt;=$F52),"■","")</x:f>
      </x:c>
      <x:c r="V52" s="412" t="str">
        <x:f>IF(AND(V$7&gt;=$E52,V$7&lt;=$F52),"■","")</x:f>
      </x:c>
      <x:c r="W52" s="412" t="str">
        <x:f>IF(AND(W$7&gt;=$E52,W$7&lt;=$F52),"■","")</x:f>
      </x:c>
      <x:c r="X52" s="414" t="str">
        <x:f>IF(AND(X$7&gt;=$E52,X$7&lt;=$F52),"■","")</x:f>
      </x:c>
      <x:c r="Y52" s="414" t="str">
        <x:f>IF(AND(Y$7&gt;=$E52,Y$7&lt;=$F52),"■","")</x:f>
      </x:c>
      <x:c r="Z52" s="414" t="str">
        <x:f>IF(AND(Z$7&gt;=$E52,Z$7&lt;=$F52),"■","")</x:f>
      </x:c>
      <x:c r="AA52" s="414" t="str">
        <x:f>IF(AND(AA$7&gt;=$E52,AA$7&lt;=$F52),"■","")</x:f>
      </x:c>
      <x:c r="AB52" s="414" t="str">
        <x:f>IF(AND(AB$7&gt;=$E52,AB$7&lt;=$F52),"■","")</x:f>
      </x:c>
      <x:c r="AC52" s="414" t="str">
        <x:f>IF(AND(AC$7&gt;=$E52,AC$7&lt;=$F52),"■","")</x:f>
      </x:c>
      <x:c r="AD52" s="414" t="str">
        <x:f>IF(AND(AD$7&gt;=$E52,AD$7&lt;=$F52),"■","")</x:f>
        <x:v>■</x:v>
      </x:c>
      <x:c r="AE52" s="414" t="str">
        <x:f>IF(AND(AE$7&gt;=$E52,AE$7&lt;=$F52),"■","")</x:f>
        <x:v>■</x:v>
      </x:c>
      <x:c r="AF52" s="414" t="str">
        <x:f>IF(AND(AF$7&gt;=$E52,AF$7&lt;=$F52),"■","")</x:f>
        <x:v>■</x:v>
      </x:c>
      <x:c r="AG52" s="414" t="str">
        <x:f>IF(AND(AG$7&gt;=$E52,AG$7&lt;=$F52),"■","")</x:f>
        <x:v>■</x:v>
      </x:c>
      <x:c r="AH52" s="414" t="str">
        <x:f>IF(AND(AH$7&gt;=$E52,AH$7&lt;=$F52),"■","")</x:f>
      </x:c>
      <x:c r="AI52" s="414" t="str">
        <x:f>IF(AND(AI$7&gt;=$E52,AI$7&lt;=$F52),"■","")</x:f>
      </x:c>
      <x:c r="AJ52" s="414" t="str">
        <x:f>IF(AND(AJ$7&gt;=$E52,AJ$7&lt;=$F52),"■","")</x:f>
      </x:c>
      <x:c r="AK52" s="414" t="str">
        <x:f>IF(AND(AK$7&gt;=$E52,AK$7&lt;=$F52),"■","")</x:f>
      </x:c>
      <x:c r="AL52" s="414" t="str">
        <x:f>IF(AND(AL$7&gt;=$E52,AL$7&lt;=$F52),"■","")</x:f>
      </x:c>
      <x:c r="AM52" s="416" t="str">
        <x:f>IF(AND(AM$7&gt;=$E52,AM$7&lt;=$F52),"■","")</x:f>
      </x:c>
      <x:c r="AN52" s="416" t="str">
        <x:f>IF(AND(AN$7&gt;=$E52,AN$7&lt;=$F52),"■","")</x:f>
      </x:c>
      <x:c r="AO52" s="416" t="str">
        <x:f>IF(AND(AO$7&gt;=$E52,AO$7&lt;=$F52),"■","")</x:f>
      </x:c>
      <x:c r="AP52" s="416" t="str">
        <x:f>IF(AND(AP$7&gt;=$E52,AP$7&lt;=$F52),"■","")</x:f>
      </x:c>
      <x:c r="AQ52" s="416" t="str">
        <x:f>IF(AND(AQ$7&gt;=$E52,AQ$7&lt;=$F52),"■","")</x:f>
      </x:c>
      <x:c r="AR52" s="416" t="str">
        <x:f>IF(AND(AR$7&gt;=$E52,AR$7&lt;=$F52),"■","")</x:f>
      </x:c>
      <x:c r="AS52" s="416" t="str">
        <x:f>IF(AND(AS$7&gt;=$E52,AS$7&lt;=$F52),"■","")</x:f>
      </x:c>
      <x:c r="AT52" s="416" t="str">
        <x:f>IF(AND(AT$7&gt;=$E52,AT$7&lt;=$F52),"■","")</x:f>
      </x:c>
      <x:c r="AU52" s="416" t="str">
        <x:f>IF(AND(AU$7&gt;=$E52,AU$7&lt;=$F52),"■","")</x:f>
      </x:c>
      <x:c r="AV52" s="416" t="str">
        <x:f>IF(AND(AV$7&gt;=$E52,AV$7&lt;=$F52),"■","")</x:f>
      </x:c>
      <x:c r="AW52" s="416" t="str">
        <x:f>IF(AND(AW$7&gt;=$E52,AW$7&lt;=$F52),"■","")</x:f>
      </x:c>
      <x:c r="AX52" s="416" t="str">
        <x:f>IF(AND(AX$7&gt;=$E52,AX$7&lt;=$F52),"■","")</x:f>
      </x:c>
      <x:c r="AY52" s="416" t="str">
        <x:f>IF(AND(AY$7&gt;=$E52,AY$7&lt;=$F52),"■","")</x:f>
      </x:c>
      <x:c r="AZ52" s="416" t="str">
        <x:f>IF(AND(AZ$7&gt;=$E52,AZ$7&lt;=$F52),"■","")</x:f>
      </x:c>
      <x:c r="BA52" s="416" t="str">
        <x:f>IF(AND(BA$7&gt;=$E52,BA$7&lt;=$F52),"■","")</x:f>
      </x:c>
      <x:c r="BB52" s="418" t="str">
        <x:f>IF(AND(BB$7&gt;=$E52,BB$7&lt;=$F52),"■","")</x:f>
      </x:c>
      <x:c r="BC52" s="418" t="str">
        <x:f>IF(AND(BC$7&gt;=$E52,BC$7&lt;=$F52),"■","")</x:f>
      </x:c>
      <x:c r="BD52" s="418" t="str">
        <x:f>IF(AND(BD$7&gt;=$E52,BD$7&lt;=$F52),"■","")</x:f>
      </x:c>
      <x:c r="BE52" s="418" t="str">
        <x:f>IF(AND(BE$7&gt;=$E52,BE$7&lt;=$F52),"■","")</x:f>
      </x:c>
      <x:c r="BF52" s="418" t="str">
        <x:f>IF(AND(BF$7&gt;=$E52,BF$7&lt;=$F52),"■","")</x:f>
      </x:c>
      <x:c r="BG52" s="418" t="str">
        <x:f>IF(AND(BG$7&gt;=$E52,BG$7&lt;=$F52),"■","")</x:f>
      </x:c>
      <x:c r="BH52" s="418" t="str">
        <x:f>IF(AND(BH$7&gt;=$E52,BH$7&lt;=$F52),"■","")</x:f>
      </x:c>
      <x:c r="BI52" s="418" t="str">
        <x:f>IF(AND(BI$7&gt;=$E52,BI$7&lt;=$F52),"■","")</x:f>
      </x:c>
      <x:c r="BJ52" s="418" t="str">
        <x:f>IF(AND(BJ$7&gt;=$E52,BJ$7&lt;=$F52),"■","")</x:f>
      </x:c>
      <x:c r="BK52" s="418" t="str">
        <x:f>IF(AND(BK$7&gt;=$E52,BK$7&lt;=$F52),"■","")</x:f>
      </x:c>
      <x:c r="BL52" s="418" t="str">
        <x:f>IF(AND(BL$7&gt;=$E52,BL$7&lt;=$F52),"■","")</x:f>
      </x:c>
      <x:c r="BM52" s="418" t="str">
        <x:f>IF(AND(BM$7&gt;=$E52,BM$7&lt;=$F52),"■","")</x:f>
      </x:c>
      <x:c r="BN52" s="418" t="str">
        <x:f>IF(AND(BN$7&gt;=$E52,BN$7&lt;=$F52),"■","")</x:f>
      </x:c>
      <x:c r="BO52" s="418" t="str">
        <x:f>IF(AND(BO$7&gt;=$E52,BO$7&lt;=$F52),"■","")</x:f>
      </x:c>
      <x:c r="BP52" s="418" t="str">
        <x:f>IF(AND(BP$7&gt;=$E52,BP$7&lt;=$F52),"■","")</x:f>
      </x:c>
    </x:row>
    <x:row r="53" ht="24" customHeight="1">
      <x:c r="B53" s="425" t="str">
        <x:v>6</x:v>
      </x:c>
      <x:c r="C53" s="426" t="str">
        <x:v>Agent·화면·리포트</x:v>
      </x:c>
      <x:c r="D53" s="426"/>
      <x:c r="E53" s="427"/>
      <x:c r="F53" s="427"/>
      <x:c r="G53" s="428"/>
      <x:c r="H53" s="429"/>
      <x:c r="I53" s="430"/>
      <x:c r="J53" s="430"/>
      <x:c r="K53" s="430"/>
      <x:c r="L53" s="430"/>
      <x:c r="M53" s="430"/>
      <x:c r="N53" s="430"/>
      <x:c r="O53" s="430"/>
      <x:c r="P53" s="430"/>
      <x:c r="Q53" s="430"/>
      <x:c r="R53" s="430"/>
      <x:c r="S53" s="430"/>
      <x:c r="T53" s="430"/>
      <x:c r="U53" s="430"/>
      <x:c r="V53" s="430"/>
      <x:c r="W53" s="430"/>
      <x:c r="X53" s="430"/>
      <x:c r="Y53" s="430"/>
      <x:c r="Z53" s="430"/>
      <x:c r="AA53" s="430"/>
      <x:c r="AB53" s="430"/>
      <x:c r="AC53" s="430"/>
      <x:c r="AD53" s="430"/>
      <x:c r="AE53" s="430"/>
      <x:c r="AF53" s="430"/>
      <x:c r="AG53" s="430"/>
      <x:c r="AH53" s="430"/>
      <x:c r="AI53" s="430"/>
      <x:c r="AJ53" s="430"/>
      <x:c r="AK53" s="430"/>
      <x:c r="AL53" s="430"/>
      <x:c r="AM53" s="430"/>
      <x:c r="AN53" s="430"/>
      <x:c r="AO53" s="430"/>
      <x:c r="AP53" s="430"/>
      <x:c r="AQ53" s="430"/>
      <x:c r="AR53" s="430"/>
      <x:c r="AS53" s="430"/>
      <x:c r="AT53" s="430"/>
      <x:c r="AU53" s="430"/>
      <x:c r="AV53" s="430"/>
      <x:c r="AW53" s="430"/>
      <x:c r="AX53" s="430"/>
      <x:c r="AY53" s="430"/>
      <x:c r="AZ53" s="430"/>
      <x:c r="BA53" s="430"/>
      <x:c r="BB53" s="430"/>
      <x:c r="BC53" s="430"/>
      <x:c r="BD53" s="430"/>
      <x:c r="BE53" s="430"/>
      <x:c r="BF53" s="430"/>
      <x:c r="BG53" s="430"/>
      <x:c r="BH53" s="430"/>
      <x:c r="BI53" s="430"/>
      <x:c r="BJ53" s="430"/>
      <x:c r="BK53" s="430"/>
      <x:c r="BL53" s="430"/>
      <x:c r="BM53" s="430"/>
      <x:c r="BN53" s="430"/>
      <x:c r="BO53" s="430"/>
      <x:c r="BP53" s="430"/>
    </x:row>
    <x:row r="54" ht="38" customHeight="1">
      <x:c r="B54" s="406" t="str">
        <x:v>6.1</x:v>
      </x:c>
      <x:c r="C54" s="407" t="str">
        <x:v>Django session 로그인·3역할 골격
[대기] 산출물: 인증·RBAC</x:v>
      </x:c>
      <x:c r="D54" s="407" t="str">
        <x:v>김재홍</x:v>
      </x:c>
      <x:c r="E54" s="408" t="n">
        <x:v>46231</x:v>
      </x:c>
      <x:c r="F54" s="408" t="n">
        <x:v>46233</x:v>
      </x:c>
      <x:c r="G54" s="409" t="n">
        <x:f>MAX(0,F54-E54)</x:f>
        <x:v>2</x:v>
      </x:c>
      <x:c r="H54" s="410" t="n">
        <x:v>0</x:v>
      </x:c>
      <x:c r="I54" s="412" t="str">
        <x:f>IF(AND(I$7&gt;=$E54,I$7&lt;=$F54),"■","")</x:f>
      </x:c>
      <x:c r="J54" s="412" t="str">
        <x:f>IF(AND(J$7&gt;=$E54,J$7&lt;=$F54),"■","")</x:f>
      </x:c>
      <x:c r="K54" s="412" t="str">
        <x:f>IF(AND(K$7&gt;=$E54,K$7&lt;=$F54),"■","")</x:f>
      </x:c>
      <x:c r="L54" s="412" t="str">
        <x:f>IF(AND(L$7&gt;=$E54,L$7&lt;=$F54),"■","")</x:f>
      </x:c>
      <x:c r="M54" s="412" t="str">
        <x:f>IF(AND(M$7&gt;=$E54,M$7&lt;=$F54),"■","")</x:f>
      </x:c>
      <x:c r="N54" s="412" t="str">
        <x:f>IF(AND(N$7&gt;=$E54,N$7&lt;=$F54),"■","")</x:f>
      </x:c>
      <x:c r="O54" s="412" t="str">
        <x:f>IF(AND(O$7&gt;=$E54,O$7&lt;=$F54),"■","")</x:f>
      </x:c>
      <x:c r="P54" s="412" t="str">
        <x:f>IF(AND(P$7&gt;=$E54,P$7&lt;=$F54),"■","")</x:f>
      </x:c>
      <x:c r="Q54" s="412" t="str">
        <x:f>IF(AND(Q$7&gt;=$E54,Q$7&lt;=$F54),"■","")</x:f>
      </x:c>
      <x:c r="R54" s="412" t="str">
        <x:f>IF(AND(R$7&gt;=$E54,R$7&lt;=$F54),"■","")</x:f>
      </x:c>
      <x:c r="S54" s="412" t="str">
        <x:f>IF(AND(S$7&gt;=$E54,S$7&lt;=$F54),"■","")</x:f>
      </x:c>
      <x:c r="T54" s="412" t="str">
        <x:f>IF(AND(T$7&gt;=$E54,T$7&lt;=$F54),"■","")</x:f>
      </x:c>
      <x:c r="U54" s="412" t="str">
        <x:f>IF(AND(U$7&gt;=$E54,U$7&lt;=$F54),"■","")</x:f>
      </x:c>
      <x:c r="V54" s="412" t="str">
        <x:f>IF(AND(V$7&gt;=$E54,V$7&lt;=$F54),"■","")</x:f>
      </x:c>
      <x:c r="W54" s="412" t="str">
        <x:f>IF(AND(W$7&gt;=$E54,W$7&lt;=$F54),"■","")</x:f>
      </x:c>
      <x:c r="X54" s="414" t="str">
        <x:f>IF(AND(X$7&gt;=$E54,X$7&lt;=$F54),"■","")</x:f>
      </x:c>
      <x:c r="Y54" s="414" t="str">
        <x:f>IF(AND(Y$7&gt;=$E54,Y$7&lt;=$F54),"■","")</x:f>
        <x:v>■</x:v>
      </x:c>
      <x:c r="Z54" s="414" t="str">
        <x:f>IF(AND(Z$7&gt;=$E54,Z$7&lt;=$F54),"■","")</x:f>
        <x:v>■</x:v>
      </x:c>
      <x:c r="AA54" s="414" t="str">
        <x:f>IF(AND(AA$7&gt;=$E54,AA$7&lt;=$F54),"■","")</x:f>
        <x:v>■</x:v>
      </x:c>
      <x:c r="AB54" s="414" t="str">
        <x:f>IF(AND(AB$7&gt;=$E54,AB$7&lt;=$F54),"■","")</x:f>
      </x:c>
      <x:c r="AC54" s="414" t="str">
        <x:f>IF(AND(AC$7&gt;=$E54,AC$7&lt;=$F54),"■","")</x:f>
      </x:c>
      <x:c r="AD54" s="414" t="str">
        <x:f>IF(AND(AD$7&gt;=$E54,AD$7&lt;=$F54),"■","")</x:f>
      </x:c>
      <x:c r="AE54" s="414" t="str">
        <x:f>IF(AND(AE$7&gt;=$E54,AE$7&lt;=$F54),"■","")</x:f>
      </x:c>
      <x:c r="AF54" s="414" t="str">
        <x:f>IF(AND(AF$7&gt;=$E54,AF$7&lt;=$F54),"■","")</x:f>
      </x:c>
      <x:c r="AG54" s="414" t="str">
        <x:f>IF(AND(AG$7&gt;=$E54,AG$7&lt;=$F54),"■","")</x:f>
      </x:c>
      <x:c r="AH54" s="414" t="str">
        <x:f>IF(AND(AH$7&gt;=$E54,AH$7&lt;=$F54),"■","")</x:f>
      </x:c>
      <x:c r="AI54" s="414" t="str">
        <x:f>IF(AND(AI$7&gt;=$E54,AI$7&lt;=$F54),"■","")</x:f>
      </x:c>
      <x:c r="AJ54" s="414" t="str">
        <x:f>IF(AND(AJ$7&gt;=$E54,AJ$7&lt;=$F54),"■","")</x:f>
      </x:c>
      <x:c r="AK54" s="414" t="str">
        <x:f>IF(AND(AK$7&gt;=$E54,AK$7&lt;=$F54),"■","")</x:f>
      </x:c>
      <x:c r="AL54" s="414" t="str">
        <x:f>IF(AND(AL$7&gt;=$E54,AL$7&lt;=$F54),"■","")</x:f>
      </x:c>
      <x:c r="AM54" s="416" t="str">
        <x:f>IF(AND(AM$7&gt;=$E54,AM$7&lt;=$F54),"■","")</x:f>
      </x:c>
      <x:c r="AN54" s="416" t="str">
        <x:f>IF(AND(AN$7&gt;=$E54,AN$7&lt;=$F54),"■","")</x:f>
      </x:c>
      <x:c r="AO54" s="416" t="str">
        <x:f>IF(AND(AO$7&gt;=$E54,AO$7&lt;=$F54),"■","")</x:f>
      </x:c>
      <x:c r="AP54" s="416" t="str">
        <x:f>IF(AND(AP$7&gt;=$E54,AP$7&lt;=$F54),"■","")</x:f>
      </x:c>
      <x:c r="AQ54" s="416" t="str">
        <x:f>IF(AND(AQ$7&gt;=$E54,AQ$7&lt;=$F54),"■","")</x:f>
      </x:c>
      <x:c r="AR54" s="416" t="str">
        <x:f>IF(AND(AR$7&gt;=$E54,AR$7&lt;=$F54),"■","")</x:f>
      </x:c>
      <x:c r="AS54" s="416" t="str">
        <x:f>IF(AND(AS$7&gt;=$E54,AS$7&lt;=$F54),"■","")</x:f>
      </x:c>
      <x:c r="AT54" s="416" t="str">
        <x:f>IF(AND(AT$7&gt;=$E54,AT$7&lt;=$F54),"■","")</x:f>
      </x:c>
      <x:c r="AU54" s="416" t="str">
        <x:f>IF(AND(AU$7&gt;=$E54,AU$7&lt;=$F54),"■","")</x:f>
      </x:c>
      <x:c r="AV54" s="416" t="str">
        <x:f>IF(AND(AV$7&gt;=$E54,AV$7&lt;=$F54),"■","")</x:f>
      </x:c>
      <x:c r="AW54" s="416" t="str">
        <x:f>IF(AND(AW$7&gt;=$E54,AW$7&lt;=$F54),"■","")</x:f>
      </x:c>
      <x:c r="AX54" s="416" t="str">
        <x:f>IF(AND(AX$7&gt;=$E54,AX$7&lt;=$F54),"■","")</x:f>
      </x:c>
      <x:c r="AY54" s="416" t="str">
        <x:f>IF(AND(AY$7&gt;=$E54,AY$7&lt;=$F54),"■","")</x:f>
      </x:c>
      <x:c r="AZ54" s="416" t="str">
        <x:f>IF(AND(AZ$7&gt;=$E54,AZ$7&lt;=$F54),"■","")</x:f>
      </x:c>
      <x:c r="BA54" s="416" t="str">
        <x:f>IF(AND(BA$7&gt;=$E54,BA$7&lt;=$F54),"■","")</x:f>
      </x:c>
      <x:c r="BB54" s="418" t="str">
        <x:f>IF(AND(BB$7&gt;=$E54,BB$7&lt;=$F54),"■","")</x:f>
      </x:c>
      <x:c r="BC54" s="418" t="str">
        <x:f>IF(AND(BC$7&gt;=$E54,BC$7&lt;=$F54),"■","")</x:f>
      </x:c>
      <x:c r="BD54" s="418" t="str">
        <x:f>IF(AND(BD$7&gt;=$E54,BD$7&lt;=$F54),"■","")</x:f>
      </x:c>
      <x:c r="BE54" s="418" t="str">
        <x:f>IF(AND(BE$7&gt;=$E54,BE$7&lt;=$F54),"■","")</x:f>
      </x:c>
      <x:c r="BF54" s="418" t="str">
        <x:f>IF(AND(BF$7&gt;=$E54,BF$7&lt;=$F54),"■","")</x:f>
      </x:c>
      <x:c r="BG54" s="418" t="str">
        <x:f>IF(AND(BG$7&gt;=$E54,BG$7&lt;=$F54),"■","")</x:f>
      </x:c>
      <x:c r="BH54" s="418" t="str">
        <x:f>IF(AND(BH$7&gt;=$E54,BH$7&lt;=$F54),"■","")</x:f>
      </x:c>
      <x:c r="BI54" s="418" t="str">
        <x:f>IF(AND(BI$7&gt;=$E54,BI$7&lt;=$F54),"■","")</x:f>
      </x:c>
      <x:c r="BJ54" s="418" t="str">
        <x:f>IF(AND(BJ$7&gt;=$E54,BJ$7&lt;=$F54),"■","")</x:f>
      </x:c>
      <x:c r="BK54" s="418" t="str">
        <x:f>IF(AND(BK$7&gt;=$E54,BK$7&lt;=$F54),"■","")</x:f>
      </x:c>
      <x:c r="BL54" s="418" t="str">
        <x:f>IF(AND(BL$7&gt;=$E54,BL$7&lt;=$F54),"■","")</x:f>
      </x:c>
      <x:c r="BM54" s="418" t="str">
        <x:f>IF(AND(BM$7&gt;=$E54,BM$7&lt;=$F54),"■","")</x:f>
      </x:c>
      <x:c r="BN54" s="418" t="str">
        <x:f>IF(AND(BN$7&gt;=$E54,BN$7&lt;=$F54),"■","")</x:f>
      </x:c>
      <x:c r="BO54" s="418" t="str">
        <x:f>IF(AND(BO$7&gt;=$E54,BO$7&lt;=$F54),"■","")</x:f>
      </x:c>
      <x:c r="BP54" s="418" t="str">
        <x:f>IF(AND(BP$7&gt;=$E54,BP$7&lt;=$F54),"■","")</x:f>
      </x:c>
    </x:row>
    <x:row r="55" ht="38" customHeight="1">
      <x:c r="B55" s="406" t="str">
        <x:v>6.2</x:v>
      </x:c>
      <x:c r="C55" s="407" t="str">
        <x:v>Django `/api/v1/*` job·polling·scope·audit·report decision·알림/조치 API
[대기] 산출물: 업무 API</x:v>
      </x:c>
      <x:c r="D55" s="407" t="str">
        <x:v>김재홍</x:v>
      </x:c>
      <x:c r="E55" s="408" t="n">
        <x:v>46234</x:v>
      </x:c>
      <x:c r="F55" s="408" t="n">
        <x:v>46238</x:v>
      </x:c>
      <x:c r="G55" s="409" t="n">
        <x:f>MAX(0,F55-E55)</x:f>
        <x:v>4</x:v>
      </x:c>
      <x:c r="H55" s="410" t="n">
        <x:v>0</x:v>
      </x:c>
      <x:c r="I55" s="412" t="str">
        <x:f>IF(AND(I$7&gt;=$E55,I$7&lt;=$F55),"■","")</x:f>
      </x:c>
      <x:c r="J55" s="412" t="str">
        <x:f>IF(AND(J$7&gt;=$E55,J$7&lt;=$F55),"■","")</x:f>
      </x:c>
      <x:c r="K55" s="412" t="str">
        <x:f>IF(AND(K$7&gt;=$E55,K$7&lt;=$F55),"■","")</x:f>
      </x:c>
      <x:c r="L55" s="412" t="str">
        <x:f>IF(AND(L$7&gt;=$E55,L$7&lt;=$F55),"■","")</x:f>
      </x:c>
      <x:c r="M55" s="412" t="str">
        <x:f>IF(AND(M$7&gt;=$E55,M$7&lt;=$F55),"■","")</x:f>
      </x:c>
      <x:c r="N55" s="412" t="str">
        <x:f>IF(AND(N$7&gt;=$E55,N$7&lt;=$F55),"■","")</x:f>
      </x:c>
      <x:c r="O55" s="412" t="str">
        <x:f>IF(AND(O$7&gt;=$E55,O$7&lt;=$F55),"■","")</x:f>
      </x:c>
      <x:c r="P55" s="412" t="str">
        <x:f>IF(AND(P$7&gt;=$E55,P$7&lt;=$F55),"■","")</x:f>
      </x:c>
      <x:c r="Q55" s="412" t="str">
        <x:f>IF(AND(Q$7&gt;=$E55,Q$7&lt;=$F55),"■","")</x:f>
      </x:c>
      <x:c r="R55" s="412" t="str">
        <x:f>IF(AND(R$7&gt;=$E55,R$7&lt;=$F55),"■","")</x:f>
      </x:c>
      <x:c r="S55" s="412" t="str">
        <x:f>IF(AND(S$7&gt;=$E55,S$7&lt;=$F55),"■","")</x:f>
      </x:c>
      <x:c r="T55" s="412" t="str">
        <x:f>IF(AND(T$7&gt;=$E55,T$7&lt;=$F55),"■","")</x:f>
      </x:c>
      <x:c r="U55" s="412" t="str">
        <x:f>IF(AND(U$7&gt;=$E55,U$7&lt;=$F55),"■","")</x:f>
      </x:c>
      <x:c r="V55" s="412" t="str">
        <x:f>IF(AND(V$7&gt;=$E55,V$7&lt;=$F55),"■","")</x:f>
      </x:c>
      <x:c r="W55" s="412" t="str">
        <x:f>IF(AND(W$7&gt;=$E55,W$7&lt;=$F55),"■","")</x:f>
      </x:c>
      <x:c r="X55" s="414" t="str">
        <x:f>IF(AND(X$7&gt;=$E55,X$7&lt;=$F55),"■","")</x:f>
      </x:c>
      <x:c r="Y55" s="414" t="str">
        <x:f>IF(AND(Y$7&gt;=$E55,Y$7&lt;=$F55),"■","")</x:f>
      </x:c>
      <x:c r="Z55" s="414" t="str">
        <x:f>IF(AND(Z$7&gt;=$E55,Z$7&lt;=$F55),"■","")</x:f>
      </x:c>
      <x:c r="AA55" s="414" t="str">
        <x:f>IF(AND(AA$7&gt;=$E55,AA$7&lt;=$F55),"■","")</x:f>
      </x:c>
      <x:c r="AB55" s="414" t="str">
        <x:f>IF(AND(AB$7&gt;=$E55,AB$7&lt;=$F55),"■","")</x:f>
        <x:v>■</x:v>
      </x:c>
      <x:c r="AC55" s="414" t="str">
        <x:f>IF(AND(AC$7&gt;=$E55,AC$7&lt;=$F55),"■","")</x:f>
        <x:v>■</x:v>
      </x:c>
      <x:c r="AD55" s="414" t="str">
        <x:f>IF(AND(AD$7&gt;=$E55,AD$7&lt;=$F55),"■","")</x:f>
        <x:v>■</x:v>
      </x:c>
      <x:c r="AE55" s="414" t="str">
        <x:f>IF(AND(AE$7&gt;=$E55,AE$7&lt;=$F55),"■","")</x:f>
      </x:c>
      <x:c r="AF55" s="414" t="str">
        <x:f>IF(AND(AF$7&gt;=$E55,AF$7&lt;=$F55),"■","")</x:f>
      </x:c>
      <x:c r="AG55" s="414" t="str">
        <x:f>IF(AND(AG$7&gt;=$E55,AG$7&lt;=$F55),"■","")</x:f>
      </x:c>
      <x:c r="AH55" s="414" t="str">
        <x:f>IF(AND(AH$7&gt;=$E55,AH$7&lt;=$F55),"■","")</x:f>
      </x:c>
      <x:c r="AI55" s="414" t="str">
        <x:f>IF(AND(AI$7&gt;=$E55,AI$7&lt;=$F55),"■","")</x:f>
      </x:c>
      <x:c r="AJ55" s="414" t="str">
        <x:f>IF(AND(AJ$7&gt;=$E55,AJ$7&lt;=$F55),"■","")</x:f>
      </x:c>
      <x:c r="AK55" s="414" t="str">
        <x:f>IF(AND(AK$7&gt;=$E55,AK$7&lt;=$F55),"■","")</x:f>
      </x:c>
      <x:c r="AL55" s="414" t="str">
        <x:f>IF(AND(AL$7&gt;=$E55,AL$7&lt;=$F55),"■","")</x:f>
      </x:c>
      <x:c r="AM55" s="416" t="str">
        <x:f>IF(AND(AM$7&gt;=$E55,AM$7&lt;=$F55),"■","")</x:f>
      </x:c>
      <x:c r="AN55" s="416" t="str">
        <x:f>IF(AND(AN$7&gt;=$E55,AN$7&lt;=$F55),"■","")</x:f>
      </x:c>
      <x:c r="AO55" s="416" t="str">
        <x:f>IF(AND(AO$7&gt;=$E55,AO$7&lt;=$F55),"■","")</x:f>
      </x:c>
      <x:c r="AP55" s="416" t="str">
        <x:f>IF(AND(AP$7&gt;=$E55,AP$7&lt;=$F55),"■","")</x:f>
      </x:c>
      <x:c r="AQ55" s="416" t="str">
        <x:f>IF(AND(AQ$7&gt;=$E55,AQ$7&lt;=$F55),"■","")</x:f>
      </x:c>
      <x:c r="AR55" s="416" t="str">
        <x:f>IF(AND(AR$7&gt;=$E55,AR$7&lt;=$F55),"■","")</x:f>
      </x:c>
      <x:c r="AS55" s="416" t="str">
        <x:f>IF(AND(AS$7&gt;=$E55,AS$7&lt;=$F55),"■","")</x:f>
      </x:c>
      <x:c r="AT55" s="416" t="str">
        <x:f>IF(AND(AT$7&gt;=$E55,AT$7&lt;=$F55),"■","")</x:f>
      </x:c>
      <x:c r="AU55" s="416" t="str">
        <x:f>IF(AND(AU$7&gt;=$E55,AU$7&lt;=$F55),"■","")</x:f>
      </x:c>
      <x:c r="AV55" s="416" t="str">
        <x:f>IF(AND(AV$7&gt;=$E55,AV$7&lt;=$F55),"■","")</x:f>
      </x:c>
      <x:c r="AW55" s="416" t="str">
        <x:f>IF(AND(AW$7&gt;=$E55,AW$7&lt;=$F55),"■","")</x:f>
      </x:c>
      <x:c r="AX55" s="416" t="str">
        <x:f>IF(AND(AX$7&gt;=$E55,AX$7&lt;=$F55),"■","")</x:f>
      </x:c>
      <x:c r="AY55" s="416" t="str">
        <x:f>IF(AND(AY$7&gt;=$E55,AY$7&lt;=$F55),"■","")</x:f>
      </x:c>
      <x:c r="AZ55" s="416" t="str">
        <x:f>IF(AND(AZ$7&gt;=$E55,AZ$7&lt;=$F55),"■","")</x:f>
      </x:c>
      <x:c r="BA55" s="416" t="str">
        <x:f>IF(AND(BA$7&gt;=$E55,BA$7&lt;=$F55),"■","")</x:f>
      </x:c>
      <x:c r="BB55" s="418" t="str">
        <x:f>IF(AND(BB$7&gt;=$E55,BB$7&lt;=$F55),"■","")</x:f>
      </x:c>
      <x:c r="BC55" s="418" t="str">
        <x:f>IF(AND(BC$7&gt;=$E55,BC$7&lt;=$F55),"■","")</x:f>
      </x:c>
      <x:c r="BD55" s="418" t="str">
        <x:f>IF(AND(BD$7&gt;=$E55,BD$7&lt;=$F55),"■","")</x:f>
      </x:c>
      <x:c r="BE55" s="418" t="str">
        <x:f>IF(AND(BE$7&gt;=$E55,BE$7&lt;=$F55),"■","")</x:f>
      </x:c>
      <x:c r="BF55" s="418" t="str">
        <x:f>IF(AND(BF$7&gt;=$E55,BF$7&lt;=$F55),"■","")</x:f>
      </x:c>
      <x:c r="BG55" s="418" t="str">
        <x:f>IF(AND(BG$7&gt;=$E55,BG$7&lt;=$F55),"■","")</x:f>
      </x:c>
      <x:c r="BH55" s="418" t="str">
        <x:f>IF(AND(BH$7&gt;=$E55,BH$7&lt;=$F55),"■","")</x:f>
      </x:c>
      <x:c r="BI55" s="418" t="str">
        <x:f>IF(AND(BI$7&gt;=$E55,BI$7&lt;=$F55),"■","")</x:f>
      </x:c>
      <x:c r="BJ55" s="418" t="str">
        <x:f>IF(AND(BJ$7&gt;=$E55,BJ$7&lt;=$F55),"■","")</x:f>
      </x:c>
      <x:c r="BK55" s="418" t="str">
        <x:f>IF(AND(BK$7&gt;=$E55,BK$7&lt;=$F55),"■","")</x:f>
      </x:c>
      <x:c r="BL55" s="418" t="str">
        <x:f>IF(AND(BL$7&gt;=$E55,BL$7&lt;=$F55),"■","")</x:f>
      </x:c>
      <x:c r="BM55" s="418" t="str">
        <x:f>IF(AND(BM$7&gt;=$E55,BM$7&lt;=$F55),"■","")</x:f>
      </x:c>
      <x:c r="BN55" s="418" t="str">
        <x:f>IF(AND(BN$7&gt;=$E55,BN$7&lt;=$F55),"■","")</x:f>
      </x:c>
      <x:c r="BO55" s="418" t="str">
        <x:f>IF(AND(BO$7&gt;=$E55,BO$7&lt;=$F55),"■","")</x:f>
      </x:c>
      <x:c r="BP55" s="418" t="str">
        <x:f>IF(AND(BP$7&gt;=$E55,BP$7&lt;=$F55),"■","")</x:f>
      </x:c>
    </x:row>
    <x:row r="56" ht="38" customHeight="1">
      <x:c r="B56" s="406" t="str">
        <x:v>6.3★</x:v>
      </x:c>
      <x:c r="C56" s="407" t="str">
        <x:v>기능 B~D Incident·리포트·해결 가능성·담당자 알림·모니터링 view 통합 및 수용 시나리오 검증
[대기] 산출물: Agent 기능·Incident 브리프</x:v>
      </x:c>
      <x:c r="D56" s="407" t="str">
        <x:v>윤대성·김재홍·박준희</x:v>
      </x:c>
      <x:c r="E56" s="408" t="n">
        <x:v>46246</x:v>
      </x:c>
      <x:c r="F56" s="408" t="n">
        <x:v>46246</x:v>
      </x:c>
      <x:c r="G56" s="409" t="n">
        <x:f>MAX(0,F56-E56)</x:f>
        <x:v>0</x:v>
      </x:c>
      <x:c r="H56" s="410" t="n">
        <x:v>0</x:v>
      </x:c>
      <x:c r="I56" s="412" t="str">
        <x:f>IF(AND(I$7&gt;=$E56,I$7&lt;=$F56),"■","")</x:f>
      </x:c>
      <x:c r="J56" s="412" t="str">
        <x:f>IF(AND(J$7&gt;=$E56,J$7&lt;=$F56),"■","")</x:f>
      </x:c>
      <x:c r="K56" s="412" t="str">
        <x:f>IF(AND(K$7&gt;=$E56,K$7&lt;=$F56),"■","")</x:f>
      </x:c>
      <x:c r="L56" s="412" t="str">
        <x:f>IF(AND(L$7&gt;=$E56,L$7&lt;=$F56),"■","")</x:f>
      </x:c>
      <x:c r="M56" s="412" t="str">
        <x:f>IF(AND(M$7&gt;=$E56,M$7&lt;=$F56),"■","")</x:f>
      </x:c>
      <x:c r="N56" s="412" t="str">
        <x:f>IF(AND(N$7&gt;=$E56,N$7&lt;=$F56),"■","")</x:f>
      </x:c>
      <x:c r="O56" s="412" t="str">
        <x:f>IF(AND(O$7&gt;=$E56,O$7&lt;=$F56),"■","")</x:f>
      </x:c>
      <x:c r="P56" s="412" t="str">
        <x:f>IF(AND(P$7&gt;=$E56,P$7&lt;=$F56),"■","")</x:f>
      </x:c>
      <x:c r="Q56" s="412" t="str">
        <x:f>IF(AND(Q$7&gt;=$E56,Q$7&lt;=$F56),"■","")</x:f>
      </x:c>
      <x:c r="R56" s="412" t="str">
        <x:f>IF(AND(R$7&gt;=$E56,R$7&lt;=$F56),"■","")</x:f>
      </x:c>
      <x:c r="S56" s="412" t="str">
        <x:f>IF(AND(S$7&gt;=$E56,S$7&lt;=$F56),"■","")</x:f>
      </x:c>
      <x:c r="T56" s="412" t="str">
        <x:f>IF(AND(T$7&gt;=$E56,T$7&lt;=$F56),"■","")</x:f>
      </x:c>
      <x:c r="U56" s="412" t="str">
        <x:f>IF(AND(U$7&gt;=$E56,U$7&lt;=$F56),"■","")</x:f>
      </x:c>
      <x:c r="V56" s="412" t="str">
        <x:f>IF(AND(V$7&gt;=$E56,V$7&lt;=$F56),"■","")</x:f>
      </x:c>
      <x:c r="W56" s="412" t="str">
        <x:f>IF(AND(W$7&gt;=$E56,W$7&lt;=$F56),"■","")</x:f>
      </x:c>
      <x:c r="X56" s="414" t="str">
        <x:f>IF(AND(X$7&gt;=$E56,X$7&lt;=$F56),"■","")</x:f>
      </x:c>
      <x:c r="Y56" s="414" t="str">
        <x:f>IF(AND(Y$7&gt;=$E56,Y$7&lt;=$F56),"■","")</x:f>
      </x:c>
      <x:c r="Z56" s="414" t="str">
        <x:f>IF(AND(Z$7&gt;=$E56,Z$7&lt;=$F56),"■","")</x:f>
      </x:c>
      <x:c r="AA56" s="414" t="str">
        <x:f>IF(AND(AA$7&gt;=$E56,AA$7&lt;=$F56),"■","")</x:f>
      </x:c>
      <x:c r="AB56" s="414" t="str">
        <x:f>IF(AND(AB$7&gt;=$E56,AB$7&lt;=$F56),"■","")</x:f>
      </x:c>
      <x:c r="AC56" s="414" t="str">
        <x:f>IF(AND(AC$7&gt;=$E56,AC$7&lt;=$F56),"■","")</x:f>
      </x:c>
      <x:c r="AD56" s="414" t="str">
        <x:f>IF(AND(AD$7&gt;=$E56,AD$7&lt;=$F56),"■","")</x:f>
      </x:c>
      <x:c r="AE56" s="414" t="str">
        <x:f>IF(AND(AE$7&gt;=$E56,AE$7&lt;=$F56),"■","")</x:f>
      </x:c>
      <x:c r="AF56" s="414" t="str">
        <x:f>IF(AND(AF$7&gt;=$E56,AF$7&lt;=$F56),"■","")</x:f>
      </x:c>
      <x:c r="AG56" s="414" t="str">
        <x:f>IF(AND(AG$7&gt;=$E56,AG$7&lt;=$F56),"■","")</x:f>
      </x:c>
      <x:c r="AH56" s="414" t="str">
        <x:f>IF(AND(AH$7&gt;=$E56,AH$7&lt;=$F56),"■","")</x:f>
      </x:c>
      <x:c r="AI56" s="414" t="str">
        <x:f>IF(AND(AI$7&gt;=$E56,AI$7&lt;=$F56),"■","")</x:f>
      </x:c>
      <x:c r="AJ56" s="414" t="str">
        <x:f>IF(AND(AJ$7&gt;=$E56,AJ$7&lt;=$F56),"■","")</x:f>
        <x:v>■</x:v>
      </x:c>
      <x:c r="AK56" s="414" t="str">
        <x:f>IF(AND(AK$7&gt;=$E56,AK$7&lt;=$F56),"■","")</x:f>
      </x:c>
      <x:c r="AL56" s="414" t="str">
        <x:f>IF(AND(AL$7&gt;=$E56,AL$7&lt;=$F56),"■","")</x:f>
      </x:c>
      <x:c r="AM56" s="416" t="str">
        <x:f>IF(AND(AM$7&gt;=$E56,AM$7&lt;=$F56),"■","")</x:f>
      </x:c>
      <x:c r="AN56" s="416" t="str">
        <x:f>IF(AND(AN$7&gt;=$E56,AN$7&lt;=$F56),"■","")</x:f>
      </x:c>
      <x:c r="AO56" s="416" t="str">
        <x:f>IF(AND(AO$7&gt;=$E56,AO$7&lt;=$F56),"■","")</x:f>
      </x:c>
      <x:c r="AP56" s="416" t="str">
        <x:f>IF(AND(AP$7&gt;=$E56,AP$7&lt;=$F56),"■","")</x:f>
      </x:c>
      <x:c r="AQ56" s="416" t="str">
        <x:f>IF(AND(AQ$7&gt;=$E56,AQ$7&lt;=$F56),"■","")</x:f>
      </x:c>
      <x:c r="AR56" s="416" t="str">
        <x:f>IF(AND(AR$7&gt;=$E56,AR$7&lt;=$F56),"■","")</x:f>
      </x:c>
      <x:c r="AS56" s="416" t="str">
        <x:f>IF(AND(AS$7&gt;=$E56,AS$7&lt;=$F56),"■","")</x:f>
      </x:c>
      <x:c r="AT56" s="416" t="str">
        <x:f>IF(AND(AT$7&gt;=$E56,AT$7&lt;=$F56),"■","")</x:f>
      </x:c>
      <x:c r="AU56" s="416" t="str">
        <x:f>IF(AND(AU$7&gt;=$E56,AU$7&lt;=$F56),"■","")</x:f>
      </x:c>
      <x:c r="AV56" s="416" t="str">
        <x:f>IF(AND(AV$7&gt;=$E56,AV$7&lt;=$F56),"■","")</x:f>
      </x:c>
      <x:c r="AW56" s="416" t="str">
        <x:f>IF(AND(AW$7&gt;=$E56,AW$7&lt;=$F56),"■","")</x:f>
      </x:c>
      <x:c r="AX56" s="416" t="str">
        <x:f>IF(AND(AX$7&gt;=$E56,AX$7&lt;=$F56),"■","")</x:f>
      </x:c>
      <x:c r="AY56" s="416" t="str">
        <x:f>IF(AND(AY$7&gt;=$E56,AY$7&lt;=$F56),"■","")</x:f>
      </x:c>
      <x:c r="AZ56" s="416" t="str">
        <x:f>IF(AND(AZ$7&gt;=$E56,AZ$7&lt;=$F56),"■","")</x:f>
      </x:c>
      <x:c r="BA56" s="416" t="str">
        <x:f>IF(AND(BA$7&gt;=$E56,BA$7&lt;=$F56),"■","")</x:f>
      </x:c>
      <x:c r="BB56" s="418" t="str">
        <x:f>IF(AND(BB$7&gt;=$E56,BB$7&lt;=$F56),"■","")</x:f>
      </x:c>
      <x:c r="BC56" s="418" t="str">
        <x:f>IF(AND(BC$7&gt;=$E56,BC$7&lt;=$F56),"■","")</x:f>
      </x:c>
      <x:c r="BD56" s="418" t="str">
        <x:f>IF(AND(BD$7&gt;=$E56,BD$7&lt;=$F56),"■","")</x:f>
      </x:c>
      <x:c r="BE56" s="418" t="str">
        <x:f>IF(AND(BE$7&gt;=$E56,BE$7&lt;=$F56),"■","")</x:f>
      </x:c>
      <x:c r="BF56" s="418" t="str">
        <x:f>IF(AND(BF$7&gt;=$E56,BF$7&lt;=$F56),"■","")</x:f>
      </x:c>
      <x:c r="BG56" s="418" t="str">
        <x:f>IF(AND(BG$7&gt;=$E56,BG$7&lt;=$F56),"■","")</x:f>
      </x:c>
      <x:c r="BH56" s="418" t="str">
        <x:f>IF(AND(BH$7&gt;=$E56,BH$7&lt;=$F56),"■","")</x:f>
      </x:c>
      <x:c r="BI56" s="418" t="str">
        <x:f>IF(AND(BI$7&gt;=$E56,BI$7&lt;=$F56),"■","")</x:f>
      </x:c>
      <x:c r="BJ56" s="418" t="str">
        <x:f>IF(AND(BJ$7&gt;=$E56,BJ$7&lt;=$F56),"■","")</x:f>
      </x:c>
      <x:c r="BK56" s="418" t="str">
        <x:f>IF(AND(BK$7&gt;=$E56,BK$7&lt;=$F56),"■","")</x:f>
      </x:c>
      <x:c r="BL56" s="418" t="str">
        <x:f>IF(AND(BL$7&gt;=$E56,BL$7&lt;=$F56),"■","")</x:f>
      </x:c>
      <x:c r="BM56" s="418" t="str">
        <x:f>IF(AND(BM$7&gt;=$E56,BM$7&lt;=$F56),"■","")</x:f>
      </x:c>
      <x:c r="BN56" s="418" t="str">
        <x:f>IF(AND(BN$7&gt;=$E56,BN$7&lt;=$F56),"■","")</x:f>
      </x:c>
      <x:c r="BO56" s="418" t="str">
        <x:f>IF(AND(BO$7&gt;=$E56,BO$7&lt;=$F56),"■","")</x:f>
      </x:c>
      <x:c r="BP56" s="418" t="str">
        <x:f>IF(AND(BP$7&gt;=$E56,BP$7&lt;=$F56),"■","")</x:f>
      </x:c>
    </x:row>
    <x:row r="57" ht="38" customHeight="1">
      <x:c r="B57" s="406" t="str">
        <x:v>6.4</x:v>
      </x:c>
      <x:c r="C57" s="407" t="str">
        <x:v>기능 A 평점 우선 질문·추가 저점 리뷰·최소 표·차트 연결
[대기] 산출물: 대화형 분석 결과</x:v>
      </x:c>
      <x:c r="D57" s="407" t="str">
        <x:v>송민지·김재홍</x:v>
      </x:c>
      <x:c r="E57" s="408" t="n">
        <x:v>46241</x:v>
      </x:c>
      <x:c r="F57" s="408" t="n">
        <x:v>46246</x:v>
      </x:c>
      <x:c r="G57" s="409" t="n">
        <x:f>MAX(0,F57-E57)</x:f>
        <x:v>5</x:v>
      </x:c>
      <x:c r="H57" s="410" t="n">
        <x:v>0</x:v>
      </x:c>
      <x:c r="I57" s="412" t="str">
        <x:f>IF(AND(I$7&gt;=$E57,I$7&lt;=$F57),"■","")</x:f>
      </x:c>
      <x:c r="J57" s="412" t="str">
        <x:f>IF(AND(J$7&gt;=$E57,J$7&lt;=$F57),"■","")</x:f>
      </x:c>
      <x:c r="K57" s="412" t="str">
        <x:f>IF(AND(K$7&gt;=$E57,K$7&lt;=$F57),"■","")</x:f>
      </x:c>
      <x:c r="L57" s="412" t="str">
        <x:f>IF(AND(L$7&gt;=$E57,L$7&lt;=$F57),"■","")</x:f>
      </x:c>
      <x:c r="M57" s="412" t="str">
        <x:f>IF(AND(M$7&gt;=$E57,M$7&lt;=$F57),"■","")</x:f>
      </x:c>
      <x:c r="N57" s="412" t="str">
        <x:f>IF(AND(N$7&gt;=$E57,N$7&lt;=$F57),"■","")</x:f>
      </x:c>
      <x:c r="O57" s="412" t="str">
        <x:f>IF(AND(O$7&gt;=$E57,O$7&lt;=$F57),"■","")</x:f>
      </x:c>
      <x:c r="P57" s="412" t="str">
        <x:f>IF(AND(P$7&gt;=$E57,P$7&lt;=$F57),"■","")</x:f>
      </x:c>
      <x:c r="Q57" s="412" t="str">
        <x:f>IF(AND(Q$7&gt;=$E57,Q$7&lt;=$F57),"■","")</x:f>
      </x:c>
      <x:c r="R57" s="412" t="str">
        <x:f>IF(AND(R$7&gt;=$E57,R$7&lt;=$F57),"■","")</x:f>
      </x:c>
      <x:c r="S57" s="412" t="str">
        <x:f>IF(AND(S$7&gt;=$E57,S$7&lt;=$F57),"■","")</x:f>
      </x:c>
      <x:c r="T57" s="412" t="str">
        <x:f>IF(AND(T$7&gt;=$E57,T$7&lt;=$F57),"■","")</x:f>
      </x:c>
      <x:c r="U57" s="412" t="str">
        <x:f>IF(AND(U$7&gt;=$E57,U$7&lt;=$F57),"■","")</x:f>
      </x:c>
      <x:c r="V57" s="412" t="str">
        <x:f>IF(AND(V$7&gt;=$E57,V$7&lt;=$F57),"■","")</x:f>
      </x:c>
      <x:c r="W57" s="412" t="str">
        <x:f>IF(AND(W$7&gt;=$E57,W$7&lt;=$F57),"■","")</x:f>
      </x:c>
      <x:c r="X57" s="414" t="str">
        <x:f>IF(AND(X$7&gt;=$E57,X$7&lt;=$F57),"■","")</x:f>
      </x:c>
      <x:c r="Y57" s="414" t="str">
        <x:f>IF(AND(Y$7&gt;=$E57,Y$7&lt;=$F57),"■","")</x:f>
      </x:c>
      <x:c r="Z57" s="414" t="str">
        <x:f>IF(AND(Z$7&gt;=$E57,Z$7&lt;=$F57),"■","")</x:f>
      </x:c>
      <x:c r="AA57" s="414" t="str">
        <x:f>IF(AND(AA$7&gt;=$E57,AA$7&lt;=$F57),"■","")</x:f>
      </x:c>
      <x:c r="AB57" s="414" t="str">
        <x:f>IF(AND(AB$7&gt;=$E57,AB$7&lt;=$F57),"■","")</x:f>
      </x:c>
      <x:c r="AC57" s="414" t="str">
        <x:f>IF(AND(AC$7&gt;=$E57,AC$7&lt;=$F57),"■","")</x:f>
      </x:c>
      <x:c r="AD57" s="414" t="str">
        <x:f>IF(AND(AD$7&gt;=$E57,AD$7&lt;=$F57),"■","")</x:f>
      </x:c>
      <x:c r="AE57" s="414" t="str">
        <x:f>IF(AND(AE$7&gt;=$E57,AE$7&lt;=$F57),"■","")</x:f>
      </x:c>
      <x:c r="AF57" s="414" t="str">
        <x:f>IF(AND(AF$7&gt;=$E57,AF$7&lt;=$F57),"■","")</x:f>
      </x:c>
      <x:c r="AG57" s="414" t="str">
        <x:f>IF(AND(AG$7&gt;=$E57,AG$7&lt;=$F57),"■","")</x:f>
        <x:v>■</x:v>
      </x:c>
      <x:c r="AH57" s="414" t="str">
        <x:f>IF(AND(AH$7&gt;=$E57,AH$7&lt;=$F57),"■","")</x:f>
        <x:v>■</x:v>
      </x:c>
      <x:c r="AI57" s="414" t="str">
        <x:f>IF(AND(AI$7&gt;=$E57,AI$7&lt;=$F57),"■","")</x:f>
        <x:v>■</x:v>
      </x:c>
      <x:c r="AJ57" s="414" t="str">
        <x:f>IF(AND(AJ$7&gt;=$E57,AJ$7&lt;=$F57),"■","")</x:f>
        <x:v>■</x:v>
      </x:c>
      <x:c r="AK57" s="414" t="str">
        <x:f>IF(AND(AK$7&gt;=$E57,AK$7&lt;=$F57),"■","")</x:f>
      </x:c>
      <x:c r="AL57" s="414" t="str">
        <x:f>IF(AND(AL$7&gt;=$E57,AL$7&lt;=$F57),"■","")</x:f>
      </x:c>
      <x:c r="AM57" s="416" t="str">
        <x:f>IF(AND(AM$7&gt;=$E57,AM$7&lt;=$F57),"■","")</x:f>
      </x:c>
      <x:c r="AN57" s="416" t="str">
        <x:f>IF(AND(AN$7&gt;=$E57,AN$7&lt;=$F57),"■","")</x:f>
      </x:c>
      <x:c r="AO57" s="416" t="str">
        <x:f>IF(AND(AO$7&gt;=$E57,AO$7&lt;=$F57),"■","")</x:f>
      </x:c>
      <x:c r="AP57" s="416" t="str">
        <x:f>IF(AND(AP$7&gt;=$E57,AP$7&lt;=$F57),"■","")</x:f>
      </x:c>
      <x:c r="AQ57" s="416" t="str">
        <x:f>IF(AND(AQ$7&gt;=$E57,AQ$7&lt;=$F57),"■","")</x:f>
      </x:c>
      <x:c r="AR57" s="416" t="str">
        <x:f>IF(AND(AR$7&gt;=$E57,AR$7&lt;=$F57),"■","")</x:f>
      </x:c>
      <x:c r="AS57" s="416" t="str">
        <x:f>IF(AND(AS$7&gt;=$E57,AS$7&lt;=$F57),"■","")</x:f>
      </x:c>
      <x:c r="AT57" s="416" t="str">
        <x:f>IF(AND(AT$7&gt;=$E57,AT$7&lt;=$F57),"■","")</x:f>
      </x:c>
      <x:c r="AU57" s="416" t="str">
        <x:f>IF(AND(AU$7&gt;=$E57,AU$7&lt;=$F57),"■","")</x:f>
      </x:c>
      <x:c r="AV57" s="416" t="str">
        <x:f>IF(AND(AV$7&gt;=$E57,AV$7&lt;=$F57),"■","")</x:f>
      </x:c>
      <x:c r="AW57" s="416" t="str">
        <x:f>IF(AND(AW$7&gt;=$E57,AW$7&lt;=$F57),"■","")</x:f>
      </x:c>
      <x:c r="AX57" s="416" t="str">
        <x:f>IF(AND(AX$7&gt;=$E57,AX$7&lt;=$F57),"■","")</x:f>
      </x:c>
      <x:c r="AY57" s="416" t="str">
        <x:f>IF(AND(AY$7&gt;=$E57,AY$7&lt;=$F57),"■","")</x:f>
      </x:c>
      <x:c r="AZ57" s="416" t="str">
        <x:f>IF(AND(AZ$7&gt;=$E57,AZ$7&lt;=$F57),"■","")</x:f>
      </x:c>
      <x:c r="BA57" s="416" t="str">
        <x:f>IF(AND(BA$7&gt;=$E57,BA$7&lt;=$F57),"■","")</x:f>
      </x:c>
      <x:c r="BB57" s="418" t="str">
        <x:f>IF(AND(BB$7&gt;=$E57,BB$7&lt;=$F57),"■","")</x:f>
      </x:c>
      <x:c r="BC57" s="418" t="str">
        <x:f>IF(AND(BC$7&gt;=$E57,BC$7&lt;=$F57),"■","")</x:f>
      </x:c>
      <x:c r="BD57" s="418" t="str">
        <x:f>IF(AND(BD$7&gt;=$E57,BD$7&lt;=$F57),"■","")</x:f>
      </x:c>
      <x:c r="BE57" s="418" t="str">
        <x:f>IF(AND(BE$7&gt;=$E57,BE$7&lt;=$F57),"■","")</x:f>
      </x:c>
      <x:c r="BF57" s="418" t="str">
        <x:f>IF(AND(BF$7&gt;=$E57,BF$7&lt;=$F57),"■","")</x:f>
      </x:c>
      <x:c r="BG57" s="418" t="str">
        <x:f>IF(AND(BG$7&gt;=$E57,BG$7&lt;=$F57),"■","")</x:f>
      </x:c>
      <x:c r="BH57" s="418" t="str">
        <x:f>IF(AND(BH$7&gt;=$E57,BH$7&lt;=$F57),"■","")</x:f>
      </x:c>
      <x:c r="BI57" s="418" t="str">
        <x:f>IF(AND(BI$7&gt;=$E57,BI$7&lt;=$F57),"■","")</x:f>
      </x:c>
      <x:c r="BJ57" s="418" t="str">
        <x:f>IF(AND(BJ$7&gt;=$E57,BJ$7&lt;=$F57),"■","")</x:f>
      </x:c>
      <x:c r="BK57" s="418" t="str">
        <x:f>IF(AND(BK$7&gt;=$E57,BK$7&lt;=$F57),"■","")</x:f>
      </x:c>
      <x:c r="BL57" s="418" t="str">
        <x:f>IF(AND(BL$7&gt;=$E57,BL$7&lt;=$F57),"■","")</x:f>
      </x:c>
      <x:c r="BM57" s="418" t="str">
        <x:f>IF(AND(BM$7&gt;=$E57,BM$7&lt;=$F57),"■","")</x:f>
      </x:c>
      <x:c r="BN57" s="418" t="str">
        <x:f>IF(AND(BN$7&gt;=$E57,BN$7&lt;=$F57),"■","")</x:f>
      </x:c>
      <x:c r="BO57" s="418" t="str">
        <x:f>IF(AND(BO$7&gt;=$E57,BO$7&lt;=$F57),"■","")</x:f>
      </x:c>
      <x:c r="BP57" s="418" t="str">
        <x:f>IF(AND(BP$7&gt;=$E57,BP$7&lt;=$F57),"■","")</x:f>
      </x:c>
    </x:row>
    <x:row r="58" ht="38" customHeight="1">
      <x:c r="B58" s="406" t="str">
        <x:v>6.6★</x:v>
      </x:c>
      <x:c r="C58" s="407" t="str">
        <x:v>주간 보고서 DRAFT(윤대성)·저장/decision API(김재홍)·검토 UI(송민지) 연결 및 수용 기준(박준희) 검증
[대기] 산출물: 보고서·결정 이력</x:v>
      </x:c>
      <x:c r="D58" s="407" t="str">
        <x:v>김재홍·윤대성·송민지·박준희</x:v>
      </x:c>
      <x:c r="E58" s="408" t="n">
        <x:v>46246</x:v>
      </x:c>
      <x:c r="F58" s="408" t="n">
        <x:v>46246</x:v>
      </x:c>
      <x:c r="G58" s="409" t="n">
        <x:f>MAX(0,F58-E58)</x:f>
        <x:v>0</x:v>
      </x:c>
      <x:c r="H58" s="410" t="n">
        <x:v>0</x:v>
      </x:c>
      <x:c r="I58" s="412" t="str">
        <x:f>IF(AND(I$7&gt;=$E58,I$7&lt;=$F58),"■","")</x:f>
      </x:c>
      <x:c r="J58" s="412" t="str">
        <x:f>IF(AND(J$7&gt;=$E58,J$7&lt;=$F58),"■","")</x:f>
      </x:c>
      <x:c r="K58" s="412" t="str">
        <x:f>IF(AND(K$7&gt;=$E58,K$7&lt;=$F58),"■","")</x:f>
      </x:c>
      <x:c r="L58" s="412" t="str">
        <x:f>IF(AND(L$7&gt;=$E58,L$7&lt;=$F58),"■","")</x:f>
      </x:c>
      <x:c r="M58" s="412" t="str">
        <x:f>IF(AND(M$7&gt;=$E58,M$7&lt;=$F58),"■","")</x:f>
      </x:c>
      <x:c r="N58" s="412" t="str">
        <x:f>IF(AND(N$7&gt;=$E58,N$7&lt;=$F58),"■","")</x:f>
      </x:c>
      <x:c r="O58" s="412" t="str">
        <x:f>IF(AND(O$7&gt;=$E58,O$7&lt;=$F58),"■","")</x:f>
      </x:c>
      <x:c r="P58" s="412" t="str">
        <x:f>IF(AND(P$7&gt;=$E58,P$7&lt;=$F58),"■","")</x:f>
      </x:c>
      <x:c r="Q58" s="412" t="str">
        <x:f>IF(AND(Q$7&gt;=$E58,Q$7&lt;=$F58),"■","")</x:f>
      </x:c>
      <x:c r="R58" s="412" t="str">
        <x:f>IF(AND(R$7&gt;=$E58,R$7&lt;=$F58),"■","")</x:f>
      </x:c>
      <x:c r="S58" s="412" t="str">
        <x:f>IF(AND(S$7&gt;=$E58,S$7&lt;=$F58),"■","")</x:f>
      </x:c>
      <x:c r="T58" s="412" t="str">
        <x:f>IF(AND(T$7&gt;=$E58,T$7&lt;=$F58),"■","")</x:f>
      </x:c>
      <x:c r="U58" s="412" t="str">
        <x:f>IF(AND(U$7&gt;=$E58,U$7&lt;=$F58),"■","")</x:f>
      </x:c>
      <x:c r="V58" s="412" t="str">
        <x:f>IF(AND(V$7&gt;=$E58,V$7&lt;=$F58),"■","")</x:f>
      </x:c>
      <x:c r="W58" s="412" t="str">
        <x:f>IF(AND(W$7&gt;=$E58,W$7&lt;=$F58),"■","")</x:f>
      </x:c>
      <x:c r="X58" s="414" t="str">
        <x:f>IF(AND(X$7&gt;=$E58,X$7&lt;=$F58),"■","")</x:f>
      </x:c>
      <x:c r="Y58" s="414" t="str">
        <x:f>IF(AND(Y$7&gt;=$E58,Y$7&lt;=$F58),"■","")</x:f>
      </x:c>
      <x:c r="Z58" s="414" t="str">
        <x:f>IF(AND(Z$7&gt;=$E58,Z$7&lt;=$F58),"■","")</x:f>
      </x:c>
      <x:c r="AA58" s="414" t="str">
        <x:f>IF(AND(AA$7&gt;=$E58,AA$7&lt;=$F58),"■","")</x:f>
      </x:c>
      <x:c r="AB58" s="414" t="str">
        <x:f>IF(AND(AB$7&gt;=$E58,AB$7&lt;=$F58),"■","")</x:f>
      </x:c>
      <x:c r="AC58" s="414" t="str">
        <x:f>IF(AND(AC$7&gt;=$E58,AC$7&lt;=$F58),"■","")</x:f>
      </x:c>
      <x:c r="AD58" s="414" t="str">
        <x:f>IF(AND(AD$7&gt;=$E58,AD$7&lt;=$F58),"■","")</x:f>
      </x:c>
      <x:c r="AE58" s="414" t="str">
        <x:f>IF(AND(AE$7&gt;=$E58,AE$7&lt;=$F58),"■","")</x:f>
      </x:c>
      <x:c r="AF58" s="414" t="str">
        <x:f>IF(AND(AF$7&gt;=$E58,AF$7&lt;=$F58),"■","")</x:f>
      </x:c>
      <x:c r="AG58" s="414" t="str">
        <x:f>IF(AND(AG$7&gt;=$E58,AG$7&lt;=$F58),"■","")</x:f>
      </x:c>
      <x:c r="AH58" s="414" t="str">
        <x:f>IF(AND(AH$7&gt;=$E58,AH$7&lt;=$F58),"■","")</x:f>
      </x:c>
      <x:c r="AI58" s="414" t="str">
        <x:f>IF(AND(AI$7&gt;=$E58,AI$7&lt;=$F58),"■","")</x:f>
      </x:c>
      <x:c r="AJ58" s="414" t="str">
        <x:f>IF(AND(AJ$7&gt;=$E58,AJ$7&lt;=$F58),"■","")</x:f>
        <x:v>■</x:v>
      </x:c>
      <x:c r="AK58" s="414" t="str">
        <x:f>IF(AND(AK$7&gt;=$E58,AK$7&lt;=$F58),"■","")</x:f>
      </x:c>
      <x:c r="AL58" s="414" t="str">
        <x:f>IF(AND(AL$7&gt;=$E58,AL$7&lt;=$F58),"■","")</x:f>
      </x:c>
      <x:c r="AM58" s="416" t="str">
        <x:f>IF(AND(AM$7&gt;=$E58,AM$7&lt;=$F58),"■","")</x:f>
      </x:c>
      <x:c r="AN58" s="416" t="str">
        <x:f>IF(AND(AN$7&gt;=$E58,AN$7&lt;=$F58),"■","")</x:f>
      </x:c>
      <x:c r="AO58" s="416" t="str">
        <x:f>IF(AND(AO$7&gt;=$E58,AO$7&lt;=$F58),"■","")</x:f>
      </x:c>
      <x:c r="AP58" s="416" t="str">
        <x:f>IF(AND(AP$7&gt;=$E58,AP$7&lt;=$F58),"■","")</x:f>
      </x:c>
      <x:c r="AQ58" s="416" t="str">
        <x:f>IF(AND(AQ$7&gt;=$E58,AQ$7&lt;=$F58),"■","")</x:f>
      </x:c>
      <x:c r="AR58" s="416" t="str">
        <x:f>IF(AND(AR$7&gt;=$E58,AR$7&lt;=$F58),"■","")</x:f>
      </x:c>
      <x:c r="AS58" s="416" t="str">
        <x:f>IF(AND(AS$7&gt;=$E58,AS$7&lt;=$F58),"■","")</x:f>
      </x:c>
      <x:c r="AT58" s="416" t="str">
        <x:f>IF(AND(AT$7&gt;=$E58,AT$7&lt;=$F58),"■","")</x:f>
      </x:c>
      <x:c r="AU58" s="416" t="str">
        <x:f>IF(AND(AU$7&gt;=$E58,AU$7&lt;=$F58),"■","")</x:f>
      </x:c>
      <x:c r="AV58" s="416" t="str">
        <x:f>IF(AND(AV$7&gt;=$E58,AV$7&lt;=$F58),"■","")</x:f>
      </x:c>
      <x:c r="AW58" s="416" t="str">
        <x:f>IF(AND(AW$7&gt;=$E58,AW$7&lt;=$F58),"■","")</x:f>
      </x:c>
      <x:c r="AX58" s="416" t="str">
        <x:f>IF(AND(AX$7&gt;=$E58,AX$7&lt;=$F58),"■","")</x:f>
      </x:c>
      <x:c r="AY58" s="416" t="str">
        <x:f>IF(AND(AY$7&gt;=$E58,AY$7&lt;=$F58),"■","")</x:f>
      </x:c>
      <x:c r="AZ58" s="416" t="str">
        <x:f>IF(AND(AZ$7&gt;=$E58,AZ$7&lt;=$F58),"■","")</x:f>
      </x:c>
      <x:c r="BA58" s="416" t="str">
        <x:f>IF(AND(BA$7&gt;=$E58,BA$7&lt;=$F58),"■","")</x:f>
      </x:c>
      <x:c r="BB58" s="418" t="str">
        <x:f>IF(AND(BB$7&gt;=$E58,BB$7&lt;=$F58),"■","")</x:f>
      </x:c>
      <x:c r="BC58" s="418" t="str">
        <x:f>IF(AND(BC$7&gt;=$E58,BC$7&lt;=$F58),"■","")</x:f>
      </x:c>
      <x:c r="BD58" s="418" t="str">
        <x:f>IF(AND(BD$7&gt;=$E58,BD$7&lt;=$F58),"■","")</x:f>
      </x:c>
      <x:c r="BE58" s="418" t="str">
        <x:f>IF(AND(BE$7&gt;=$E58,BE$7&lt;=$F58),"■","")</x:f>
      </x:c>
      <x:c r="BF58" s="418" t="str">
        <x:f>IF(AND(BF$7&gt;=$E58,BF$7&lt;=$F58),"■","")</x:f>
      </x:c>
      <x:c r="BG58" s="418" t="str">
        <x:f>IF(AND(BG$7&gt;=$E58,BG$7&lt;=$F58),"■","")</x:f>
      </x:c>
      <x:c r="BH58" s="418" t="str">
        <x:f>IF(AND(BH$7&gt;=$E58,BH$7&lt;=$F58),"■","")</x:f>
      </x:c>
      <x:c r="BI58" s="418" t="str">
        <x:f>IF(AND(BI$7&gt;=$E58,BI$7&lt;=$F58),"■","")</x:f>
      </x:c>
      <x:c r="BJ58" s="418" t="str">
        <x:f>IF(AND(BJ$7&gt;=$E58,BJ$7&lt;=$F58),"■","")</x:f>
      </x:c>
      <x:c r="BK58" s="418" t="str">
        <x:f>IF(AND(BK$7&gt;=$E58,BK$7&lt;=$F58),"■","")</x:f>
      </x:c>
      <x:c r="BL58" s="418" t="str">
        <x:f>IF(AND(BL$7&gt;=$E58,BL$7&lt;=$F58),"■","")</x:f>
      </x:c>
      <x:c r="BM58" s="418" t="str">
        <x:f>IF(AND(BM$7&gt;=$E58,BM$7&lt;=$F58),"■","")</x:f>
      </x:c>
      <x:c r="BN58" s="418" t="str">
        <x:f>IF(AND(BN$7&gt;=$E58,BN$7&lt;=$F58),"■","")</x:f>
      </x:c>
      <x:c r="BO58" s="418" t="str">
        <x:f>IF(AND(BO$7&gt;=$E58,BO$7&lt;=$F58),"■","")</x:f>
      </x:c>
      <x:c r="BP58" s="418" t="str">
        <x:f>IF(AND(BP$7&gt;=$E58,BP$7&lt;=$F58),"■","")</x:f>
      </x:c>
    </x:row>
    <x:row r="59" ht="38" customHeight="1">
      <x:c r="B59" s="406" t="str">
        <x:v>6.7★</x:v>
      </x:c>
      <x:c r="C59" s="407" t="str">
        <x:v>단일/다역할 Agent 비교·Fallback 테스트·결과 보고
[대기] 산출물: 멀티 에이전트 테스트 계획 및 결과 보고서(독립 실험) · 제출 08/21</x:v>
      </x:c>
      <x:c r="D59" s="407" t="str">
        <x:v>윤대성·박준희</x:v>
      </x:c>
      <x:c r="E59" s="408" t="n">
        <x:v>46252</x:v>
      </x:c>
      <x:c r="F59" s="408" t="n">
        <x:v>46255</x:v>
      </x:c>
      <x:c r="G59" s="409" t="n">
        <x:f>MAX(0,F59-E59)</x:f>
        <x:v>3</x:v>
      </x:c>
      <x:c r="H59" s="410" t="n">
        <x:v>0</x:v>
      </x:c>
      <x:c r="I59" s="412" t="str">
        <x:f>IF(AND(I$7&gt;=$E59,I$7&lt;=$F59),"■","")</x:f>
      </x:c>
      <x:c r="J59" s="412" t="str">
        <x:f>IF(AND(J$7&gt;=$E59,J$7&lt;=$F59),"■","")</x:f>
      </x:c>
      <x:c r="K59" s="412" t="str">
        <x:f>IF(AND(K$7&gt;=$E59,K$7&lt;=$F59),"■","")</x:f>
      </x:c>
      <x:c r="L59" s="412" t="str">
        <x:f>IF(AND(L$7&gt;=$E59,L$7&lt;=$F59),"■","")</x:f>
      </x:c>
      <x:c r="M59" s="412" t="str">
        <x:f>IF(AND(M$7&gt;=$E59,M$7&lt;=$F59),"■","")</x:f>
      </x:c>
      <x:c r="N59" s="412" t="str">
        <x:f>IF(AND(N$7&gt;=$E59,N$7&lt;=$F59),"■","")</x:f>
      </x:c>
      <x:c r="O59" s="412" t="str">
        <x:f>IF(AND(O$7&gt;=$E59,O$7&lt;=$F59),"■","")</x:f>
      </x:c>
      <x:c r="P59" s="412" t="str">
        <x:f>IF(AND(P$7&gt;=$E59,P$7&lt;=$F59),"■","")</x:f>
      </x:c>
      <x:c r="Q59" s="412" t="str">
        <x:f>IF(AND(Q$7&gt;=$E59,Q$7&lt;=$F59),"■","")</x:f>
      </x:c>
      <x:c r="R59" s="412" t="str">
        <x:f>IF(AND(R$7&gt;=$E59,R$7&lt;=$F59),"■","")</x:f>
      </x:c>
      <x:c r="S59" s="412" t="str">
        <x:f>IF(AND(S$7&gt;=$E59,S$7&lt;=$F59),"■","")</x:f>
      </x:c>
      <x:c r="T59" s="412" t="str">
        <x:f>IF(AND(T$7&gt;=$E59,T$7&lt;=$F59),"■","")</x:f>
      </x:c>
      <x:c r="U59" s="412" t="str">
        <x:f>IF(AND(U$7&gt;=$E59,U$7&lt;=$F59),"■","")</x:f>
      </x:c>
      <x:c r="V59" s="412" t="str">
        <x:f>IF(AND(V$7&gt;=$E59,V$7&lt;=$F59),"■","")</x:f>
      </x:c>
      <x:c r="W59" s="412" t="str">
        <x:f>IF(AND(W$7&gt;=$E59,W$7&lt;=$F59),"■","")</x:f>
      </x:c>
      <x:c r="X59" s="414" t="str">
        <x:f>IF(AND(X$7&gt;=$E59,X$7&lt;=$F59),"■","")</x:f>
      </x:c>
      <x:c r="Y59" s="414" t="str">
        <x:f>IF(AND(Y$7&gt;=$E59,Y$7&lt;=$F59),"■","")</x:f>
      </x:c>
      <x:c r="Z59" s="414" t="str">
        <x:f>IF(AND(Z$7&gt;=$E59,Z$7&lt;=$F59),"■","")</x:f>
      </x:c>
      <x:c r="AA59" s="414" t="str">
        <x:f>IF(AND(AA$7&gt;=$E59,AA$7&lt;=$F59),"■","")</x:f>
      </x:c>
      <x:c r="AB59" s="414" t="str">
        <x:f>IF(AND(AB$7&gt;=$E59,AB$7&lt;=$F59),"■","")</x:f>
      </x:c>
      <x:c r="AC59" s="414" t="str">
        <x:f>IF(AND(AC$7&gt;=$E59,AC$7&lt;=$F59),"■","")</x:f>
      </x:c>
      <x:c r="AD59" s="414" t="str">
        <x:f>IF(AND(AD$7&gt;=$E59,AD$7&lt;=$F59),"■","")</x:f>
      </x:c>
      <x:c r="AE59" s="414" t="str">
        <x:f>IF(AND(AE$7&gt;=$E59,AE$7&lt;=$F59),"■","")</x:f>
      </x:c>
      <x:c r="AF59" s="414" t="str">
        <x:f>IF(AND(AF$7&gt;=$E59,AF$7&lt;=$F59),"■","")</x:f>
      </x:c>
      <x:c r="AG59" s="414" t="str">
        <x:f>IF(AND(AG$7&gt;=$E59,AG$7&lt;=$F59),"■","")</x:f>
      </x:c>
      <x:c r="AH59" s="414" t="str">
        <x:f>IF(AND(AH$7&gt;=$E59,AH$7&lt;=$F59),"■","")</x:f>
      </x:c>
      <x:c r="AI59" s="414" t="str">
        <x:f>IF(AND(AI$7&gt;=$E59,AI$7&lt;=$F59),"■","")</x:f>
      </x:c>
      <x:c r="AJ59" s="414" t="str">
        <x:f>IF(AND(AJ$7&gt;=$E59,AJ$7&lt;=$F59),"■","")</x:f>
      </x:c>
      <x:c r="AK59" s="414" t="str">
        <x:f>IF(AND(AK$7&gt;=$E59,AK$7&lt;=$F59),"■","")</x:f>
      </x:c>
      <x:c r="AL59" s="414" t="str">
        <x:f>IF(AND(AL$7&gt;=$E59,AL$7&lt;=$F59),"■","")</x:f>
      </x:c>
      <x:c r="AM59" s="416" t="str">
        <x:f>IF(AND(AM$7&gt;=$E59,AM$7&lt;=$F59),"■","")</x:f>
      </x:c>
      <x:c r="AN59" s="416" t="str">
        <x:f>IF(AND(AN$7&gt;=$E59,AN$7&lt;=$F59),"■","")</x:f>
        <x:v>■</x:v>
      </x:c>
      <x:c r="AO59" s="416" t="str">
        <x:f>IF(AND(AO$7&gt;=$E59,AO$7&lt;=$F59),"■","")</x:f>
        <x:v>■</x:v>
      </x:c>
      <x:c r="AP59" s="416" t="str">
        <x:f>IF(AND(AP$7&gt;=$E59,AP$7&lt;=$F59),"■","")</x:f>
        <x:v>■</x:v>
      </x:c>
      <x:c r="AQ59" s="416" t="str">
        <x:f>IF(AND(AQ$7&gt;=$E59,AQ$7&lt;=$F59),"■","")</x:f>
        <x:v>■</x:v>
      </x:c>
      <x:c r="AR59" s="416" t="str">
        <x:f>IF(AND(AR$7&gt;=$E59,AR$7&lt;=$F59),"■","")</x:f>
      </x:c>
      <x:c r="AS59" s="416" t="str">
        <x:f>IF(AND(AS$7&gt;=$E59,AS$7&lt;=$F59),"■","")</x:f>
      </x:c>
      <x:c r="AT59" s="416" t="str">
        <x:f>IF(AND(AT$7&gt;=$E59,AT$7&lt;=$F59),"■","")</x:f>
      </x:c>
      <x:c r="AU59" s="416" t="str">
        <x:f>IF(AND(AU$7&gt;=$E59,AU$7&lt;=$F59),"■","")</x:f>
      </x:c>
      <x:c r="AV59" s="416" t="str">
        <x:f>IF(AND(AV$7&gt;=$E59,AV$7&lt;=$F59),"■","")</x:f>
      </x:c>
      <x:c r="AW59" s="416" t="str">
        <x:f>IF(AND(AW$7&gt;=$E59,AW$7&lt;=$F59),"■","")</x:f>
      </x:c>
      <x:c r="AX59" s="416" t="str">
        <x:f>IF(AND(AX$7&gt;=$E59,AX$7&lt;=$F59),"■","")</x:f>
      </x:c>
      <x:c r="AY59" s="416" t="str">
        <x:f>IF(AND(AY$7&gt;=$E59,AY$7&lt;=$F59),"■","")</x:f>
      </x:c>
      <x:c r="AZ59" s="416" t="str">
        <x:f>IF(AND(AZ$7&gt;=$E59,AZ$7&lt;=$F59),"■","")</x:f>
      </x:c>
      <x:c r="BA59" s="416" t="str">
        <x:f>IF(AND(BA$7&gt;=$E59,BA$7&lt;=$F59),"■","")</x:f>
      </x:c>
      <x:c r="BB59" s="418" t="str">
        <x:f>IF(AND(BB$7&gt;=$E59,BB$7&lt;=$F59),"■","")</x:f>
      </x:c>
      <x:c r="BC59" s="418" t="str">
        <x:f>IF(AND(BC$7&gt;=$E59,BC$7&lt;=$F59),"■","")</x:f>
      </x:c>
      <x:c r="BD59" s="418" t="str">
        <x:f>IF(AND(BD$7&gt;=$E59,BD$7&lt;=$F59),"■","")</x:f>
      </x:c>
      <x:c r="BE59" s="418" t="str">
        <x:f>IF(AND(BE$7&gt;=$E59,BE$7&lt;=$F59),"■","")</x:f>
      </x:c>
      <x:c r="BF59" s="418" t="str">
        <x:f>IF(AND(BF$7&gt;=$E59,BF$7&lt;=$F59),"■","")</x:f>
      </x:c>
      <x:c r="BG59" s="418" t="str">
        <x:f>IF(AND(BG$7&gt;=$E59,BG$7&lt;=$F59),"■","")</x:f>
      </x:c>
      <x:c r="BH59" s="418" t="str">
        <x:f>IF(AND(BH$7&gt;=$E59,BH$7&lt;=$F59),"■","")</x:f>
      </x:c>
      <x:c r="BI59" s="418" t="str">
        <x:f>IF(AND(BI$7&gt;=$E59,BI$7&lt;=$F59),"■","")</x:f>
      </x:c>
      <x:c r="BJ59" s="418" t="str">
        <x:f>IF(AND(BJ$7&gt;=$E59,BJ$7&lt;=$F59),"■","")</x:f>
      </x:c>
      <x:c r="BK59" s="418" t="str">
        <x:f>IF(AND(BK$7&gt;=$E59,BK$7&lt;=$F59),"■","")</x:f>
      </x:c>
      <x:c r="BL59" s="418" t="str">
        <x:f>IF(AND(BL$7&gt;=$E59,BL$7&lt;=$F59),"■","")</x:f>
      </x:c>
      <x:c r="BM59" s="418" t="str">
        <x:f>IF(AND(BM$7&gt;=$E59,BM$7&lt;=$F59),"■","")</x:f>
      </x:c>
      <x:c r="BN59" s="418" t="str">
        <x:f>IF(AND(BN$7&gt;=$E59,BN$7&lt;=$F59),"■","")</x:f>
      </x:c>
      <x:c r="BO59" s="418" t="str">
        <x:f>IF(AND(BO$7&gt;=$E59,BO$7&lt;=$F59),"■","")</x:f>
      </x:c>
      <x:c r="BP59" s="418" t="str">
        <x:f>IF(AND(BP$7&gt;=$E59,BP$7&lt;=$F59),"■","")</x:f>
      </x:c>
    </x:row>
    <x:row r="60" ht="38" customHeight="1">
      <x:c r="B60" s="406" t="str">
        <x:v>6.8</x:v>
      </x:c>
      <x:c r="C60" s="407" t="str">
        <x:v>SensePlace 배포 구성·최종 시연 환경·fallback·기술 스택 시각화
[대기] 산출물: 시스템 구성도 · 제출 08/21</x:v>
      </x:c>
      <x:c r="D60" s="407" t="str">
        <x:v>김재홍</x:v>
      </x:c>
      <x:c r="E60" s="408" t="n">
        <x:v>46252</x:v>
      </x:c>
      <x:c r="F60" s="408" t="n">
        <x:v>46255</x:v>
      </x:c>
      <x:c r="G60" s="409" t="n">
        <x:f>MAX(0,F60-E60)</x:f>
        <x:v>3</x:v>
      </x:c>
      <x:c r="H60" s="410" t="n">
        <x:v>0</x:v>
      </x:c>
      <x:c r="I60" s="412" t="str">
        <x:f>IF(AND(I$7&gt;=$E60,I$7&lt;=$F60),"■","")</x:f>
      </x:c>
      <x:c r="J60" s="412" t="str">
        <x:f>IF(AND(J$7&gt;=$E60,J$7&lt;=$F60),"■","")</x:f>
      </x:c>
      <x:c r="K60" s="412" t="str">
        <x:f>IF(AND(K$7&gt;=$E60,K$7&lt;=$F60),"■","")</x:f>
      </x:c>
      <x:c r="L60" s="412" t="str">
        <x:f>IF(AND(L$7&gt;=$E60,L$7&lt;=$F60),"■","")</x:f>
      </x:c>
      <x:c r="M60" s="412" t="str">
        <x:f>IF(AND(M$7&gt;=$E60,M$7&lt;=$F60),"■","")</x:f>
      </x:c>
      <x:c r="N60" s="412" t="str">
        <x:f>IF(AND(N$7&gt;=$E60,N$7&lt;=$F60),"■","")</x:f>
      </x:c>
      <x:c r="O60" s="412" t="str">
        <x:f>IF(AND(O$7&gt;=$E60,O$7&lt;=$F60),"■","")</x:f>
      </x:c>
      <x:c r="P60" s="412" t="str">
        <x:f>IF(AND(P$7&gt;=$E60,P$7&lt;=$F60),"■","")</x:f>
      </x:c>
      <x:c r="Q60" s="412" t="str">
        <x:f>IF(AND(Q$7&gt;=$E60,Q$7&lt;=$F60),"■","")</x:f>
      </x:c>
      <x:c r="R60" s="412" t="str">
        <x:f>IF(AND(R$7&gt;=$E60,R$7&lt;=$F60),"■","")</x:f>
      </x:c>
      <x:c r="S60" s="412" t="str">
        <x:f>IF(AND(S$7&gt;=$E60,S$7&lt;=$F60),"■","")</x:f>
      </x:c>
      <x:c r="T60" s="412" t="str">
        <x:f>IF(AND(T$7&gt;=$E60,T$7&lt;=$F60),"■","")</x:f>
      </x:c>
      <x:c r="U60" s="412" t="str">
        <x:f>IF(AND(U$7&gt;=$E60,U$7&lt;=$F60),"■","")</x:f>
      </x:c>
      <x:c r="V60" s="412" t="str">
        <x:f>IF(AND(V$7&gt;=$E60,V$7&lt;=$F60),"■","")</x:f>
      </x:c>
      <x:c r="W60" s="412" t="str">
        <x:f>IF(AND(W$7&gt;=$E60,W$7&lt;=$F60),"■","")</x:f>
      </x:c>
      <x:c r="X60" s="414" t="str">
        <x:f>IF(AND(X$7&gt;=$E60,X$7&lt;=$F60),"■","")</x:f>
      </x:c>
      <x:c r="Y60" s="414" t="str">
        <x:f>IF(AND(Y$7&gt;=$E60,Y$7&lt;=$F60),"■","")</x:f>
      </x:c>
      <x:c r="Z60" s="414" t="str">
        <x:f>IF(AND(Z$7&gt;=$E60,Z$7&lt;=$F60),"■","")</x:f>
      </x:c>
      <x:c r="AA60" s="414" t="str">
        <x:f>IF(AND(AA$7&gt;=$E60,AA$7&lt;=$F60),"■","")</x:f>
      </x:c>
      <x:c r="AB60" s="414" t="str">
        <x:f>IF(AND(AB$7&gt;=$E60,AB$7&lt;=$F60),"■","")</x:f>
      </x:c>
      <x:c r="AC60" s="414" t="str">
        <x:f>IF(AND(AC$7&gt;=$E60,AC$7&lt;=$F60),"■","")</x:f>
      </x:c>
      <x:c r="AD60" s="414" t="str">
        <x:f>IF(AND(AD$7&gt;=$E60,AD$7&lt;=$F60),"■","")</x:f>
      </x:c>
      <x:c r="AE60" s="414" t="str">
        <x:f>IF(AND(AE$7&gt;=$E60,AE$7&lt;=$F60),"■","")</x:f>
      </x:c>
      <x:c r="AF60" s="414" t="str">
        <x:f>IF(AND(AF$7&gt;=$E60,AF$7&lt;=$F60),"■","")</x:f>
      </x:c>
      <x:c r="AG60" s="414" t="str">
        <x:f>IF(AND(AG$7&gt;=$E60,AG$7&lt;=$F60),"■","")</x:f>
      </x:c>
      <x:c r="AH60" s="414" t="str">
        <x:f>IF(AND(AH$7&gt;=$E60,AH$7&lt;=$F60),"■","")</x:f>
      </x:c>
      <x:c r="AI60" s="414" t="str">
        <x:f>IF(AND(AI$7&gt;=$E60,AI$7&lt;=$F60),"■","")</x:f>
      </x:c>
      <x:c r="AJ60" s="414" t="str">
        <x:f>IF(AND(AJ$7&gt;=$E60,AJ$7&lt;=$F60),"■","")</x:f>
      </x:c>
      <x:c r="AK60" s="414" t="str">
        <x:f>IF(AND(AK$7&gt;=$E60,AK$7&lt;=$F60),"■","")</x:f>
      </x:c>
      <x:c r="AL60" s="414" t="str">
        <x:f>IF(AND(AL$7&gt;=$E60,AL$7&lt;=$F60),"■","")</x:f>
      </x:c>
      <x:c r="AM60" s="416" t="str">
        <x:f>IF(AND(AM$7&gt;=$E60,AM$7&lt;=$F60),"■","")</x:f>
      </x:c>
      <x:c r="AN60" s="416" t="str">
        <x:f>IF(AND(AN$7&gt;=$E60,AN$7&lt;=$F60),"■","")</x:f>
        <x:v>■</x:v>
      </x:c>
      <x:c r="AO60" s="416" t="str">
        <x:f>IF(AND(AO$7&gt;=$E60,AO$7&lt;=$F60),"■","")</x:f>
        <x:v>■</x:v>
      </x:c>
      <x:c r="AP60" s="416" t="str">
        <x:f>IF(AND(AP$7&gt;=$E60,AP$7&lt;=$F60),"■","")</x:f>
        <x:v>■</x:v>
      </x:c>
      <x:c r="AQ60" s="416" t="str">
        <x:f>IF(AND(AQ$7&gt;=$E60,AQ$7&lt;=$F60),"■","")</x:f>
        <x:v>■</x:v>
      </x:c>
      <x:c r="AR60" s="416" t="str">
        <x:f>IF(AND(AR$7&gt;=$E60,AR$7&lt;=$F60),"■","")</x:f>
      </x:c>
      <x:c r="AS60" s="416" t="str">
        <x:f>IF(AND(AS$7&gt;=$E60,AS$7&lt;=$F60),"■","")</x:f>
      </x:c>
      <x:c r="AT60" s="416" t="str">
        <x:f>IF(AND(AT$7&gt;=$E60,AT$7&lt;=$F60),"■","")</x:f>
      </x:c>
      <x:c r="AU60" s="416" t="str">
        <x:f>IF(AND(AU$7&gt;=$E60,AU$7&lt;=$F60),"■","")</x:f>
      </x:c>
      <x:c r="AV60" s="416" t="str">
        <x:f>IF(AND(AV$7&gt;=$E60,AV$7&lt;=$F60),"■","")</x:f>
      </x:c>
      <x:c r="AW60" s="416" t="str">
        <x:f>IF(AND(AW$7&gt;=$E60,AW$7&lt;=$F60),"■","")</x:f>
      </x:c>
      <x:c r="AX60" s="416" t="str">
        <x:f>IF(AND(AX$7&gt;=$E60,AX$7&lt;=$F60),"■","")</x:f>
      </x:c>
      <x:c r="AY60" s="416" t="str">
        <x:f>IF(AND(AY$7&gt;=$E60,AY$7&lt;=$F60),"■","")</x:f>
      </x:c>
      <x:c r="AZ60" s="416" t="str">
        <x:f>IF(AND(AZ$7&gt;=$E60,AZ$7&lt;=$F60),"■","")</x:f>
      </x:c>
      <x:c r="BA60" s="416" t="str">
        <x:f>IF(AND(BA$7&gt;=$E60,BA$7&lt;=$F60),"■","")</x:f>
      </x:c>
      <x:c r="BB60" s="418" t="str">
        <x:f>IF(AND(BB$7&gt;=$E60,BB$7&lt;=$F60),"■","")</x:f>
      </x:c>
      <x:c r="BC60" s="418" t="str">
        <x:f>IF(AND(BC$7&gt;=$E60,BC$7&lt;=$F60),"■","")</x:f>
      </x:c>
      <x:c r="BD60" s="418" t="str">
        <x:f>IF(AND(BD$7&gt;=$E60,BD$7&lt;=$F60),"■","")</x:f>
      </x:c>
      <x:c r="BE60" s="418" t="str">
        <x:f>IF(AND(BE$7&gt;=$E60,BE$7&lt;=$F60),"■","")</x:f>
      </x:c>
      <x:c r="BF60" s="418" t="str">
        <x:f>IF(AND(BF$7&gt;=$E60,BF$7&lt;=$F60),"■","")</x:f>
      </x:c>
      <x:c r="BG60" s="418" t="str">
        <x:f>IF(AND(BG$7&gt;=$E60,BG$7&lt;=$F60),"■","")</x:f>
      </x:c>
      <x:c r="BH60" s="418" t="str">
        <x:f>IF(AND(BH$7&gt;=$E60,BH$7&lt;=$F60),"■","")</x:f>
      </x:c>
      <x:c r="BI60" s="418" t="str">
        <x:f>IF(AND(BI$7&gt;=$E60,BI$7&lt;=$F60),"■","")</x:f>
      </x:c>
      <x:c r="BJ60" s="418" t="str">
        <x:f>IF(AND(BJ$7&gt;=$E60,BJ$7&lt;=$F60),"■","")</x:f>
      </x:c>
      <x:c r="BK60" s="418" t="str">
        <x:f>IF(AND(BK$7&gt;=$E60,BK$7&lt;=$F60),"■","")</x:f>
      </x:c>
      <x:c r="BL60" s="418" t="str">
        <x:f>IF(AND(BL$7&gt;=$E60,BL$7&lt;=$F60),"■","")</x:f>
      </x:c>
      <x:c r="BM60" s="418" t="str">
        <x:f>IF(AND(BM$7&gt;=$E60,BM$7&lt;=$F60),"■","")</x:f>
      </x:c>
      <x:c r="BN60" s="418" t="str">
        <x:f>IF(AND(BN$7&gt;=$E60,BN$7&lt;=$F60),"■","")</x:f>
      </x:c>
      <x:c r="BO60" s="418" t="str">
        <x:f>IF(AND(BO$7&gt;=$E60,BO$7&lt;=$F60),"■","")</x:f>
      </x:c>
      <x:c r="BP60" s="418" t="str">
        <x:f>IF(AND(BP$7&gt;=$E60,BP$7&lt;=$F60),"■","")</x:f>
      </x:c>
    </x:row>
    <x:row r="61" ht="38" customHeight="1">
      <x:c r="B61" s="406" t="str">
        <x:v>6.9★</x:v>
      </x:c>
      <x:c r="C61" s="407" t="str">
        <x:v>보장 질문 8종 의도 해석·semantic plan 품질
[대기] 산출물: query plan 모듈</x:v>
      </x:c>
      <x:c r="D61" s="407" t="str">
        <x:v>윤대성·김재홍</x:v>
      </x:c>
      <x:c r="E61" s="408" t="n">
        <x:v>46234</x:v>
      </x:c>
      <x:c r="F61" s="408" t="n">
        <x:v>46237</x:v>
      </x:c>
      <x:c r="G61" s="409" t="n">
        <x:f>MAX(0,F61-E61)</x:f>
        <x:v>3</x:v>
      </x:c>
      <x:c r="H61" s="410" t="n">
        <x:v>0</x:v>
      </x:c>
      <x:c r="I61" s="412" t="str">
        <x:f>IF(AND(I$7&gt;=$E61,I$7&lt;=$F61),"■","")</x:f>
      </x:c>
      <x:c r="J61" s="412" t="str">
        <x:f>IF(AND(J$7&gt;=$E61,J$7&lt;=$F61),"■","")</x:f>
      </x:c>
      <x:c r="K61" s="412" t="str">
        <x:f>IF(AND(K$7&gt;=$E61,K$7&lt;=$F61),"■","")</x:f>
      </x:c>
      <x:c r="L61" s="412" t="str">
        <x:f>IF(AND(L$7&gt;=$E61,L$7&lt;=$F61),"■","")</x:f>
      </x:c>
      <x:c r="M61" s="412" t="str">
        <x:f>IF(AND(M$7&gt;=$E61,M$7&lt;=$F61),"■","")</x:f>
      </x:c>
      <x:c r="N61" s="412" t="str">
        <x:f>IF(AND(N$7&gt;=$E61,N$7&lt;=$F61),"■","")</x:f>
      </x:c>
      <x:c r="O61" s="412" t="str">
        <x:f>IF(AND(O$7&gt;=$E61,O$7&lt;=$F61),"■","")</x:f>
      </x:c>
      <x:c r="P61" s="412" t="str">
        <x:f>IF(AND(P$7&gt;=$E61,P$7&lt;=$F61),"■","")</x:f>
      </x:c>
      <x:c r="Q61" s="412" t="str">
        <x:f>IF(AND(Q$7&gt;=$E61,Q$7&lt;=$F61),"■","")</x:f>
      </x:c>
      <x:c r="R61" s="412" t="str">
        <x:f>IF(AND(R$7&gt;=$E61,R$7&lt;=$F61),"■","")</x:f>
      </x:c>
      <x:c r="S61" s="412" t="str">
        <x:f>IF(AND(S$7&gt;=$E61,S$7&lt;=$F61),"■","")</x:f>
      </x:c>
      <x:c r="T61" s="412" t="str">
        <x:f>IF(AND(T$7&gt;=$E61,T$7&lt;=$F61),"■","")</x:f>
      </x:c>
      <x:c r="U61" s="412" t="str">
        <x:f>IF(AND(U$7&gt;=$E61,U$7&lt;=$F61),"■","")</x:f>
      </x:c>
      <x:c r="V61" s="412" t="str">
        <x:f>IF(AND(V$7&gt;=$E61,V$7&lt;=$F61),"■","")</x:f>
      </x:c>
      <x:c r="W61" s="412" t="str">
        <x:f>IF(AND(W$7&gt;=$E61,W$7&lt;=$F61),"■","")</x:f>
      </x:c>
      <x:c r="X61" s="414" t="str">
        <x:f>IF(AND(X$7&gt;=$E61,X$7&lt;=$F61),"■","")</x:f>
      </x:c>
      <x:c r="Y61" s="414" t="str">
        <x:f>IF(AND(Y$7&gt;=$E61,Y$7&lt;=$F61),"■","")</x:f>
      </x:c>
      <x:c r="Z61" s="414" t="str">
        <x:f>IF(AND(Z$7&gt;=$E61,Z$7&lt;=$F61),"■","")</x:f>
      </x:c>
      <x:c r="AA61" s="414" t="str">
        <x:f>IF(AND(AA$7&gt;=$E61,AA$7&lt;=$F61),"■","")</x:f>
      </x:c>
      <x:c r="AB61" s="414" t="str">
        <x:f>IF(AND(AB$7&gt;=$E61,AB$7&lt;=$F61),"■","")</x:f>
        <x:v>■</x:v>
      </x:c>
      <x:c r="AC61" s="414" t="str">
        <x:f>IF(AND(AC$7&gt;=$E61,AC$7&lt;=$F61),"■","")</x:f>
        <x:v>■</x:v>
      </x:c>
      <x:c r="AD61" s="414" t="str">
        <x:f>IF(AND(AD$7&gt;=$E61,AD$7&lt;=$F61),"■","")</x:f>
      </x:c>
      <x:c r="AE61" s="414" t="str">
        <x:f>IF(AND(AE$7&gt;=$E61,AE$7&lt;=$F61),"■","")</x:f>
      </x:c>
      <x:c r="AF61" s="414" t="str">
        <x:f>IF(AND(AF$7&gt;=$E61,AF$7&lt;=$F61),"■","")</x:f>
      </x:c>
      <x:c r="AG61" s="414" t="str">
        <x:f>IF(AND(AG$7&gt;=$E61,AG$7&lt;=$F61),"■","")</x:f>
      </x:c>
      <x:c r="AH61" s="414" t="str">
        <x:f>IF(AND(AH$7&gt;=$E61,AH$7&lt;=$F61),"■","")</x:f>
      </x:c>
      <x:c r="AI61" s="414" t="str">
        <x:f>IF(AND(AI$7&gt;=$E61,AI$7&lt;=$F61),"■","")</x:f>
      </x:c>
      <x:c r="AJ61" s="414" t="str">
        <x:f>IF(AND(AJ$7&gt;=$E61,AJ$7&lt;=$F61),"■","")</x:f>
      </x:c>
      <x:c r="AK61" s="414" t="str">
        <x:f>IF(AND(AK$7&gt;=$E61,AK$7&lt;=$F61),"■","")</x:f>
      </x:c>
      <x:c r="AL61" s="414" t="str">
        <x:f>IF(AND(AL$7&gt;=$E61,AL$7&lt;=$F61),"■","")</x:f>
      </x:c>
      <x:c r="AM61" s="416" t="str">
        <x:f>IF(AND(AM$7&gt;=$E61,AM$7&lt;=$F61),"■","")</x:f>
      </x:c>
      <x:c r="AN61" s="416" t="str">
        <x:f>IF(AND(AN$7&gt;=$E61,AN$7&lt;=$F61),"■","")</x:f>
      </x:c>
      <x:c r="AO61" s="416" t="str">
        <x:f>IF(AND(AO$7&gt;=$E61,AO$7&lt;=$F61),"■","")</x:f>
      </x:c>
      <x:c r="AP61" s="416" t="str">
        <x:f>IF(AND(AP$7&gt;=$E61,AP$7&lt;=$F61),"■","")</x:f>
      </x:c>
      <x:c r="AQ61" s="416" t="str">
        <x:f>IF(AND(AQ$7&gt;=$E61,AQ$7&lt;=$F61),"■","")</x:f>
      </x:c>
      <x:c r="AR61" s="416" t="str">
        <x:f>IF(AND(AR$7&gt;=$E61,AR$7&lt;=$F61),"■","")</x:f>
      </x:c>
      <x:c r="AS61" s="416" t="str">
        <x:f>IF(AND(AS$7&gt;=$E61,AS$7&lt;=$F61),"■","")</x:f>
      </x:c>
      <x:c r="AT61" s="416" t="str">
        <x:f>IF(AND(AT$7&gt;=$E61,AT$7&lt;=$F61),"■","")</x:f>
      </x:c>
      <x:c r="AU61" s="416" t="str">
        <x:f>IF(AND(AU$7&gt;=$E61,AU$7&lt;=$F61),"■","")</x:f>
      </x:c>
      <x:c r="AV61" s="416" t="str">
        <x:f>IF(AND(AV$7&gt;=$E61,AV$7&lt;=$F61),"■","")</x:f>
      </x:c>
      <x:c r="AW61" s="416" t="str">
        <x:f>IF(AND(AW$7&gt;=$E61,AW$7&lt;=$F61),"■","")</x:f>
      </x:c>
      <x:c r="AX61" s="416" t="str">
        <x:f>IF(AND(AX$7&gt;=$E61,AX$7&lt;=$F61),"■","")</x:f>
      </x:c>
      <x:c r="AY61" s="416" t="str">
        <x:f>IF(AND(AY$7&gt;=$E61,AY$7&lt;=$F61),"■","")</x:f>
      </x:c>
      <x:c r="AZ61" s="416" t="str">
        <x:f>IF(AND(AZ$7&gt;=$E61,AZ$7&lt;=$F61),"■","")</x:f>
      </x:c>
      <x:c r="BA61" s="416" t="str">
        <x:f>IF(AND(BA$7&gt;=$E61,BA$7&lt;=$F61),"■","")</x:f>
      </x:c>
      <x:c r="BB61" s="418" t="str">
        <x:f>IF(AND(BB$7&gt;=$E61,BB$7&lt;=$F61),"■","")</x:f>
      </x:c>
      <x:c r="BC61" s="418" t="str">
        <x:f>IF(AND(BC$7&gt;=$E61,BC$7&lt;=$F61),"■","")</x:f>
      </x:c>
      <x:c r="BD61" s="418" t="str">
        <x:f>IF(AND(BD$7&gt;=$E61,BD$7&lt;=$F61),"■","")</x:f>
      </x:c>
      <x:c r="BE61" s="418" t="str">
        <x:f>IF(AND(BE$7&gt;=$E61,BE$7&lt;=$F61),"■","")</x:f>
      </x:c>
      <x:c r="BF61" s="418" t="str">
        <x:f>IF(AND(BF$7&gt;=$E61,BF$7&lt;=$F61),"■","")</x:f>
      </x:c>
      <x:c r="BG61" s="418" t="str">
        <x:f>IF(AND(BG$7&gt;=$E61,BG$7&lt;=$F61),"■","")</x:f>
      </x:c>
      <x:c r="BH61" s="418" t="str">
        <x:f>IF(AND(BH$7&gt;=$E61,BH$7&lt;=$F61),"■","")</x:f>
      </x:c>
      <x:c r="BI61" s="418" t="str">
        <x:f>IF(AND(BI$7&gt;=$E61,BI$7&lt;=$F61),"■","")</x:f>
      </x:c>
      <x:c r="BJ61" s="418" t="str">
        <x:f>IF(AND(BJ$7&gt;=$E61,BJ$7&lt;=$F61),"■","")</x:f>
      </x:c>
      <x:c r="BK61" s="418" t="str">
        <x:f>IF(AND(BK$7&gt;=$E61,BK$7&lt;=$F61),"■","")</x:f>
      </x:c>
      <x:c r="BL61" s="418" t="str">
        <x:f>IF(AND(BL$7&gt;=$E61,BL$7&lt;=$F61),"■","")</x:f>
      </x:c>
      <x:c r="BM61" s="418" t="str">
        <x:f>IF(AND(BM$7&gt;=$E61,BM$7&lt;=$F61),"■","")</x:f>
      </x:c>
      <x:c r="BN61" s="418" t="str">
        <x:f>IF(AND(BN$7&gt;=$E61,BN$7&lt;=$F61),"■","")</x:f>
      </x:c>
      <x:c r="BO61" s="418" t="str">
        <x:f>IF(AND(BO$7&gt;=$E61,BO$7&lt;=$F61),"■","")</x:f>
      </x:c>
      <x:c r="BP61" s="418" t="str">
        <x:f>IF(AND(BP$7&gt;=$E61,BP$7&lt;=$F61),"■","")</x:f>
      </x:c>
    </x:row>
    <x:row r="62" ht="38" customHeight="1">
      <x:c r="B62" s="406" t="str">
        <x:v>6.10★</x:v>
      </x:c>
      <x:c r="C62" s="407" t="str">
        <x:v>규칙 기반 후속 질문·드릴다운 UX 재검토
[대기] 산출물: 추천 질문 UX(보류·승인 후 후보)</x:v>
      </x:c>
      <x:c r="D62" s="407" t="str">
        <x:v>박준희·송민지</x:v>
      </x:c>
      <x:c r="E62" s="408" t="n">
        <x:v>46254</x:v>
      </x:c>
      <x:c r="F62" s="408" t="n">
        <x:v>46254</x:v>
      </x:c>
      <x:c r="G62" s="409" t="n">
        <x:f>MAX(0,F62-E62)</x:f>
        <x:v>0</x:v>
      </x:c>
      <x:c r="H62" s="410" t="n">
        <x:v>0</x:v>
      </x:c>
      <x:c r="I62" s="412" t="str">
        <x:f>IF(AND(I$7&gt;=$E62,I$7&lt;=$F62),"■","")</x:f>
      </x:c>
      <x:c r="J62" s="412" t="str">
        <x:f>IF(AND(J$7&gt;=$E62,J$7&lt;=$F62),"■","")</x:f>
      </x:c>
      <x:c r="K62" s="412" t="str">
        <x:f>IF(AND(K$7&gt;=$E62,K$7&lt;=$F62),"■","")</x:f>
      </x:c>
      <x:c r="L62" s="412" t="str">
        <x:f>IF(AND(L$7&gt;=$E62,L$7&lt;=$F62),"■","")</x:f>
      </x:c>
      <x:c r="M62" s="412" t="str">
        <x:f>IF(AND(M$7&gt;=$E62,M$7&lt;=$F62),"■","")</x:f>
      </x:c>
      <x:c r="N62" s="412" t="str">
        <x:f>IF(AND(N$7&gt;=$E62,N$7&lt;=$F62),"■","")</x:f>
      </x:c>
      <x:c r="O62" s="412" t="str">
        <x:f>IF(AND(O$7&gt;=$E62,O$7&lt;=$F62),"■","")</x:f>
      </x:c>
      <x:c r="P62" s="412" t="str">
        <x:f>IF(AND(P$7&gt;=$E62,P$7&lt;=$F62),"■","")</x:f>
      </x:c>
      <x:c r="Q62" s="412" t="str">
        <x:f>IF(AND(Q$7&gt;=$E62,Q$7&lt;=$F62),"■","")</x:f>
      </x:c>
      <x:c r="R62" s="412" t="str">
        <x:f>IF(AND(R$7&gt;=$E62,R$7&lt;=$F62),"■","")</x:f>
      </x:c>
      <x:c r="S62" s="412" t="str">
        <x:f>IF(AND(S$7&gt;=$E62,S$7&lt;=$F62),"■","")</x:f>
      </x:c>
      <x:c r="T62" s="412" t="str">
        <x:f>IF(AND(T$7&gt;=$E62,T$7&lt;=$F62),"■","")</x:f>
      </x:c>
      <x:c r="U62" s="412" t="str">
        <x:f>IF(AND(U$7&gt;=$E62,U$7&lt;=$F62),"■","")</x:f>
      </x:c>
      <x:c r="V62" s="412" t="str">
        <x:f>IF(AND(V$7&gt;=$E62,V$7&lt;=$F62),"■","")</x:f>
      </x:c>
      <x:c r="W62" s="412" t="str">
        <x:f>IF(AND(W$7&gt;=$E62,W$7&lt;=$F62),"■","")</x:f>
      </x:c>
      <x:c r="X62" s="414" t="str">
        <x:f>IF(AND(X$7&gt;=$E62,X$7&lt;=$F62),"■","")</x:f>
      </x:c>
      <x:c r="Y62" s="414" t="str">
        <x:f>IF(AND(Y$7&gt;=$E62,Y$7&lt;=$F62),"■","")</x:f>
      </x:c>
      <x:c r="Z62" s="414" t="str">
        <x:f>IF(AND(Z$7&gt;=$E62,Z$7&lt;=$F62),"■","")</x:f>
      </x:c>
      <x:c r="AA62" s="414" t="str">
        <x:f>IF(AND(AA$7&gt;=$E62,AA$7&lt;=$F62),"■","")</x:f>
      </x:c>
      <x:c r="AB62" s="414" t="str">
        <x:f>IF(AND(AB$7&gt;=$E62,AB$7&lt;=$F62),"■","")</x:f>
      </x:c>
      <x:c r="AC62" s="414" t="str">
        <x:f>IF(AND(AC$7&gt;=$E62,AC$7&lt;=$F62),"■","")</x:f>
      </x:c>
      <x:c r="AD62" s="414" t="str">
        <x:f>IF(AND(AD$7&gt;=$E62,AD$7&lt;=$F62),"■","")</x:f>
      </x:c>
      <x:c r="AE62" s="414" t="str">
        <x:f>IF(AND(AE$7&gt;=$E62,AE$7&lt;=$F62),"■","")</x:f>
      </x:c>
      <x:c r="AF62" s="414" t="str">
        <x:f>IF(AND(AF$7&gt;=$E62,AF$7&lt;=$F62),"■","")</x:f>
      </x:c>
      <x:c r="AG62" s="414" t="str">
        <x:f>IF(AND(AG$7&gt;=$E62,AG$7&lt;=$F62),"■","")</x:f>
      </x:c>
      <x:c r="AH62" s="414" t="str">
        <x:f>IF(AND(AH$7&gt;=$E62,AH$7&lt;=$F62),"■","")</x:f>
      </x:c>
      <x:c r="AI62" s="414" t="str">
        <x:f>IF(AND(AI$7&gt;=$E62,AI$7&lt;=$F62),"■","")</x:f>
      </x:c>
      <x:c r="AJ62" s="414" t="str">
        <x:f>IF(AND(AJ$7&gt;=$E62,AJ$7&lt;=$F62),"■","")</x:f>
      </x:c>
      <x:c r="AK62" s="414" t="str">
        <x:f>IF(AND(AK$7&gt;=$E62,AK$7&lt;=$F62),"■","")</x:f>
      </x:c>
      <x:c r="AL62" s="414" t="str">
        <x:f>IF(AND(AL$7&gt;=$E62,AL$7&lt;=$F62),"■","")</x:f>
      </x:c>
      <x:c r="AM62" s="416" t="str">
        <x:f>IF(AND(AM$7&gt;=$E62,AM$7&lt;=$F62),"■","")</x:f>
      </x:c>
      <x:c r="AN62" s="416" t="str">
        <x:f>IF(AND(AN$7&gt;=$E62,AN$7&lt;=$F62),"■","")</x:f>
      </x:c>
      <x:c r="AO62" s="416" t="str">
        <x:f>IF(AND(AO$7&gt;=$E62,AO$7&lt;=$F62),"■","")</x:f>
      </x:c>
      <x:c r="AP62" s="416" t="str">
        <x:f>IF(AND(AP$7&gt;=$E62,AP$7&lt;=$F62),"■","")</x:f>
        <x:v>■</x:v>
      </x:c>
      <x:c r="AQ62" s="416" t="str">
        <x:f>IF(AND(AQ$7&gt;=$E62,AQ$7&lt;=$F62),"■","")</x:f>
      </x:c>
      <x:c r="AR62" s="416" t="str">
        <x:f>IF(AND(AR$7&gt;=$E62,AR$7&lt;=$F62),"■","")</x:f>
      </x:c>
      <x:c r="AS62" s="416" t="str">
        <x:f>IF(AND(AS$7&gt;=$E62,AS$7&lt;=$F62),"■","")</x:f>
      </x:c>
      <x:c r="AT62" s="416" t="str">
        <x:f>IF(AND(AT$7&gt;=$E62,AT$7&lt;=$F62),"■","")</x:f>
      </x:c>
      <x:c r="AU62" s="416" t="str">
        <x:f>IF(AND(AU$7&gt;=$E62,AU$7&lt;=$F62),"■","")</x:f>
      </x:c>
      <x:c r="AV62" s="416" t="str">
        <x:f>IF(AND(AV$7&gt;=$E62,AV$7&lt;=$F62),"■","")</x:f>
      </x:c>
      <x:c r="AW62" s="416" t="str">
        <x:f>IF(AND(AW$7&gt;=$E62,AW$7&lt;=$F62),"■","")</x:f>
      </x:c>
      <x:c r="AX62" s="416" t="str">
        <x:f>IF(AND(AX$7&gt;=$E62,AX$7&lt;=$F62),"■","")</x:f>
      </x:c>
      <x:c r="AY62" s="416" t="str">
        <x:f>IF(AND(AY$7&gt;=$E62,AY$7&lt;=$F62),"■","")</x:f>
      </x:c>
      <x:c r="AZ62" s="416" t="str">
        <x:f>IF(AND(AZ$7&gt;=$E62,AZ$7&lt;=$F62),"■","")</x:f>
      </x:c>
      <x:c r="BA62" s="416" t="str">
        <x:f>IF(AND(BA$7&gt;=$E62,BA$7&lt;=$F62),"■","")</x:f>
      </x:c>
      <x:c r="BB62" s="418" t="str">
        <x:f>IF(AND(BB$7&gt;=$E62,BB$7&lt;=$F62),"■","")</x:f>
      </x:c>
      <x:c r="BC62" s="418" t="str">
        <x:f>IF(AND(BC$7&gt;=$E62,BC$7&lt;=$F62),"■","")</x:f>
      </x:c>
      <x:c r="BD62" s="418" t="str">
        <x:f>IF(AND(BD$7&gt;=$E62,BD$7&lt;=$F62),"■","")</x:f>
      </x:c>
      <x:c r="BE62" s="418" t="str">
        <x:f>IF(AND(BE$7&gt;=$E62,BE$7&lt;=$F62),"■","")</x:f>
      </x:c>
      <x:c r="BF62" s="418" t="str">
        <x:f>IF(AND(BF$7&gt;=$E62,BF$7&lt;=$F62),"■","")</x:f>
      </x:c>
      <x:c r="BG62" s="418" t="str">
        <x:f>IF(AND(BG$7&gt;=$E62,BG$7&lt;=$F62),"■","")</x:f>
      </x:c>
      <x:c r="BH62" s="418" t="str">
        <x:f>IF(AND(BH$7&gt;=$E62,BH$7&lt;=$F62),"■","")</x:f>
      </x:c>
      <x:c r="BI62" s="418" t="str">
        <x:f>IF(AND(BI$7&gt;=$E62,BI$7&lt;=$F62),"■","")</x:f>
      </x:c>
      <x:c r="BJ62" s="418" t="str">
        <x:f>IF(AND(BJ$7&gt;=$E62,BJ$7&lt;=$F62),"■","")</x:f>
      </x:c>
      <x:c r="BK62" s="418" t="str">
        <x:f>IF(AND(BK$7&gt;=$E62,BK$7&lt;=$F62),"■","")</x:f>
      </x:c>
      <x:c r="BL62" s="418" t="str">
        <x:f>IF(AND(BL$7&gt;=$E62,BL$7&lt;=$F62),"■","")</x:f>
      </x:c>
      <x:c r="BM62" s="418" t="str">
        <x:f>IF(AND(BM$7&gt;=$E62,BM$7&lt;=$F62),"■","")</x:f>
      </x:c>
      <x:c r="BN62" s="418" t="str">
        <x:f>IF(AND(BN$7&gt;=$E62,BN$7&lt;=$F62),"■","")</x:f>
      </x:c>
      <x:c r="BO62" s="418" t="str">
        <x:f>IF(AND(BO$7&gt;=$E62,BO$7&lt;=$F62),"■","")</x:f>
      </x:c>
      <x:c r="BP62" s="418" t="str">
        <x:f>IF(AND(BP$7&gt;=$E62,BP$7&lt;=$F62),"■","")</x:f>
      </x:c>
    </x:row>
    <x:row r="63" ht="38" customHeight="1">
      <x:c r="B63" s="406" t="str">
        <x:v>6.11★</x:v>
      </x:c>
      <x:c r="C63" s="407" t="str">
        <x:v>Baseline build freeze·secret/권한/SQL/timeout 점검·smoke와 결함 분류
[대기] 산출물: 안전 검증 evidence</x:v>
      </x:c>
      <x:c r="D63" s="407" t="str">
        <x:v>박준희·김재홍</x:v>
      </x:c>
      <x:c r="E63" s="408" t="n">
        <x:v>46246</x:v>
      </x:c>
      <x:c r="F63" s="408" t="n">
        <x:v>46246</x:v>
      </x:c>
      <x:c r="G63" s="409" t="n">
        <x:f>MAX(0,F63-E63)</x:f>
        <x:v>0</x:v>
      </x:c>
      <x:c r="H63" s="410" t="n">
        <x:v>0</x:v>
      </x:c>
      <x:c r="I63" s="412" t="str">
        <x:f>IF(AND(I$7&gt;=$E63,I$7&lt;=$F63),"■","")</x:f>
      </x:c>
      <x:c r="J63" s="412" t="str">
        <x:f>IF(AND(J$7&gt;=$E63,J$7&lt;=$F63),"■","")</x:f>
      </x:c>
      <x:c r="K63" s="412" t="str">
        <x:f>IF(AND(K$7&gt;=$E63,K$7&lt;=$F63),"■","")</x:f>
      </x:c>
      <x:c r="L63" s="412" t="str">
        <x:f>IF(AND(L$7&gt;=$E63,L$7&lt;=$F63),"■","")</x:f>
      </x:c>
      <x:c r="M63" s="412" t="str">
        <x:f>IF(AND(M$7&gt;=$E63,M$7&lt;=$F63),"■","")</x:f>
      </x:c>
      <x:c r="N63" s="412" t="str">
        <x:f>IF(AND(N$7&gt;=$E63,N$7&lt;=$F63),"■","")</x:f>
      </x:c>
      <x:c r="O63" s="412" t="str">
        <x:f>IF(AND(O$7&gt;=$E63,O$7&lt;=$F63),"■","")</x:f>
      </x:c>
      <x:c r="P63" s="412" t="str">
        <x:f>IF(AND(P$7&gt;=$E63,P$7&lt;=$F63),"■","")</x:f>
      </x:c>
      <x:c r="Q63" s="412" t="str">
        <x:f>IF(AND(Q$7&gt;=$E63,Q$7&lt;=$F63),"■","")</x:f>
      </x:c>
      <x:c r="R63" s="412" t="str">
        <x:f>IF(AND(R$7&gt;=$E63,R$7&lt;=$F63),"■","")</x:f>
      </x:c>
      <x:c r="S63" s="412" t="str">
        <x:f>IF(AND(S$7&gt;=$E63,S$7&lt;=$F63),"■","")</x:f>
      </x:c>
      <x:c r="T63" s="412" t="str">
        <x:f>IF(AND(T$7&gt;=$E63,T$7&lt;=$F63),"■","")</x:f>
      </x:c>
      <x:c r="U63" s="412" t="str">
        <x:f>IF(AND(U$7&gt;=$E63,U$7&lt;=$F63),"■","")</x:f>
      </x:c>
      <x:c r="V63" s="412" t="str">
        <x:f>IF(AND(V$7&gt;=$E63,V$7&lt;=$F63),"■","")</x:f>
      </x:c>
      <x:c r="W63" s="412" t="str">
        <x:f>IF(AND(W$7&gt;=$E63,W$7&lt;=$F63),"■","")</x:f>
      </x:c>
      <x:c r="X63" s="414" t="str">
        <x:f>IF(AND(X$7&gt;=$E63,X$7&lt;=$F63),"■","")</x:f>
      </x:c>
      <x:c r="Y63" s="414" t="str">
        <x:f>IF(AND(Y$7&gt;=$E63,Y$7&lt;=$F63),"■","")</x:f>
      </x:c>
      <x:c r="Z63" s="414" t="str">
        <x:f>IF(AND(Z$7&gt;=$E63,Z$7&lt;=$F63),"■","")</x:f>
      </x:c>
      <x:c r="AA63" s="414" t="str">
        <x:f>IF(AND(AA$7&gt;=$E63,AA$7&lt;=$F63),"■","")</x:f>
      </x:c>
      <x:c r="AB63" s="414" t="str">
        <x:f>IF(AND(AB$7&gt;=$E63,AB$7&lt;=$F63),"■","")</x:f>
      </x:c>
      <x:c r="AC63" s="414" t="str">
        <x:f>IF(AND(AC$7&gt;=$E63,AC$7&lt;=$F63),"■","")</x:f>
      </x:c>
      <x:c r="AD63" s="414" t="str">
        <x:f>IF(AND(AD$7&gt;=$E63,AD$7&lt;=$F63),"■","")</x:f>
      </x:c>
      <x:c r="AE63" s="414" t="str">
        <x:f>IF(AND(AE$7&gt;=$E63,AE$7&lt;=$F63),"■","")</x:f>
      </x:c>
      <x:c r="AF63" s="414" t="str">
        <x:f>IF(AND(AF$7&gt;=$E63,AF$7&lt;=$F63),"■","")</x:f>
      </x:c>
      <x:c r="AG63" s="414" t="str">
        <x:f>IF(AND(AG$7&gt;=$E63,AG$7&lt;=$F63),"■","")</x:f>
      </x:c>
      <x:c r="AH63" s="414" t="str">
        <x:f>IF(AND(AH$7&gt;=$E63,AH$7&lt;=$F63),"■","")</x:f>
      </x:c>
      <x:c r="AI63" s="414" t="str">
        <x:f>IF(AND(AI$7&gt;=$E63,AI$7&lt;=$F63),"■","")</x:f>
      </x:c>
      <x:c r="AJ63" s="414" t="str">
        <x:f>IF(AND(AJ$7&gt;=$E63,AJ$7&lt;=$F63),"■","")</x:f>
        <x:v>■</x:v>
      </x:c>
      <x:c r="AK63" s="414" t="str">
        <x:f>IF(AND(AK$7&gt;=$E63,AK$7&lt;=$F63),"■","")</x:f>
      </x:c>
      <x:c r="AL63" s="414" t="str">
        <x:f>IF(AND(AL$7&gt;=$E63,AL$7&lt;=$F63),"■","")</x:f>
      </x:c>
      <x:c r="AM63" s="416" t="str">
        <x:f>IF(AND(AM$7&gt;=$E63,AM$7&lt;=$F63),"■","")</x:f>
      </x:c>
      <x:c r="AN63" s="416" t="str">
        <x:f>IF(AND(AN$7&gt;=$E63,AN$7&lt;=$F63),"■","")</x:f>
      </x:c>
      <x:c r="AO63" s="416" t="str">
        <x:f>IF(AND(AO$7&gt;=$E63,AO$7&lt;=$F63),"■","")</x:f>
      </x:c>
      <x:c r="AP63" s="416" t="str">
        <x:f>IF(AND(AP$7&gt;=$E63,AP$7&lt;=$F63),"■","")</x:f>
      </x:c>
      <x:c r="AQ63" s="416" t="str">
        <x:f>IF(AND(AQ$7&gt;=$E63,AQ$7&lt;=$F63),"■","")</x:f>
      </x:c>
      <x:c r="AR63" s="416" t="str">
        <x:f>IF(AND(AR$7&gt;=$E63,AR$7&lt;=$F63),"■","")</x:f>
      </x:c>
      <x:c r="AS63" s="416" t="str">
        <x:f>IF(AND(AS$7&gt;=$E63,AS$7&lt;=$F63),"■","")</x:f>
      </x:c>
      <x:c r="AT63" s="416" t="str">
        <x:f>IF(AND(AT$7&gt;=$E63,AT$7&lt;=$F63),"■","")</x:f>
      </x:c>
      <x:c r="AU63" s="416" t="str">
        <x:f>IF(AND(AU$7&gt;=$E63,AU$7&lt;=$F63),"■","")</x:f>
      </x:c>
      <x:c r="AV63" s="416" t="str">
        <x:f>IF(AND(AV$7&gt;=$E63,AV$7&lt;=$F63),"■","")</x:f>
      </x:c>
      <x:c r="AW63" s="416" t="str">
        <x:f>IF(AND(AW$7&gt;=$E63,AW$7&lt;=$F63),"■","")</x:f>
      </x:c>
      <x:c r="AX63" s="416" t="str">
        <x:f>IF(AND(AX$7&gt;=$E63,AX$7&lt;=$F63),"■","")</x:f>
      </x:c>
      <x:c r="AY63" s="416" t="str">
        <x:f>IF(AND(AY$7&gt;=$E63,AY$7&lt;=$F63),"■","")</x:f>
      </x:c>
      <x:c r="AZ63" s="416" t="str">
        <x:f>IF(AND(AZ$7&gt;=$E63,AZ$7&lt;=$F63),"■","")</x:f>
      </x:c>
      <x:c r="BA63" s="416" t="str">
        <x:f>IF(AND(BA$7&gt;=$E63,BA$7&lt;=$F63),"■","")</x:f>
      </x:c>
      <x:c r="BB63" s="418" t="str">
        <x:f>IF(AND(BB$7&gt;=$E63,BB$7&lt;=$F63),"■","")</x:f>
      </x:c>
      <x:c r="BC63" s="418" t="str">
        <x:f>IF(AND(BC$7&gt;=$E63,BC$7&lt;=$F63),"■","")</x:f>
      </x:c>
      <x:c r="BD63" s="418" t="str">
        <x:f>IF(AND(BD$7&gt;=$E63,BD$7&lt;=$F63),"■","")</x:f>
      </x:c>
      <x:c r="BE63" s="418" t="str">
        <x:f>IF(AND(BE$7&gt;=$E63,BE$7&lt;=$F63),"■","")</x:f>
      </x:c>
      <x:c r="BF63" s="418" t="str">
        <x:f>IF(AND(BF$7&gt;=$E63,BF$7&lt;=$F63),"■","")</x:f>
      </x:c>
      <x:c r="BG63" s="418" t="str">
        <x:f>IF(AND(BG$7&gt;=$E63,BG$7&lt;=$F63),"■","")</x:f>
      </x:c>
      <x:c r="BH63" s="418" t="str">
        <x:f>IF(AND(BH$7&gt;=$E63,BH$7&lt;=$F63),"■","")</x:f>
      </x:c>
      <x:c r="BI63" s="418" t="str">
        <x:f>IF(AND(BI$7&gt;=$E63,BI$7&lt;=$F63),"■","")</x:f>
      </x:c>
      <x:c r="BJ63" s="418" t="str">
        <x:f>IF(AND(BJ$7&gt;=$E63,BJ$7&lt;=$F63),"■","")</x:f>
      </x:c>
      <x:c r="BK63" s="418" t="str">
        <x:f>IF(AND(BK$7&gt;=$E63,BK$7&lt;=$F63),"■","")</x:f>
      </x:c>
      <x:c r="BL63" s="418" t="str">
        <x:f>IF(AND(BL$7&gt;=$E63,BL$7&lt;=$F63),"■","")</x:f>
      </x:c>
      <x:c r="BM63" s="418" t="str">
        <x:f>IF(AND(BM$7&gt;=$E63,BM$7&lt;=$F63),"■","")</x:f>
      </x:c>
      <x:c r="BN63" s="418" t="str">
        <x:f>IF(AND(BN$7&gt;=$E63,BN$7&lt;=$F63),"■","")</x:f>
      </x:c>
      <x:c r="BO63" s="418" t="str">
        <x:f>IF(AND(BO$7&gt;=$E63,BO$7&lt;=$F63),"■","")</x:f>
      </x:c>
      <x:c r="BP63" s="418" t="str">
        <x:f>IF(AND(BP$7&gt;=$E63,BP$7&lt;=$F63),"■","")</x:f>
      </x:c>
    </x:row>
    <x:row r="64" ht="38" customHeight="1">
      <x:c r="B64" s="406" t="str">
        <x:v>6.12★</x:v>
      </x:c>
      <x:c r="C64" s="407" t="str">
        <x:v>결정론적 SQL builder·read-only Guard·실행·job 연결
[대기] 산출물: SQL Guard·실행 모듈</x:v>
      </x:c>
      <x:c r="D64" s="407" t="str">
        <x:v>김재홍</x:v>
      </x:c>
      <x:c r="E64" s="408" t="n">
        <x:v>46239</x:v>
      </x:c>
      <x:c r="F64" s="408" t="n">
        <x:v>46244</x:v>
      </x:c>
      <x:c r="G64" s="409" t="n">
        <x:f>MAX(0,F64-E64)</x:f>
        <x:v>5</x:v>
      </x:c>
      <x:c r="H64" s="410" t="n">
        <x:v>0</x:v>
      </x:c>
      <x:c r="I64" s="412" t="str">
        <x:f>IF(AND(I$7&gt;=$E64,I$7&lt;=$F64),"■","")</x:f>
      </x:c>
      <x:c r="J64" s="412" t="str">
        <x:f>IF(AND(J$7&gt;=$E64,J$7&lt;=$F64),"■","")</x:f>
      </x:c>
      <x:c r="K64" s="412" t="str">
        <x:f>IF(AND(K$7&gt;=$E64,K$7&lt;=$F64),"■","")</x:f>
      </x:c>
      <x:c r="L64" s="412" t="str">
        <x:f>IF(AND(L$7&gt;=$E64,L$7&lt;=$F64),"■","")</x:f>
      </x:c>
      <x:c r="M64" s="412" t="str">
        <x:f>IF(AND(M$7&gt;=$E64,M$7&lt;=$F64),"■","")</x:f>
      </x:c>
      <x:c r="N64" s="412" t="str">
        <x:f>IF(AND(N$7&gt;=$E64,N$7&lt;=$F64),"■","")</x:f>
      </x:c>
      <x:c r="O64" s="412" t="str">
        <x:f>IF(AND(O$7&gt;=$E64,O$7&lt;=$F64),"■","")</x:f>
      </x:c>
      <x:c r="P64" s="412" t="str">
        <x:f>IF(AND(P$7&gt;=$E64,P$7&lt;=$F64),"■","")</x:f>
      </x:c>
      <x:c r="Q64" s="412" t="str">
        <x:f>IF(AND(Q$7&gt;=$E64,Q$7&lt;=$F64),"■","")</x:f>
      </x:c>
      <x:c r="R64" s="412" t="str">
        <x:f>IF(AND(R$7&gt;=$E64,R$7&lt;=$F64),"■","")</x:f>
      </x:c>
      <x:c r="S64" s="412" t="str">
        <x:f>IF(AND(S$7&gt;=$E64,S$7&lt;=$F64),"■","")</x:f>
      </x:c>
      <x:c r="T64" s="412" t="str">
        <x:f>IF(AND(T$7&gt;=$E64,T$7&lt;=$F64),"■","")</x:f>
      </x:c>
      <x:c r="U64" s="412" t="str">
        <x:f>IF(AND(U$7&gt;=$E64,U$7&lt;=$F64),"■","")</x:f>
      </x:c>
      <x:c r="V64" s="412" t="str">
        <x:f>IF(AND(V$7&gt;=$E64,V$7&lt;=$F64),"■","")</x:f>
      </x:c>
      <x:c r="W64" s="412" t="str">
        <x:f>IF(AND(W$7&gt;=$E64,W$7&lt;=$F64),"■","")</x:f>
      </x:c>
      <x:c r="X64" s="414" t="str">
        <x:f>IF(AND(X$7&gt;=$E64,X$7&lt;=$F64),"■","")</x:f>
      </x:c>
      <x:c r="Y64" s="414" t="str">
        <x:f>IF(AND(Y$7&gt;=$E64,Y$7&lt;=$F64),"■","")</x:f>
      </x:c>
      <x:c r="Z64" s="414" t="str">
        <x:f>IF(AND(Z$7&gt;=$E64,Z$7&lt;=$F64),"■","")</x:f>
      </x:c>
      <x:c r="AA64" s="414" t="str">
        <x:f>IF(AND(AA$7&gt;=$E64,AA$7&lt;=$F64),"■","")</x:f>
      </x:c>
      <x:c r="AB64" s="414" t="str">
        <x:f>IF(AND(AB$7&gt;=$E64,AB$7&lt;=$F64),"■","")</x:f>
      </x:c>
      <x:c r="AC64" s="414" t="str">
        <x:f>IF(AND(AC$7&gt;=$E64,AC$7&lt;=$F64),"■","")</x:f>
      </x:c>
      <x:c r="AD64" s="414" t="str">
        <x:f>IF(AND(AD$7&gt;=$E64,AD$7&lt;=$F64),"■","")</x:f>
      </x:c>
      <x:c r="AE64" s="414" t="str">
        <x:f>IF(AND(AE$7&gt;=$E64,AE$7&lt;=$F64),"■","")</x:f>
        <x:v>■</x:v>
      </x:c>
      <x:c r="AF64" s="414" t="str">
        <x:f>IF(AND(AF$7&gt;=$E64,AF$7&lt;=$F64),"■","")</x:f>
        <x:v>■</x:v>
      </x:c>
      <x:c r="AG64" s="414" t="str">
        <x:f>IF(AND(AG$7&gt;=$E64,AG$7&lt;=$F64),"■","")</x:f>
        <x:v>■</x:v>
      </x:c>
      <x:c r="AH64" s="414" t="str">
        <x:f>IF(AND(AH$7&gt;=$E64,AH$7&lt;=$F64),"■","")</x:f>
        <x:v>■</x:v>
      </x:c>
      <x:c r="AI64" s="414" t="str">
        <x:f>IF(AND(AI$7&gt;=$E64,AI$7&lt;=$F64),"■","")</x:f>
      </x:c>
      <x:c r="AJ64" s="414" t="str">
        <x:f>IF(AND(AJ$7&gt;=$E64,AJ$7&lt;=$F64),"■","")</x:f>
      </x:c>
      <x:c r="AK64" s="414" t="str">
        <x:f>IF(AND(AK$7&gt;=$E64,AK$7&lt;=$F64),"■","")</x:f>
      </x:c>
      <x:c r="AL64" s="414" t="str">
        <x:f>IF(AND(AL$7&gt;=$E64,AL$7&lt;=$F64),"■","")</x:f>
      </x:c>
      <x:c r="AM64" s="416" t="str">
        <x:f>IF(AND(AM$7&gt;=$E64,AM$7&lt;=$F64),"■","")</x:f>
      </x:c>
      <x:c r="AN64" s="416" t="str">
        <x:f>IF(AND(AN$7&gt;=$E64,AN$7&lt;=$F64),"■","")</x:f>
      </x:c>
      <x:c r="AO64" s="416" t="str">
        <x:f>IF(AND(AO$7&gt;=$E64,AO$7&lt;=$F64),"■","")</x:f>
      </x:c>
      <x:c r="AP64" s="416" t="str">
        <x:f>IF(AND(AP$7&gt;=$E64,AP$7&lt;=$F64),"■","")</x:f>
      </x:c>
      <x:c r="AQ64" s="416" t="str">
        <x:f>IF(AND(AQ$7&gt;=$E64,AQ$7&lt;=$F64),"■","")</x:f>
      </x:c>
      <x:c r="AR64" s="416" t="str">
        <x:f>IF(AND(AR$7&gt;=$E64,AR$7&lt;=$F64),"■","")</x:f>
      </x:c>
      <x:c r="AS64" s="416" t="str">
        <x:f>IF(AND(AS$7&gt;=$E64,AS$7&lt;=$F64),"■","")</x:f>
      </x:c>
      <x:c r="AT64" s="416" t="str">
        <x:f>IF(AND(AT$7&gt;=$E64,AT$7&lt;=$F64),"■","")</x:f>
      </x:c>
      <x:c r="AU64" s="416" t="str">
        <x:f>IF(AND(AU$7&gt;=$E64,AU$7&lt;=$F64),"■","")</x:f>
      </x:c>
      <x:c r="AV64" s="416" t="str">
        <x:f>IF(AND(AV$7&gt;=$E64,AV$7&lt;=$F64),"■","")</x:f>
      </x:c>
      <x:c r="AW64" s="416" t="str">
        <x:f>IF(AND(AW$7&gt;=$E64,AW$7&lt;=$F64),"■","")</x:f>
      </x:c>
      <x:c r="AX64" s="416" t="str">
        <x:f>IF(AND(AX$7&gt;=$E64,AX$7&lt;=$F64),"■","")</x:f>
      </x:c>
      <x:c r="AY64" s="416" t="str">
        <x:f>IF(AND(AY$7&gt;=$E64,AY$7&lt;=$F64),"■","")</x:f>
      </x:c>
      <x:c r="AZ64" s="416" t="str">
        <x:f>IF(AND(AZ$7&gt;=$E64,AZ$7&lt;=$F64),"■","")</x:f>
      </x:c>
      <x:c r="BA64" s="416" t="str">
        <x:f>IF(AND(BA$7&gt;=$E64,BA$7&lt;=$F64),"■","")</x:f>
      </x:c>
      <x:c r="BB64" s="418" t="str">
        <x:f>IF(AND(BB$7&gt;=$E64,BB$7&lt;=$F64),"■","")</x:f>
      </x:c>
      <x:c r="BC64" s="418" t="str">
        <x:f>IF(AND(BC$7&gt;=$E64,BC$7&lt;=$F64),"■","")</x:f>
      </x:c>
      <x:c r="BD64" s="418" t="str">
        <x:f>IF(AND(BD$7&gt;=$E64,BD$7&lt;=$F64),"■","")</x:f>
      </x:c>
      <x:c r="BE64" s="418" t="str">
        <x:f>IF(AND(BE$7&gt;=$E64,BE$7&lt;=$F64),"■","")</x:f>
      </x:c>
      <x:c r="BF64" s="418" t="str">
        <x:f>IF(AND(BF$7&gt;=$E64,BF$7&lt;=$F64),"■","")</x:f>
      </x:c>
      <x:c r="BG64" s="418" t="str">
        <x:f>IF(AND(BG$7&gt;=$E64,BG$7&lt;=$F64),"■","")</x:f>
      </x:c>
      <x:c r="BH64" s="418" t="str">
        <x:f>IF(AND(BH$7&gt;=$E64,BH$7&lt;=$F64),"■","")</x:f>
      </x:c>
      <x:c r="BI64" s="418" t="str">
        <x:f>IF(AND(BI$7&gt;=$E64,BI$7&lt;=$F64),"■","")</x:f>
      </x:c>
      <x:c r="BJ64" s="418" t="str">
        <x:f>IF(AND(BJ$7&gt;=$E64,BJ$7&lt;=$F64),"■","")</x:f>
      </x:c>
      <x:c r="BK64" s="418" t="str">
        <x:f>IF(AND(BK$7&gt;=$E64,BK$7&lt;=$F64),"■","")</x:f>
      </x:c>
      <x:c r="BL64" s="418" t="str">
        <x:f>IF(AND(BL$7&gt;=$E64,BL$7&lt;=$F64),"■","")</x:f>
      </x:c>
      <x:c r="BM64" s="418" t="str">
        <x:f>IF(AND(BM$7&gt;=$E64,BM$7&lt;=$F64),"■","")</x:f>
      </x:c>
      <x:c r="BN64" s="418" t="str">
        <x:f>IF(AND(BN$7&gt;=$E64,BN$7&lt;=$F64),"■","")</x:f>
      </x:c>
      <x:c r="BO64" s="418" t="str">
        <x:f>IF(AND(BO$7&gt;=$E64,BO$7&lt;=$F64),"■","")</x:f>
      </x:c>
      <x:c r="BP64" s="418" t="str">
        <x:f>IF(AND(BP$7&gt;=$E64,BP$7&lt;=$F64),"■","")</x:f>
      </x:c>
    </x:row>
    <x:row r="65" ht="38" customHeight="1">
      <x:c r="B65" s="406" t="str">
        <x:v>6.13★</x:v>
      </x:c>
      <x:c r="C65" s="407" t="str">
        <x:v>기능 A 결과 유형별 최소 표·차트·단위·기간과 D stale 상태 표시 연결
[대기] 산출물: query·모니터링 UI</x:v>
      </x:c>
      <x:c r="D65" s="407" t="str">
        <x:v>송민지</x:v>
      </x:c>
      <x:c r="E65" s="408" t="n">
        <x:v>46241</x:v>
      </x:c>
      <x:c r="F65" s="408" t="n">
        <x:v>46246</x:v>
      </x:c>
      <x:c r="G65" s="409" t="n">
        <x:f>MAX(0,F65-E65)</x:f>
        <x:v>5</x:v>
      </x:c>
      <x:c r="H65" s="410" t="n">
        <x:v>0</x:v>
      </x:c>
      <x:c r="I65" s="412" t="str">
        <x:f>IF(AND(I$7&gt;=$E65,I$7&lt;=$F65),"■","")</x:f>
      </x:c>
      <x:c r="J65" s="412" t="str">
        <x:f>IF(AND(J$7&gt;=$E65,J$7&lt;=$F65),"■","")</x:f>
      </x:c>
      <x:c r="K65" s="412" t="str">
        <x:f>IF(AND(K$7&gt;=$E65,K$7&lt;=$F65),"■","")</x:f>
      </x:c>
      <x:c r="L65" s="412" t="str">
        <x:f>IF(AND(L$7&gt;=$E65,L$7&lt;=$F65),"■","")</x:f>
      </x:c>
      <x:c r="M65" s="412" t="str">
        <x:f>IF(AND(M$7&gt;=$E65,M$7&lt;=$F65),"■","")</x:f>
      </x:c>
      <x:c r="N65" s="412" t="str">
        <x:f>IF(AND(N$7&gt;=$E65,N$7&lt;=$F65),"■","")</x:f>
      </x:c>
      <x:c r="O65" s="412" t="str">
        <x:f>IF(AND(O$7&gt;=$E65,O$7&lt;=$F65),"■","")</x:f>
      </x:c>
      <x:c r="P65" s="412" t="str">
        <x:f>IF(AND(P$7&gt;=$E65,P$7&lt;=$F65),"■","")</x:f>
      </x:c>
      <x:c r="Q65" s="412" t="str">
        <x:f>IF(AND(Q$7&gt;=$E65,Q$7&lt;=$F65),"■","")</x:f>
      </x:c>
      <x:c r="R65" s="412" t="str">
        <x:f>IF(AND(R$7&gt;=$E65,R$7&lt;=$F65),"■","")</x:f>
      </x:c>
      <x:c r="S65" s="412" t="str">
        <x:f>IF(AND(S$7&gt;=$E65,S$7&lt;=$F65),"■","")</x:f>
      </x:c>
      <x:c r="T65" s="412" t="str">
        <x:f>IF(AND(T$7&gt;=$E65,T$7&lt;=$F65),"■","")</x:f>
      </x:c>
      <x:c r="U65" s="412" t="str">
        <x:f>IF(AND(U$7&gt;=$E65,U$7&lt;=$F65),"■","")</x:f>
      </x:c>
      <x:c r="V65" s="412" t="str">
        <x:f>IF(AND(V$7&gt;=$E65,V$7&lt;=$F65),"■","")</x:f>
      </x:c>
      <x:c r="W65" s="412" t="str">
        <x:f>IF(AND(W$7&gt;=$E65,W$7&lt;=$F65),"■","")</x:f>
      </x:c>
      <x:c r="X65" s="414" t="str">
        <x:f>IF(AND(X$7&gt;=$E65,X$7&lt;=$F65),"■","")</x:f>
      </x:c>
      <x:c r="Y65" s="414" t="str">
        <x:f>IF(AND(Y$7&gt;=$E65,Y$7&lt;=$F65),"■","")</x:f>
      </x:c>
      <x:c r="Z65" s="414" t="str">
        <x:f>IF(AND(Z$7&gt;=$E65,Z$7&lt;=$F65),"■","")</x:f>
      </x:c>
      <x:c r="AA65" s="414" t="str">
        <x:f>IF(AND(AA$7&gt;=$E65,AA$7&lt;=$F65),"■","")</x:f>
      </x:c>
      <x:c r="AB65" s="414" t="str">
        <x:f>IF(AND(AB$7&gt;=$E65,AB$7&lt;=$F65),"■","")</x:f>
      </x:c>
      <x:c r="AC65" s="414" t="str">
        <x:f>IF(AND(AC$7&gt;=$E65,AC$7&lt;=$F65),"■","")</x:f>
      </x:c>
      <x:c r="AD65" s="414" t="str">
        <x:f>IF(AND(AD$7&gt;=$E65,AD$7&lt;=$F65),"■","")</x:f>
      </x:c>
      <x:c r="AE65" s="414" t="str">
        <x:f>IF(AND(AE$7&gt;=$E65,AE$7&lt;=$F65),"■","")</x:f>
      </x:c>
      <x:c r="AF65" s="414" t="str">
        <x:f>IF(AND(AF$7&gt;=$E65,AF$7&lt;=$F65),"■","")</x:f>
      </x:c>
      <x:c r="AG65" s="414" t="str">
        <x:f>IF(AND(AG$7&gt;=$E65,AG$7&lt;=$F65),"■","")</x:f>
        <x:v>■</x:v>
      </x:c>
      <x:c r="AH65" s="414" t="str">
        <x:f>IF(AND(AH$7&gt;=$E65,AH$7&lt;=$F65),"■","")</x:f>
        <x:v>■</x:v>
      </x:c>
      <x:c r="AI65" s="414" t="str">
        <x:f>IF(AND(AI$7&gt;=$E65,AI$7&lt;=$F65),"■","")</x:f>
        <x:v>■</x:v>
      </x:c>
      <x:c r="AJ65" s="414" t="str">
        <x:f>IF(AND(AJ$7&gt;=$E65,AJ$7&lt;=$F65),"■","")</x:f>
        <x:v>■</x:v>
      </x:c>
      <x:c r="AK65" s="414" t="str">
        <x:f>IF(AND(AK$7&gt;=$E65,AK$7&lt;=$F65),"■","")</x:f>
      </x:c>
      <x:c r="AL65" s="414" t="str">
        <x:f>IF(AND(AL$7&gt;=$E65,AL$7&lt;=$F65),"■","")</x:f>
      </x:c>
      <x:c r="AM65" s="416" t="str">
        <x:f>IF(AND(AM$7&gt;=$E65,AM$7&lt;=$F65),"■","")</x:f>
      </x:c>
      <x:c r="AN65" s="416" t="str">
        <x:f>IF(AND(AN$7&gt;=$E65,AN$7&lt;=$F65),"■","")</x:f>
      </x:c>
      <x:c r="AO65" s="416" t="str">
        <x:f>IF(AND(AO$7&gt;=$E65,AO$7&lt;=$F65),"■","")</x:f>
      </x:c>
      <x:c r="AP65" s="416" t="str">
        <x:f>IF(AND(AP$7&gt;=$E65,AP$7&lt;=$F65),"■","")</x:f>
      </x:c>
      <x:c r="AQ65" s="416" t="str">
        <x:f>IF(AND(AQ$7&gt;=$E65,AQ$7&lt;=$F65),"■","")</x:f>
      </x:c>
      <x:c r="AR65" s="416" t="str">
        <x:f>IF(AND(AR$7&gt;=$E65,AR$7&lt;=$F65),"■","")</x:f>
      </x:c>
      <x:c r="AS65" s="416" t="str">
        <x:f>IF(AND(AS$7&gt;=$E65,AS$7&lt;=$F65),"■","")</x:f>
      </x:c>
      <x:c r="AT65" s="416" t="str">
        <x:f>IF(AND(AT$7&gt;=$E65,AT$7&lt;=$F65),"■","")</x:f>
      </x:c>
      <x:c r="AU65" s="416" t="str">
        <x:f>IF(AND(AU$7&gt;=$E65,AU$7&lt;=$F65),"■","")</x:f>
      </x:c>
      <x:c r="AV65" s="416" t="str">
        <x:f>IF(AND(AV$7&gt;=$E65,AV$7&lt;=$F65),"■","")</x:f>
      </x:c>
      <x:c r="AW65" s="416" t="str">
        <x:f>IF(AND(AW$7&gt;=$E65,AW$7&lt;=$F65),"■","")</x:f>
      </x:c>
      <x:c r="AX65" s="416" t="str">
        <x:f>IF(AND(AX$7&gt;=$E65,AX$7&lt;=$F65),"■","")</x:f>
      </x:c>
      <x:c r="AY65" s="416" t="str">
        <x:f>IF(AND(AY$7&gt;=$E65,AY$7&lt;=$F65),"■","")</x:f>
      </x:c>
      <x:c r="AZ65" s="416" t="str">
        <x:f>IF(AND(AZ$7&gt;=$E65,AZ$7&lt;=$F65),"■","")</x:f>
      </x:c>
      <x:c r="BA65" s="416" t="str">
        <x:f>IF(AND(BA$7&gt;=$E65,BA$7&lt;=$F65),"■","")</x:f>
      </x:c>
      <x:c r="BB65" s="418" t="str">
        <x:f>IF(AND(BB$7&gt;=$E65,BB$7&lt;=$F65),"■","")</x:f>
      </x:c>
      <x:c r="BC65" s="418" t="str">
        <x:f>IF(AND(BC$7&gt;=$E65,BC$7&lt;=$F65),"■","")</x:f>
      </x:c>
      <x:c r="BD65" s="418" t="str">
        <x:f>IF(AND(BD$7&gt;=$E65,BD$7&lt;=$F65),"■","")</x:f>
      </x:c>
      <x:c r="BE65" s="418" t="str">
        <x:f>IF(AND(BE$7&gt;=$E65,BE$7&lt;=$F65),"■","")</x:f>
      </x:c>
      <x:c r="BF65" s="418" t="str">
        <x:f>IF(AND(BF$7&gt;=$E65,BF$7&lt;=$F65),"■","")</x:f>
      </x:c>
      <x:c r="BG65" s="418" t="str">
        <x:f>IF(AND(BG$7&gt;=$E65,BG$7&lt;=$F65),"■","")</x:f>
      </x:c>
      <x:c r="BH65" s="418" t="str">
        <x:f>IF(AND(BH$7&gt;=$E65,BH$7&lt;=$F65),"■","")</x:f>
      </x:c>
      <x:c r="BI65" s="418" t="str">
        <x:f>IF(AND(BI$7&gt;=$E65,BI$7&lt;=$F65),"■","")</x:f>
      </x:c>
      <x:c r="BJ65" s="418" t="str">
        <x:f>IF(AND(BJ$7&gt;=$E65,BJ$7&lt;=$F65),"■","")</x:f>
      </x:c>
      <x:c r="BK65" s="418" t="str">
        <x:f>IF(AND(BK$7&gt;=$E65,BK$7&lt;=$F65),"■","")</x:f>
      </x:c>
      <x:c r="BL65" s="418" t="str">
        <x:f>IF(AND(BL$7&gt;=$E65,BL$7&lt;=$F65),"■","")</x:f>
      </x:c>
      <x:c r="BM65" s="418" t="str">
        <x:f>IF(AND(BM$7&gt;=$E65,BM$7&lt;=$F65),"■","")</x:f>
      </x:c>
      <x:c r="BN65" s="418" t="str">
        <x:f>IF(AND(BN$7&gt;=$E65,BN$7&lt;=$F65),"■","")</x:f>
      </x:c>
      <x:c r="BO65" s="418" t="str">
        <x:f>IF(AND(BO$7&gt;=$E65,BO$7&lt;=$F65),"■","")</x:f>
      </x:c>
      <x:c r="BP65" s="418" t="str">
        <x:f>IF(AND(BP$7&gt;=$E65,BP$7&lt;=$F65),"■","")</x:f>
      </x:c>
    </x:row>
    <x:row r="66" ht="38" customHeight="1">
      <x:c r="B66" s="406" t="str">
        <x:v>6.14★</x:v>
      </x:c>
      <x:c r="C66" s="407" t="str">
        <x:v>FastAPI 서비스 골격·내부 API 스텁
[대기] 산출물: 내부 서비스 골격</x:v>
      </x:c>
      <x:c r="D66" s="407" t="str">
        <x:v>김재홍·윤대성</x:v>
      </x:c>
      <x:c r="E66" s="408" t="n">
        <x:v>46237</x:v>
      </x:c>
      <x:c r="F66" s="408" t="n">
        <x:v>46241</x:v>
      </x:c>
      <x:c r="G66" s="409" t="n">
        <x:f>MAX(0,F66-E66)</x:f>
        <x:v>4</x:v>
      </x:c>
      <x:c r="H66" s="410" t="n">
        <x:v>0</x:v>
      </x:c>
      <x:c r="I66" s="412" t="str">
        <x:f>IF(AND(I$7&gt;=$E66,I$7&lt;=$F66),"■","")</x:f>
      </x:c>
      <x:c r="J66" s="412" t="str">
        <x:f>IF(AND(J$7&gt;=$E66,J$7&lt;=$F66),"■","")</x:f>
      </x:c>
      <x:c r="K66" s="412" t="str">
        <x:f>IF(AND(K$7&gt;=$E66,K$7&lt;=$F66),"■","")</x:f>
      </x:c>
      <x:c r="L66" s="412" t="str">
        <x:f>IF(AND(L$7&gt;=$E66,L$7&lt;=$F66),"■","")</x:f>
      </x:c>
      <x:c r="M66" s="412" t="str">
        <x:f>IF(AND(M$7&gt;=$E66,M$7&lt;=$F66),"■","")</x:f>
      </x:c>
      <x:c r="N66" s="412" t="str">
        <x:f>IF(AND(N$7&gt;=$E66,N$7&lt;=$F66),"■","")</x:f>
      </x:c>
      <x:c r="O66" s="412" t="str">
        <x:f>IF(AND(O$7&gt;=$E66,O$7&lt;=$F66),"■","")</x:f>
      </x:c>
      <x:c r="P66" s="412" t="str">
        <x:f>IF(AND(P$7&gt;=$E66,P$7&lt;=$F66),"■","")</x:f>
      </x:c>
      <x:c r="Q66" s="412" t="str">
        <x:f>IF(AND(Q$7&gt;=$E66,Q$7&lt;=$F66),"■","")</x:f>
      </x:c>
      <x:c r="R66" s="412" t="str">
        <x:f>IF(AND(R$7&gt;=$E66,R$7&lt;=$F66),"■","")</x:f>
      </x:c>
      <x:c r="S66" s="412" t="str">
        <x:f>IF(AND(S$7&gt;=$E66,S$7&lt;=$F66),"■","")</x:f>
      </x:c>
      <x:c r="T66" s="412" t="str">
        <x:f>IF(AND(T$7&gt;=$E66,T$7&lt;=$F66),"■","")</x:f>
      </x:c>
      <x:c r="U66" s="412" t="str">
        <x:f>IF(AND(U$7&gt;=$E66,U$7&lt;=$F66),"■","")</x:f>
      </x:c>
      <x:c r="V66" s="412" t="str">
        <x:f>IF(AND(V$7&gt;=$E66,V$7&lt;=$F66),"■","")</x:f>
      </x:c>
      <x:c r="W66" s="412" t="str">
        <x:f>IF(AND(W$7&gt;=$E66,W$7&lt;=$F66),"■","")</x:f>
      </x:c>
      <x:c r="X66" s="414" t="str">
        <x:f>IF(AND(X$7&gt;=$E66,X$7&lt;=$F66),"■","")</x:f>
      </x:c>
      <x:c r="Y66" s="414" t="str">
        <x:f>IF(AND(Y$7&gt;=$E66,Y$7&lt;=$F66),"■","")</x:f>
      </x:c>
      <x:c r="Z66" s="414" t="str">
        <x:f>IF(AND(Z$7&gt;=$E66,Z$7&lt;=$F66),"■","")</x:f>
      </x:c>
      <x:c r="AA66" s="414" t="str">
        <x:f>IF(AND(AA$7&gt;=$E66,AA$7&lt;=$F66),"■","")</x:f>
      </x:c>
      <x:c r="AB66" s="414" t="str">
        <x:f>IF(AND(AB$7&gt;=$E66,AB$7&lt;=$F66),"■","")</x:f>
      </x:c>
      <x:c r="AC66" s="414" t="str">
        <x:f>IF(AND(AC$7&gt;=$E66,AC$7&lt;=$F66),"■","")</x:f>
        <x:v>■</x:v>
      </x:c>
      <x:c r="AD66" s="414" t="str">
        <x:f>IF(AND(AD$7&gt;=$E66,AD$7&lt;=$F66),"■","")</x:f>
        <x:v>■</x:v>
      </x:c>
      <x:c r="AE66" s="414" t="str">
        <x:f>IF(AND(AE$7&gt;=$E66,AE$7&lt;=$F66),"■","")</x:f>
        <x:v>■</x:v>
      </x:c>
      <x:c r="AF66" s="414" t="str">
        <x:f>IF(AND(AF$7&gt;=$E66,AF$7&lt;=$F66),"■","")</x:f>
        <x:v>■</x:v>
      </x:c>
      <x:c r="AG66" s="414" t="str">
        <x:f>IF(AND(AG$7&gt;=$E66,AG$7&lt;=$F66),"■","")</x:f>
        <x:v>■</x:v>
      </x:c>
      <x:c r="AH66" s="414" t="str">
        <x:f>IF(AND(AH$7&gt;=$E66,AH$7&lt;=$F66),"■","")</x:f>
      </x:c>
      <x:c r="AI66" s="414" t="str">
        <x:f>IF(AND(AI$7&gt;=$E66,AI$7&lt;=$F66),"■","")</x:f>
      </x:c>
      <x:c r="AJ66" s="414" t="str">
        <x:f>IF(AND(AJ$7&gt;=$E66,AJ$7&lt;=$F66),"■","")</x:f>
      </x:c>
      <x:c r="AK66" s="414" t="str">
        <x:f>IF(AND(AK$7&gt;=$E66,AK$7&lt;=$F66),"■","")</x:f>
      </x:c>
      <x:c r="AL66" s="414" t="str">
        <x:f>IF(AND(AL$7&gt;=$E66,AL$7&lt;=$F66),"■","")</x:f>
      </x:c>
      <x:c r="AM66" s="416" t="str">
        <x:f>IF(AND(AM$7&gt;=$E66,AM$7&lt;=$F66),"■","")</x:f>
      </x:c>
      <x:c r="AN66" s="416" t="str">
        <x:f>IF(AND(AN$7&gt;=$E66,AN$7&lt;=$F66),"■","")</x:f>
      </x:c>
      <x:c r="AO66" s="416" t="str">
        <x:f>IF(AND(AO$7&gt;=$E66,AO$7&lt;=$F66),"■","")</x:f>
      </x:c>
      <x:c r="AP66" s="416" t="str">
        <x:f>IF(AND(AP$7&gt;=$E66,AP$7&lt;=$F66),"■","")</x:f>
      </x:c>
      <x:c r="AQ66" s="416" t="str">
        <x:f>IF(AND(AQ$7&gt;=$E66,AQ$7&lt;=$F66),"■","")</x:f>
      </x:c>
      <x:c r="AR66" s="416" t="str">
        <x:f>IF(AND(AR$7&gt;=$E66,AR$7&lt;=$F66),"■","")</x:f>
      </x:c>
      <x:c r="AS66" s="416" t="str">
        <x:f>IF(AND(AS$7&gt;=$E66,AS$7&lt;=$F66),"■","")</x:f>
      </x:c>
      <x:c r="AT66" s="416" t="str">
        <x:f>IF(AND(AT$7&gt;=$E66,AT$7&lt;=$F66),"■","")</x:f>
      </x:c>
      <x:c r="AU66" s="416" t="str">
        <x:f>IF(AND(AU$7&gt;=$E66,AU$7&lt;=$F66),"■","")</x:f>
      </x:c>
      <x:c r="AV66" s="416" t="str">
        <x:f>IF(AND(AV$7&gt;=$E66,AV$7&lt;=$F66),"■","")</x:f>
      </x:c>
      <x:c r="AW66" s="416" t="str">
        <x:f>IF(AND(AW$7&gt;=$E66,AW$7&lt;=$F66),"■","")</x:f>
      </x:c>
      <x:c r="AX66" s="416" t="str">
        <x:f>IF(AND(AX$7&gt;=$E66,AX$7&lt;=$F66),"■","")</x:f>
      </x:c>
      <x:c r="AY66" s="416" t="str">
        <x:f>IF(AND(AY$7&gt;=$E66,AY$7&lt;=$F66),"■","")</x:f>
      </x:c>
      <x:c r="AZ66" s="416" t="str">
        <x:f>IF(AND(AZ$7&gt;=$E66,AZ$7&lt;=$F66),"■","")</x:f>
      </x:c>
      <x:c r="BA66" s="416" t="str">
        <x:f>IF(AND(BA$7&gt;=$E66,BA$7&lt;=$F66),"■","")</x:f>
      </x:c>
      <x:c r="BB66" s="418" t="str">
        <x:f>IF(AND(BB$7&gt;=$E66,BB$7&lt;=$F66),"■","")</x:f>
      </x:c>
      <x:c r="BC66" s="418" t="str">
        <x:f>IF(AND(BC$7&gt;=$E66,BC$7&lt;=$F66),"■","")</x:f>
      </x:c>
      <x:c r="BD66" s="418" t="str">
        <x:f>IF(AND(BD$7&gt;=$E66,BD$7&lt;=$F66),"■","")</x:f>
      </x:c>
      <x:c r="BE66" s="418" t="str">
        <x:f>IF(AND(BE$7&gt;=$E66,BE$7&lt;=$F66),"■","")</x:f>
      </x:c>
      <x:c r="BF66" s="418" t="str">
        <x:f>IF(AND(BF$7&gt;=$E66,BF$7&lt;=$F66),"■","")</x:f>
      </x:c>
      <x:c r="BG66" s="418" t="str">
        <x:f>IF(AND(BG$7&gt;=$E66,BG$7&lt;=$F66),"■","")</x:f>
      </x:c>
      <x:c r="BH66" s="418" t="str">
        <x:f>IF(AND(BH$7&gt;=$E66,BH$7&lt;=$F66),"■","")</x:f>
      </x:c>
      <x:c r="BI66" s="418" t="str">
        <x:f>IF(AND(BI$7&gt;=$E66,BI$7&lt;=$F66),"■","")</x:f>
      </x:c>
      <x:c r="BJ66" s="418" t="str">
        <x:f>IF(AND(BJ$7&gt;=$E66,BJ$7&lt;=$F66),"■","")</x:f>
      </x:c>
      <x:c r="BK66" s="418" t="str">
        <x:f>IF(AND(BK$7&gt;=$E66,BK$7&lt;=$F66),"■","")</x:f>
      </x:c>
      <x:c r="BL66" s="418" t="str">
        <x:f>IF(AND(BL$7&gt;=$E66,BL$7&lt;=$F66),"■","")</x:f>
      </x:c>
      <x:c r="BM66" s="418" t="str">
        <x:f>IF(AND(BM$7&gt;=$E66,BM$7&lt;=$F66),"■","")</x:f>
      </x:c>
      <x:c r="BN66" s="418" t="str">
        <x:f>IF(AND(BN$7&gt;=$E66,BN$7&lt;=$F66),"■","")</x:f>
      </x:c>
      <x:c r="BO66" s="418" t="str">
        <x:f>IF(AND(BO$7&gt;=$E66,BO$7&lt;=$F66),"■","")</x:f>
      </x:c>
      <x:c r="BP66" s="418" t="str">
        <x:f>IF(AND(BP$7&gt;=$E66,BP$7&lt;=$F66),"■","")</x:f>
      </x:c>
    </x:row>
    <x:row r="67" ht="24" customHeight="1">
      <x:c r="B67" s="425" t="str">
        <x:v>7</x:v>
      </x:c>
      <x:c r="C67" s="426" t="str">
        <x:v>통합·테스트</x:v>
      </x:c>
      <x:c r="D67" s="426"/>
      <x:c r="E67" s="427"/>
      <x:c r="F67" s="427"/>
      <x:c r="G67" s="428"/>
      <x:c r="H67" s="429"/>
      <x:c r="I67" s="430"/>
      <x:c r="J67" s="430"/>
      <x:c r="K67" s="430"/>
      <x:c r="L67" s="430"/>
      <x:c r="M67" s="430"/>
      <x:c r="N67" s="430"/>
      <x:c r="O67" s="430"/>
      <x:c r="P67" s="430"/>
      <x:c r="Q67" s="430"/>
      <x:c r="R67" s="430"/>
      <x:c r="S67" s="430"/>
      <x:c r="T67" s="430"/>
      <x:c r="U67" s="430"/>
      <x:c r="V67" s="430"/>
      <x:c r="W67" s="430"/>
      <x:c r="X67" s="430"/>
      <x:c r="Y67" s="430"/>
      <x:c r="Z67" s="430"/>
      <x:c r="AA67" s="430"/>
      <x:c r="AB67" s="430"/>
      <x:c r="AC67" s="430"/>
      <x:c r="AD67" s="430"/>
      <x:c r="AE67" s="430"/>
      <x:c r="AF67" s="430"/>
      <x:c r="AG67" s="430"/>
      <x:c r="AH67" s="430"/>
      <x:c r="AI67" s="430"/>
      <x:c r="AJ67" s="430"/>
      <x:c r="AK67" s="430"/>
      <x:c r="AL67" s="430"/>
      <x:c r="AM67" s="430"/>
      <x:c r="AN67" s="430"/>
      <x:c r="AO67" s="430"/>
      <x:c r="AP67" s="430"/>
      <x:c r="AQ67" s="430"/>
      <x:c r="AR67" s="430"/>
      <x:c r="AS67" s="430"/>
      <x:c r="AT67" s="430"/>
      <x:c r="AU67" s="430"/>
      <x:c r="AV67" s="430"/>
      <x:c r="AW67" s="430"/>
      <x:c r="AX67" s="430"/>
      <x:c r="AY67" s="430"/>
      <x:c r="AZ67" s="430"/>
      <x:c r="BA67" s="430"/>
      <x:c r="BB67" s="430"/>
      <x:c r="BC67" s="430"/>
      <x:c r="BD67" s="430"/>
      <x:c r="BE67" s="430"/>
      <x:c r="BF67" s="430"/>
      <x:c r="BG67" s="430"/>
      <x:c r="BH67" s="430"/>
      <x:c r="BI67" s="430"/>
      <x:c r="BJ67" s="430"/>
      <x:c r="BK67" s="430"/>
      <x:c r="BL67" s="430"/>
      <x:c r="BM67" s="430"/>
      <x:c r="BN67" s="430"/>
      <x:c r="BO67" s="430"/>
      <x:c r="BP67" s="430"/>
    </x:row>
    <x:row r="68" ht="38" customHeight="1">
      <x:c r="B68" s="406" t="str">
        <x:v>7.1★</x:v>
      </x:c>
      <x:c r="C68" s="407" t="str">
        <x:v>기능 A~D 반례 세트 v2 21건·intent 역할 matrix·복수 seed Baseline Gate
[대기] 산출물: Gate 판정·통합 evidence</x:v>
      </x:c>
      <x:c r="D68" s="407" t="str">
        <x:v>전원</x:v>
      </x:c>
      <x:c r="E68" s="408" t="n">
        <x:v>46247</x:v>
      </x:c>
      <x:c r="F68" s="408" t="n">
        <x:v>46248</x:v>
      </x:c>
      <x:c r="G68" s="409" t="n">
        <x:f>MAX(0,F68-E68)</x:f>
        <x:v>1</x:v>
      </x:c>
      <x:c r="H68" s="410" t="n">
        <x:v>0</x:v>
      </x:c>
      <x:c r="I68" s="412" t="str">
        <x:f>IF(AND(I$7&gt;=$E68,I$7&lt;=$F68),"■","")</x:f>
      </x:c>
      <x:c r="J68" s="412" t="str">
        <x:f>IF(AND(J$7&gt;=$E68,J$7&lt;=$F68),"■","")</x:f>
      </x:c>
      <x:c r="K68" s="412" t="str">
        <x:f>IF(AND(K$7&gt;=$E68,K$7&lt;=$F68),"■","")</x:f>
      </x:c>
      <x:c r="L68" s="412" t="str">
        <x:f>IF(AND(L$7&gt;=$E68,L$7&lt;=$F68),"■","")</x:f>
      </x:c>
      <x:c r="M68" s="412" t="str">
        <x:f>IF(AND(M$7&gt;=$E68,M$7&lt;=$F68),"■","")</x:f>
      </x:c>
      <x:c r="N68" s="412" t="str">
        <x:f>IF(AND(N$7&gt;=$E68,N$7&lt;=$F68),"■","")</x:f>
      </x:c>
      <x:c r="O68" s="412" t="str">
        <x:f>IF(AND(O$7&gt;=$E68,O$7&lt;=$F68),"■","")</x:f>
      </x:c>
      <x:c r="P68" s="412" t="str">
        <x:f>IF(AND(P$7&gt;=$E68,P$7&lt;=$F68),"■","")</x:f>
      </x:c>
      <x:c r="Q68" s="412" t="str">
        <x:f>IF(AND(Q$7&gt;=$E68,Q$7&lt;=$F68),"■","")</x:f>
      </x:c>
      <x:c r="R68" s="412" t="str">
        <x:f>IF(AND(R$7&gt;=$E68,R$7&lt;=$F68),"■","")</x:f>
      </x:c>
      <x:c r="S68" s="412" t="str">
        <x:f>IF(AND(S$7&gt;=$E68,S$7&lt;=$F68),"■","")</x:f>
      </x:c>
      <x:c r="T68" s="412" t="str">
        <x:f>IF(AND(T$7&gt;=$E68,T$7&lt;=$F68),"■","")</x:f>
      </x:c>
      <x:c r="U68" s="412" t="str">
        <x:f>IF(AND(U$7&gt;=$E68,U$7&lt;=$F68),"■","")</x:f>
      </x:c>
      <x:c r="V68" s="412" t="str">
        <x:f>IF(AND(V$7&gt;=$E68,V$7&lt;=$F68),"■","")</x:f>
      </x:c>
      <x:c r="W68" s="412" t="str">
        <x:f>IF(AND(W$7&gt;=$E68,W$7&lt;=$F68),"■","")</x:f>
      </x:c>
      <x:c r="X68" s="414" t="str">
        <x:f>IF(AND(X$7&gt;=$E68,X$7&lt;=$F68),"■","")</x:f>
      </x:c>
      <x:c r="Y68" s="414" t="str">
        <x:f>IF(AND(Y$7&gt;=$E68,Y$7&lt;=$F68),"■","")</x:f>
      </x:c>
      <x:c r="Z68" s="414" t="str">
        <x:f>IF(AND(Z$7&gt;=$E68,Z$7&lt;=$F68),"■","")</x:f>
      </x:c>
      <x:c r="AA68" s="414" t="str">
        <x:f>IF(AND(AA$7&gt;=$E68,AA$7&lt;=$F68),"■","")</x:f>
      </x:c>
      <x:c r="AB68" s="414" t="str">
        <x:f>IF(AND(AB$7&gt;=$E68,AB$7&lt;=$F68),"■","")</x:f>
      </x:c>
      <x:c r="AC68" s="414" t="str">
        <x:f>IF(AND(AC$7&gt;=$E68,AC$7&lt;=$F68),"■","")</x:f>
      </x:c>
      <x:c r="AD68" s="414" t="str">
        <x:f>IF(AND(AD$7&gt;=$E68,AD$7&lt;=$F68),"■","")</x:f>
      </x:c>
      <x:c r="AE68" s="414" t="str">
        <x:f>IF(AND(AE$7&gt;=$E68,AE$7&lt;=$F68),"■","")</x:f>
      </x:c>
      <x:c r="AF68" s="414" t="str">
        <x:f>IF(AND(AF$7&gt;=$E68,AF$7&lt;=$F68),"■","")</x:f>
      </x:c>
      <x:c r="AG68" s="414" t="str">
        <x:f>IF(AND(AG$7&gt;=$E68,AG$7&lt;=$F68),"■","")</x:f>
      </x:c>
      <x:c r="AH68" s="414" t="str">
        <x:f>IF(AND(AH$7&gt;=$E68,AH$7&lt;=$F68),"■","")</x:f>
      </x:c>
      <x:c r="AI68" s="414" t="str">
        <x:f>IF(AND(AI$7&gt;=$E68,AI$7&lt;=$F68),"■","")</x:f>
      </x:c>
      <x:c r="AJ68" s="414" t="str">
        <x:f>IF(AND(AJ$7&gt;=$E68,AJ$7&lt;=$F68),"■","")</x:f>
      </x:c>
      <x:c r="AK68" s="414" t="str">
        <x:f>IF(AND(AK$7&gt;=$E68,AK$7&lt;=$F68),"■","")</x:f>
        <x:v>■</x:v>
      </x:c>
      <x:c r="AL68" s="414" t="str">
        <x:f>IF(AND(AL$7&gt;=$E68,AL$7&lt;=$F68),"■","")</x:f>
        <x:v>■</x:v>
      </x:c>
      <x:c r="AM68" s="416" t="str">
        <x:f>IF(AND(AM$7&gt;=$E68,AM$7&lt;=$F68),"■","")</x:f>
      </x:c>
      <x:c r="AN68" s="416" t="str">
        <x:f>IF(AND(AN$7&gt;=$E68,AN$7&lt;=$F68),"■","")</x:f>
      </x:c>
      <x:c r="AO68" s="416" t="str">
        <x:f>IF(AND(AO$7&gt;=$E68,AO$7&lt;=$F68),"■","")</x:f>
      </x:c>
      <x:c r="AP68" s="416" t="str">
        <x:f>IF(AND(AP$7&gt;=$E68,AP$7&lt;=$F68),"■","")</x:f>
      </x:c>
      <x:c r="AQ68" s="416" t="str">
        <x:f>IF(AND(AQ$7&gt;=$E68,AQ$7&lt;=$F68),"■","")</x:f>
      </x:c>
      <x:c r="AR68" s="416" t="str">
        <x:f>IF(AND(AR$7&gt;=$E68,AR$7&lt;=$F68),"■","")</x:f>
      </x:c>
      <x:c r="AS68" s="416" t="str">
        <x:f>IF(AND(AS$7&gt;=$E68,AS$7&lt;=$F68),"■","")</x:f>
      </x:c>
      <x:c r="AT68" s="416" t="str">
        <x:f>IF(AND(AT$7&gt;=$E68,AT$7&lt;=$F68),"■","")</x:f>
      </x:c>
      <x:c r="AU68" s="416" t="str">
        <x:f>IF(AND(AU$7&gt;=$E68,AU$7&lt;=$F68),"■","")</x:f>
      </x:c>
      <x:c r="AV68" s="416" t="str">
        <x:f>IF(AND(AV$7&gt;=$E68,AV$7&lt;=$F68),"■","")</x:f>
      </x:c>
      <x:c r="AW68" s="416" t="str">
        <x:f>IF(AND(AW$7&gt;=$E68,AW$7&lt;=$F68),"■","")</x:f>
      </x:c>
      <x:c r="AX68" s="416" t="str">
        <x:f>IF(AND(AX$7&gt;=$E68,AX$7&lt;=$F68),"■","")</x:f>
      </x:c>
      <x:c r="AY68" s="416" t="str">
        <x:f>IF(AND(AY$7&gt;=$E68,AY$7&lt;=$F68),"■","")</x:f>
      </x:c>
      <x:c r="AZ68" s="416" t="str">
        <x:f>IF(AND(AZ$7&gt;=$E68,AZ$7&lt;=$F68),"■","")</x:f>
      </x:c>
      <x:c r="BA68" s="416" t="str">
        <x:f>IF(AND(BA$7&gt;=$E68,BA$7&lt;=$F68),"■","")</x:f>
      </x:c>
      <x:c r="BB68" s="418" t="str">
        <x:f>IF(AND(BB$7&gt;=$E68,BB$7&lt;=$F68),"■","")</x:f>
      </x:c>
      <x:c r="BC68" s="418" t="str">
        <x:f>IF(AND(BC$7&gt;=$E68,BC$7&lt;=$F68),"■","")</x:f>
      </x:c>
      <x:c r="BD68" s="418" t="str">
        <x:f>IF(AND(BD$7&gt;=$E68,BD$7&lt;=$F68),"■","")</x:f>
      </x:c>
      <x:c r="BE68" s="418" t="str">
        <x:f>IF(AND(BE$7&gt;=$E68,BE$7&lt;=$F68),"■","")</x:f>
      </x:c>
      <x:c r="BF68" s="418" t="str">
        <x:f>IF(AND(BF$7&gt;=$E68,BF$7&lt;=$F68),"■","")</x:f>
      </x:c>
      <x:c r="BG68" s="418" t="str">
        <x:f>IF(AND(BG$7&gt;=$E68,BG$7&lt;=$F68),"■","")</x:f>
      </x:c>
      <x:c r="BH68" s="418" t="str">
        <x:f>IF(AND(BH$7&gt;=$E68,BH$7&lt;=$F68),"■","")</x:f>
      </x:c>
      <x:c r="BI68" s="418" t="str">
        <x:f>IF(AND(BI$7&gt;=$E68,BI$7&lt;=$F68),"■","")</x:f>
      </x:c>
      <x:c r="BJ68" s="418" t="str">
        <x:f>IF(AND(BJ$7&gt;=$E68,BJ$7&lt;=$F68),"■","")</x:f>
      </x:c>
      <x:c r="BK68" s="418" t="str">
        <x:f>IF(AND(BK$7&gt;=$E68,BK$7&lt;=$F68),"■","")</x:f>
      </x:c>
      <x:c r="BL68" s="418" t="str">
        <x:f>IF(AND(BL$7&gt;=$E68,BL$7&lt;=$F68),"■","")</x:f>
      </x:c>
      <x:c r="BM68" s="418" t="str">
        <x:f>IF(AND(BM$7&gt;=$E68,BM$7&lt;=$F68),"■","")</x:f>
      </x:c>
      <x:c r="BN68" s="418" t="str">
        <x:f>IF(AND(BN$7&gt;=$E68,BN$7&lt;=$F68),"■","")</x:f>
      </x:c>
      <x:c r="BO68" s="418" t="str">
        <x:f>IF(AND(BO$7&gt;=$E68,BO$7&lt;=$F68),"■","")</x:f>
      </x:c>
      <x:c r="BP68" s="418" t="str">
        <x:f>IF(AND(BP$7&gt;=$E68,BP$7&lt;=$F68),"■","")</x:f>
      </x:c>
    </x:row>
    <x:row r="69" ht="38" customHeight="1">
      <x:c r="B69" s="406" t="str">
        <x:v>7.2★</x:v>
      </x:c>
      <x:c r="C69" s="407" t="str">
        <x:v>Gate 결함 분류·재검증 조율·테스트 결과 보고
[대기] 산출물: 보완 기록·서비스 테스트 보고서 · 제출 08/28</x:v>
      </x:c>
      <x:c r="D69" s="407" t="str">
        <x:v>박준희·김재홍·송민지</x:v>
      </x:c>
      <x:c r="E69" s="408" t="n">
        <x:v>46252</x:v>
      </x:c>
      <x:c r="F69" s="408" t="n">
        <x:v>46253</x:v>
      </x:c>
      <x:c r="G69" s="409" t="n">
        <x:f>MAX(0,F69-E69)</x:f>
        <x:v>1</x:v>
      </x:c>
      <x:c r="H69" s="410" t="n">
        <x:v>0</x:v>
      </x:c>
      <x:c r="I69" s="412" t="str">
        <x:f>IF(AND(I$7&gt;=$E69,I$7&lt;=$F69),"■","")</x:f>
      </x:c>
      <x:c r="J69" s="412" t="str">
        <x:f>IF(AND(J$7&gt;=$E69,J$7&lt;=$F69),"■","")</x:f>
      </x:c>
      <x:c r="K69" s="412" t="str">
        <x:f>IF(AND(K$7&gt;=$E69,K$7&lt;=$F69),"■","")</x:f>
      </x:c>
      <x:c r="L69" s="412" t="str">
        <x:f>IF(AND(L$7&gt;=$E69,L$7&lt;=$F69),"■","")</x:f>
      </x:c>
      <x:c r="M69" s="412" t="str">
        <x:f>IF(AND(M$7&gt;=$E69,M$7&lt;=$F69),"■","")</x:f>
      </x:c>
      <x:c r="N69" s="412" t="str">
        <x:f>IF(AND(N$7&gt;=$E69,N$7&lt;=$F69),"■","")</x:f>
      </x:c>
      <x:c r="O69" s="412" t="str">
        <x:f>IF(AND(O$7&gt;=$E69,O$7&lt;=$F69),"■","")</x:f>
      </x:c>
      <x:c r="P69" s="412" t="str">
        <x:f>IF(AND(P$7&gt;=$E69,P$7&lt;=$F69),"■","")</x:f>
      </x:c>
      <x:c r="Q69" s="412" t="str">
        <x:f>IF(AND(Q$7&gt;=$E69,Q$7&lt;=$F69),"■","")</x:f>
      </x:c>
      <x:c r="R69" s="412" t="str">
        <x:f>IF(AND(R$7&gt;=$E69,R$7&lt;=$F69),"■","")</x:f>
      </x:c>
      <x:c r="S69" s="412" t="str">
        <x:f>IF(AND(S$7&gt;=$E69,S$7&lt;=$F69),"■","")</x:f>
      </x:c>
      <x:c r="T69" s="412" t="str">
        <x:f>IF(AND(T$7&gt;=$E69,T$7&lt;=$F69),"■","")</x:f>
      </x:c>
      <x:c r="U69" s="412" t="str">
        <x:f>IF(AND(U$7&gt;=$E69,U$7&lt;=$F69),"■","")</x:f>
      </x:c>
      <x:c r="V69" s="412" t="str">
        <x:f>IF(AND(V$7&gt;=$E69,V$7&lt;=$F69),"■","")</x:f>
      </x:c>
      <x:c r="W69" s="412" t="str">
        <x:f>IF(AND(W$7&gt;=$E69,W$7&lt;=$F69),"■","")</x:f>
      </x:c>
      <x:c r="X69" s="414" t="str">
        <x:f>IF(AND(X$7&gt;=$E69,X$7&lt;=$F69),"■","")</x:f>
      </x:c>
      <x:c r="Y69" s="414" t="str">
        <x:f>IF(AND(Y$7&gt;=$E69,Y$7&lt;=$F69),"■","")</x:f>
      </x:c>
      <x:c r="Z69" s="414" t="str">
        <x:f>IF(AND(Z$7&gt;=$E69,Z$7&lt;=$F69),"■","")</x:f>
      </x:c>
      <x:c r="AA69" s="414" t="str">
        <x:f>IF(AND(AA$7&gt;=$E69,AA$7&lt;=$F69),"■","")</x:f>
      </x:c>
      <x:c r="AB69" s="414" t="str">
        <x:f>IF(AND(AB$7&gt;=$E69,AB$7&lt;=$F69),"■","")</x:f>
      </x:c>
      <x:c r="AC69" s="414" t="str">
        <x:f>IF(AND(AC$7&gt;=$E69,AC$7&lt;=$F69),"■","")</x:f>
      </x:c>
      <x:c r="AD69" s="414" t="str">
        <x:f>IF(AND(AD$7&gt;=$E69,AD$7&lt;=$F69),"■","")</x:f>
      </x:c>
      <x:c r="AE69" s="414" t="str">
        <x:f>IF(AND(AE$7&gt;=$E69,AE$7&lt;=$F69),"■","")</x:f>
      </x:c>
      <x:c r="AF69" s="414" t="str">
        <x:f>IF(AND(AF$7&gt;=$E69,AF$7&lt;=$F69),"■","")</x:f>
      </x:c>
      <x:c r="AG69" s="414" t="str">
        <x:f>IF(AND(AG$7&gt;=$E69,AG$7&lt;=$F69),"■","")</x:f>
      </x:c>
      <x:c r="AH69" s="414" t="str">
        <x:f>IF(AND(AH$7&gt;=$E69,AH$7&lt;=$F69),"■","")</x:f>
      </x:c>
      <x:c r="AI69" s="414" t="str">
        <x:f>IF(AND(AI$7&gt;=$E69,AI$7&lt;=$F69),"■","")</x:f>
      </x:c>
      <x:c r="AJ69" s="414" t="str">
        <x:f>IF(AND(AJ$7&gt;=$E69,AJ$7&lt;=$F69),"■","")</x:f>
      </x:c>
      <x:c r="AK69" s="414" t="str">
        <x:f>IF(AND(AK$7&gt;=$E69,AK$7&lt;=$F69),"■","")</x:f>
      </x:c>
      <x:c r="AL69" s="414" t="str">
        <x:f>IF(AND(AL$7&gt;=$E69,AL$7&lt;=$F69),"■","")</x:f>
      </x:c>
      <x:c r="AM69" s="416" t="str">
        <x:f>IF(AND(AM$7&gt;=$E69,AM$7&lt;=$F69),"■","")</x:f>
      </x:c>
      <x:c r="AN69" s="416" t="str">
        <x:f>IF(AND(AN$7&gt;=$E69,AN$7&lt;=$F69),"■","")</x:f>
        <x:v>■</x:v>
      </x:c>
      <x:c r="AO69" s="416" t="str">
        <x:f>IF(AND(AO$7&gt;=$E69,AO$7&lt;=$F69),"■","")</x:f>
        <x:v>■</x:v>
      </x:c>
      <x:c r="AP69" s="416" t="str">
        <x:f>IF(AND(AP$7&gt;=$E69,AP$7&lt;=$F69),"■","")</x:f>
      </x:c>
      <x:c r="AQ69" s="416" t="str">
        <x:f>IF(AND(AQ$7&gt;=$E69,AQ$7&lt;=$F69),"■","")</x:f>
      </x:c>
      <x:c r="AR69" s="416" t="str">
        <x:f>IF(AND(AR$7&gt;=$E69,AR$7&lt;=$F69),"■","")</x:f>
      </x:c>
      <x:c r="AS69" s="416" t="str">
        <x:f>IF(AND(AS$7&gt;=$E69,AS$7&lt;=$F69),"■","")</x:f>
      </x:c>
      <x:c r="AT69" s="416" t="str">
        <x:f>IF(AND(AT$7&gt;=$E69,AT$7&lt;=$F69),"■","")</x:f>
      </x:c>
      <x:c r="AU69" s="416" t="str">
        <x:f>IF(AND(AU$7&gt;=$E69,AU$7&lt;=$F69),"■","")</x:f>
      </x:c>
      <x:c r="AV69" s="416" t="str">
        <x:f>IF(AND(AV$7&gt;=$E69,AV$7&lt;=$F69),"■","")</x:f>
      </x:c>
      <x:c r="AW69" s="416" t="str">
        <x:f>IF(AND(AW$7&gt;=$E69,AW$7&lt;=$F69),"■","")</x:f>
      </x:c>
      <x:c r="AX69" s="416" t="str">
        <x:f>IF(AND(AX$7&gt;=$E69,AX$7&lt;=$F69),"■","")</x:f>
      </x:c>
      <x:c r="AY69" s="416" t="str">
        <x:f>IF(AND(AY$7&gt;=$E69,AY$7&lt;=$F69),"■","")</x:f>
      </x:c>
      <x:c r="AZ69" s="416" t="str">
        <x:f>IF(AND(AZ$7&gt;=$E69,AZ$7&lt;=$F69),"■","")</x:f>
      </x:c>
      <x:c r="BA69" s="416" t="str">
        <x:f>IF(AND(BA$7&gt;=$E69,BA$7&lt;=$F69),"■","")</x:f>
      </x:c>
      <x:c r="BB69" s="418" t="str">
        <x:f>IF(AND(BB$7&gt;=$E69,BB$7&lt;=$F69),"■","")</x:f>
      </x:c>
      <x:c r="BC69" s="418" t="str">
        <x:f>IF(AND(BC$7&gt;=$E69,BC$7&lt;=$F69),"■","")</x:f>
      </x:c>
      <x:c r="BD69" s="418" t="str">
        <x:f>IF(AND(BD$7&gt;=$E69,BD$7&lt;=$F69),"■","")</x:f>
      </x:c>
      <x:c r="BE69" s="418" t="str">
        <x:f>IF(AND(BE$7&gt;=$E69,BE$7&lt;=$F69),"■","")</x:f>
      </x:c>
      <x:c r="BF69" s="418" t="str">
        <x:f>IF(AND(BF$7&gt;=$E69,BF$7&lt;=$F69),"■","")</x:f>
      </x:c>
      <x:c r="BG69" s="418" t="str">
        <x:f>IF(AND(BG$7&gt;=$E69,BG$7&lt;=$F69),"■","")</x:f>
      </x:c>
      <x:c r="BH69" s="418" t="str">
        <x:f>IF(AND(BH$7&gt;=$E69,BH$7&lt;=$F69),"■","")</x:f>
      </x:c>
      <x:c r="BI69" s="418" t="str">
        <x:f>IF(AND(BI$7&gt;=$E69,BI$7&lt;=$F69),"■","")</x:f>
      </x:c>
      <x:c r="BJ69" s="418" t="str">
        <x:f>IF(AND(BJ$7&gt;=$E69,BJ$7&lt;=$F69),"■","")</x:f>
      </x:c>
      <x:c r="BK69" s="418" t="str">
        <x:f>IF(AND(BK$7&gt;=$E69,BK$7&lt;=$F69),"■","")</x:f>
      </x:c>
      <x:c r="BL69" s="418" t="str">
        <x:f>IF(AND(BL$7&gt;=$E69,BL$7&lt;=$F69),"■","")</x:f>
      </x:c>
      <x:c r="BM69" s="418" t="str">
        <x:f>IF(AND(BM$7&gt;=$E69,BM$7&lt;=$F69),"■","")</x:f>
      </x:c>
      <x:c r="BN69" s="418" t="str">
        <x:f>IF(AND(BN$7&gt;=$E69,BN$7&lt;=$F69),"■","")</x:f>
      </x:c>
      <x:c r="BO69" s="418" t="str">
        <x:f>IF(AND(BO$7&gt;=$E69,BO$7&lt;=$F69),"■","")</x:f>
      </x:c>
      <x:c r="BP69" s="418" t="str">
        <x:f>IF(AND(BP$7&gt;=$E69,BP$7&lt;=$F69),"■","")</x:f>
      </x:c>
    </x:row>
    <x:row r="70" ht="38" customHeight="1">
      <x:c r="B70" s="406" t="str">
        <x:v>7.3</x:v>
      </x:c>
      <x:c r="C70" s="407" t="str">
        <x:v>Gate 판정 후 Baseline 배포·fallback·운영 이력 조회 최종 점검
[대기] 산출물: 개발된 LLM 연동 웹 애플리케이션 · 제출 08/28</x:v>
      </x:c>
      <x:c r="D70" s="407" t="str">
        <x:v>송민지·김재홍·정승·윤대성</x:v>
      </x:c>
      <x:c r="E70" s="408" t="n">
        <x:v>46252</x:v>
      </x:c>
      <x:c r="F70" s="408" t="n">
        <x:v>46262</x:v>
      </x:c>
      <x:c r="G70" s="409" t="n">
        <x:f>MAX(0,F70-E70)</x:f>
        <x:v>10</x:v>
      </x:c>
      <x:c r="H70" s="410" t="n">
        <x:v>0</x:v>
      </x:c>
      <x:c r="I70" s="412" t="str">
        <x:f>IF(AND(I$7&gt;=$E70,I$7&lt;=$F70),"■","")</x:f>
      </x:c>
      <x:c r="J70" s="412" t="str">
        <x:f>IF(AND(J$7&gt;=$E70,J$7&lt;=$F70),"■","")</x:f>
      </x:c>
      <x:c r="K70" s="412" t="str">
        <x:f>IF(AND(K$7&gt;=$E70,K$7&lt;=$F70),"■","")</x:f>
      </x:c>
      <x:c r="L70" s="412" t="str">
        <x:f>IF(AND(L$7&gt;=$E70,L$7&lt;=$F70),"■","")</x:f>
      </x:c>
      <x:c r="M70" s="412" t="str">
        <x:f>IF(AND(M$7&gt;=$E70,M$7&lt;=$F70),"■","")</x:f>
      </x:c>
      <x:c r="N70" s="412" t="str">
        <x:f>IF(AND(N$7&gt;=$E70,N$7&lt;=$F70),"■","")</x:f>
      </x:c>
      <x:c r="O70" s="412" t="str">
        <x:f>IF(AND(O$7&gt;=$E70,O$7&lt;=$F70),"■","")</x:f>
      </x:c>
      <x:c r="P70" s="412" t="str">
        <x:f>IF(AND(P$7&gt;=$E70,P$7&lt;=$F70),"■","")</x:f>
      </x:c>
      <x:c r="Q70" s="412" t="str">
        <x:f>IF(AND(Q$7&gt;=$E70,Q$7&lt;=$F70),"■","")</x:f>
      </x:c>
      <x:c r="R70" s="412" t="str">
        <x:f>IF(AND(R$7&gt;=$E70,R$7&lt;=$F70),"■","")</x:f>
      </x:c>
      <x:c r="S70" s="412" t="str">
        <x:f>IF(AND(S$7&gt;=$E70,S$7&lt;=$F70),"■","")</x:f>
      </x:c>
      <x:c r="T70" s="412" t="str">
        <x:f>IF(AND(T$7&gt;=$E70,T$7&lt;=$F70),"■","")</x:f>
      </x:c>
      <x:c r="U70" s="412" t="str">
        <x:f>IF(AND(U$7&gt;=$E70,U$7&lt;=$F70),"■","")</x:f>
      </x:c>
      <x:c r="V70" s="412" t="str">
        <x:f>IF(AND(V$7&gt;=$E70,V$7&lt;=$F70),"■","")</x:f>
      </x:c>
      <x:c r="W70" s="412" t="str">
        <x:f>IF(AND(W$7&gt;=$E70,W$7&lt;=$F70),"■","")</x:f>
      </x:c>
      <x:c r="X70" s="414" t="str">
        <x:f>IF(AND(X$7&gt;=$E70,X$7&lt;=$F70),"■","")</x:f>
      </x:c>
      <x:c r="Y70" s="414" t="str">
        <x:f>IF(AND(Y$7&gt;=$E70,Y$7&lt;=$F70),"■","")</x:f>
      </x:c>
      <x:c r="Z70" s="414" t="str">
        <x:f>IF(AND(Z$7&gt;=$E70,Z$7&lt;=$F70),"■","")</x:f>
      </x:c>
      <x:c r="AA70" s="414" t="str">
        <x:f>IF(AND(AA$7&gt;=$E70,AA$7&lt;=$F70),"■","")</x:f>
      </x:c>
      <x:c r="AB70" s="414" t="str">
        <x:f>IF(AND(AB$7&gt;=$E70,AB$7&lt;=$F70),"■","")</x:f>
      </x:c>
      <x:c r="AC70" s="414" t="str">
        <x:f>IF(AND(AC$7&gt;=$E70,AC$7&lt;=$F70),"■","")</x:f>
      </x:c>
      <x:c r="AD70" s="414" t="str">
        <x:f>IF(AND(AD$7&gt;=$E70,AD$7&lt;=$F70),"■","")</x:f>
      </x:c>
      <x:c r="AE70" s="414" t="str">
        <x:f>IF(AND(AE$7&gt;=$E70,AE$7&lt;=$F70),"■","")</x:f>
      </x:c>
      <x:c r="AF70" s="414" t="str">
        <x:f>IF(AND(AF$7&gt;=$E70,AF$7&lt;=$F70),"■","")</x:f>
      </x:c>
      <x:c r="AG70" s="414" t="str">
        <x:f>IF(AND(AG$7&gt;=$E70,AG$7&lt;=$F70),"■","")</x:f>
      </x:c>
      <x:c r="AH70" s="414" t="str">
        <x:f>IF(AND(AH$7&gt;=$E70,AH$7&lt;=$F70),"■","")</x:f>
      </x:c>
      <x:c r="AI70" s="414" t="str">
        <x:f>IF(AND(AI$7&gt;=$E70,AI$7&lt;=$F70),"■","")</x:f>
      </x:c>
      <x:c r="AJ70" s="414" t="str">
        <x:f>IF(AND(AJ$7&gt;=$E70,AJ$7&lt;=$F70),"■","")</x:f>
      </x:c>
      <x:c r="AK70" s="414" t="str">
        <x:f>IF(AND(AK$7&gt;=$E70,AK$7&lt;=$F70),"■","")</x:f>
      </x:c>
      <x:c r="AL70" s="414" t="str">
        <x:f>IF(AND(AL$7&gt;=$E70,AL$7&lt;=$F70),"■","")</x:f>
      </x:c>
      <x:c r="AM70" s="416" t="str">
        <x:f>IF(AND(AM$7&gt;=$E70,AM$7&lt;=$F70),"■","")</x:f>
      </x:c>
      <x:c r="AN70" s="416" t="str">
        <x:f>IF(AND(AN$7&gt;=$E70,AN$7&lt;=$F70),"■","")</x:f>
        <x:v>■</x:v>
      </x:c>
      <x:c r="AO70" s="416" t="str">
        <x:f>IF(AND(AO$7&gt;=$E70,AO$7&lt;=$F70),"■","")</x:f>
        <x:v>■</x:v>
      </x:c>
      <x:c r="AP70" s="416" t="str">
        <x:f>IF(AND(AP$7&gt;=$E70,AP$7&lt;=$F70),"■","")</x:f>
        <x:v>■</x:v>
      </x:c>
      <x:c r="AQ70" s="416" t="str">
        <x:f>IF(AND(AQ$7&gt;=$E70,AQ$7&lt;=$F70),"■","")</x:f>
        <x:v>■</x:v>
      </x:c>
      <x:c r="AR70" s="416" t="str">
        <x:f>IF(AND(AR$7&gt;=$E70,AR$7&lt;=$F70),"■","")</x:f>
        <x:v>■</x:v>
      </x:c>
      <x:c r="AS70" s="416" t="str">
        <x:f>IF(AND(AS$7&gt;=$E70,AS$7&lt;=$F70),"■","")</x:f>
        <x:v>■</x:v>
      </x:c>
      <x:c r="AT70" s="416" t="str">
        <x:f>IF(AND(AT$7&gt;=$E70,AT$7&lt;=$F70),"■","")</x:f>
        <x:v>■</x:v>
      </x:c>
      <x:c r="AU70" s="416" t="str">
        <x:f>IF(AND(AU$7&gt;=$E70,AU$7&lt;=$F70),"■","")</x:f>
        <x:v>■</x:v>
      </x:c>
      <x:c r="AV70" s="416" t="str">
        <x:f>IF(AND(AV$7&gt;=$E70,AV$7&lt;=$F70),"■","")</x:f>
        <x:v>■</x:v>
      </x:c>
      <x:c r="AW70" s="416" t="str">
        <x:f>IF(AND(AW$7&gt;=$E70,AW$7&lt;=$F70),"■","")</x:f>
      </x:c>
      <x:c r="AX70" s="416" t="str">
        <x:f>IF(AND(AX$7&gt;=$E70,AX$7&lt;=$F70),"■","")</x:f>
      </x:c>
      <x:c r="AY70" s="416" t="str">
        <x:f>IF(AND(AY$7&gt;=$E70,AY$7&lt;=$F70),"■","")</x:f>
      </x:c>
      <x:c r="AZ70" s="416" t="str">
        <x:f>IF(AND(AZ$7&gt;=$E70,AZ$7&lt;=$F70),"■","")</x:f>
      </x:c>
      <x:c r="BA70" s="416" t="str">
        <x:f>IF(AND(BA$7&gt;=$E70,BA$7&lt;=$F70),"■","")</x:f>
      </x:c>
      <x:c r="BB70" s="418" t="str">
        <x:f>IF(AND(BB$7&gt;=$E70,BB$7&lt;=$F70),"■","")</x:f>
      </x:c>
      <x:c r="BC70" s="418" t="str">
        <x:f>IF(AND(BC$7&gt;=$E70,BC$7&lt;=$F70),"■","")</x:f>
      </x:c>
      <x:c r="BD70" s="418" t="str">
        <x:f>IF(AND(BD$7&gt;=$E70,BD$7&lt;=$F70),"■","")</x:f>
      </x:c>
      <x:c r="BE70" s="418" t="str">
        <x:f>IF(AND(BE$7&gt;=$E70,BE$7&lt;=$F70),"■","")</x:f>
      </x:c>
      <x:c r="BF70" s="418" t="str">
        <x:f>IF(AND(BF$7&gt;=$E70,BF$7&lt;=$F70),"■","")</x:f>
      </x:c>
      <x:c r="BG70" s="418" t="str">
        <x:f>IF(AND(BG$7&gt;=$E70,BG$7&lt;=$F70),"■","")</x:f>
      </x:c>
      <x:c r="BH70" s="418" t="str">
        <x:f>IF(AND(BH$7&gt;=$E70,BH$7&lt;=$F70),"■","")</x:f>
      </x:c>
      <x:c r="BI70" s="418" t="str">
        <x:f>IF(AND(BI$7&gt;=$E70,BI$7&lt;=$F70),"■","")</x:f>
      </x:c>
      <x:c r="BJ70" s="418" t="str">
        <x:f>IF(AND(BJ$7&gt;=$E70,BJ$7&lt;=$F70),"■","")</x:f>
      </x:c>
      <x:c r="BK70" s="418" t="str">
        <x:f>IF(AND(BK$7&gt;=$E70,BK$7&lt;=$F70),"■","")</x:f>
      </x:c>
      <x:c r="BL70" s="418" t="str">
        <x:f>IF(AND(BL$7&gt;=$E70,BL$7&lt;=$F70),"■","")</x:f>
      </x:c>
      <x:c r="BM70" s="418" t="str">
        <x:f>IF(AND(BM$7&gt;=$E70,BM$7&lt;=$F70),"■","")</x:f>
      </x:c>
      <x:c r="BN70" s="418" t="str">
        <x:f>IF(AND(BN$7&gt;=$E70,BN$7&lt;=$F70),"■","")</x:f>
      </x:c>
      <x:c r="BO70" s="418" t="str">
        <x:f>IF(AND(BO$7&gt;=$E70,BO$7&lt;=$F70),"■","")</x:f>
      </x:c>
      <x:c r="BP70" s="418" t="str">
        <x:f>IF(AND(BP$7&gt;=$E70,BP$7&lt;=$F70),"■","")</x:f>
      </x:c>
    </x:row>
    <x:row r="71" ht="38" customHeight="1">
      <x:c r="B71" s="406" t="str">
        <x:v>7.4★</x:v>
      </x:c>
      <x:c r="C71" s="407" t="str">
        <x:v>Gate 통과 후 팀이 별도 승인한 보류 후보 1~2건·회귀 테스트(미승인 시 자동 취소)
[대기] 산출물: 선택 기능</x:v>
      </x:c>
      <x:c r="D71" s="407" t="str">
        <x:v>전원</x:v>
      </x:c>
      <x:c r="E71" s="408" t="n">
        <x:v>46258</x:v>
      </x:c>
      <x:c r="F71" s="408" t="n">
        <x:v>46262</x:v>
      </x:c>
      <x:c r="G71" s="409" t="n">
        <x:f>MAX(0,F71-E71)</x:f>
        <x:v>4</x:v>
      </x:c>
      <x:c r="H71" s="410" t="n">
        <x:v>0</x:v>
      </x:c>
      <x:c r="I71" s="412" t="str">
        <x:f>IF(AND(I$7&gt;=$E71,I$7&lt;=$F71),"■","")</x:f>
      </x:c>
      <x:c r="J71" s="412" t="str">
        <x:f>IF(AND(J$7&gt;=$E71,J$7&lt;=$F71),"■","")</x:f>
      </x:c>
      <x:c r="K71" s="412" t="str">
        <x:f>IF(AND(K$7&gt;=$E71,K$7&lt;=$F71),"■","")</x:f>
      </x:c>
      <x:c r="L71" s="412" t="str">
        <x:f>IF(AND(L$7&gt;=$E71,L$7&lt;=$F71),"■","")</x:f>
      </x:c>
      <x:c r="M71" s="412" t="str">
        <x:f>IF(AND(M$7&gt;=$E71,M$7&lt;=$F71),"■","")</x:f>
      </x:c>
      <x:c r="N71" s="412" t="str">
        <x:f>IF(AND(N$7&gt;=$E71,N$7&lt;=$F71),"■","")</x:f>
      </x:c>
      <x:c r="O71" s="412" t="str">
        <x:f>IF(AND(O$7&gt;=$E71,O$7&lt;=$F71),"■","")</x:f>
      </x:c>
      <x:c r="P71" s="412" t="str">
        <x:f>IF(AND(P$7&gt;=$E71,P$7&lt;=$F71),"■","")</x:f>
      </x:c>
      <x:c r="Q71" s="412" t="str">
        <x:f>IF(AND(Q$7&gt;=$E71,Q$7&lt;=$F71),"■","")</x:f>
      </x:c>
      <x:c r="R71" s="412" t="str">
        <x:f>IF(AND(R$7&gt;=$E71,R$7&lt;=$F71),"■","")</x:f>
      </x:c>
      <x:c r="S71" s="412" t="str">
        <x:f>IF(AND(S$7&gt;=$E71,S$7&lt;=$F71),"■","")</x:f>
      </x:c>
      <x:c r="T71" s="412" t="str">
        <x:f>IF(AND(T$7&gt;=$E71,T$7&lt;=$F71),"■","")</x:f>
      </x:c>
      <x:c r="U71" s="412" t="str">
        <x:f>IF(AND(U$7&gt;=$E71,U$7&lt;=$F71),"■","")</x:f>
      </x:c>
      <x:c r="V71" s="412" t="str">
        <x:f>IF(AND(V$7&gt;=$E71,V$7&lt;=$F71),"■","")</x:f>
      </x:c>
      <x:c r="W71" s="412" t="str">
        <x:f>IF(AND(W$7&gt;=$E71,W$7&lt;=$F71),"■","")</x:f>
      </x:c>
      <x:c r="X71" s="414" t="str">
        <x:f>IF(AND(X$7&gt;=$E71,X$7&lt;=$F71),"■","")</x:f>
      </x:c>
      <x:c r="Y71" s="414" t="str">
        <x:f>IF(AND(Y$7&gt;=$E71,Y$7&lt;=$F71),"■","")</x:f>
      </x:c>
      <x:c r="Z71" s="414" t="str">
        <x:f>IF(AND(Z$7&gt;=$E71,Z$7&lt;=$F71),"■","")</x:f>
      </x:c>
      <x:c r="AA71" s="414" t="str">
        <x:f>IF(AND(AA$7&gt;=$E71,AA$7&lt;=$F71),"■","")</x:f>
      </x:c>
      <x:c r="AB71" s="414" t="str">
        <x:f>IF(AND(AB$7&gt;=$E71,AB$7&lt;=$F71),"■","")</x:f>
      </x:c>
      <x:c r="AC71" s="414" t="str">
        <x:f>IF(AND(AC$7&gt;=$E71,AC$7&lt;=$F71),"■","")</x:f>
      </x:c>
      <x:c r="AD71" s="414" t="str">
        <x:f>IF(AND(AD$7&gt;=$E71,AD$7&lt;=$F71),"■","")</x:f>
      </x:c>
      <x:c r="AE71" s="414" t="str">
        <x:f>IF(AND(AE$7&gt;=$E71,AE$7&lt;=$F71),"■","")</x:f>
      </x:c>
      <x:c r="AF71" s="414" t="str">
        <x:f>IF(AND(AF$7&gt;=$E71,AF$7&lt;=$F71),"■","")</x:f>
      </x:c>
      <x:c r="AG71" s="414" t="str">
        <x:f>IF(AND(AG$7&gt;=$E71,AG$7&lt;=$F71),"■","")</x:f>
      </x:c>
      <x:c r="AH71" s="414" t="str">
        <x:f>IF(AND(AH$7&gt;=$E71,AH$7&lt;=$F71),"■","")</x:f>
      </x:c>
      <x:c r="AI71" s="414" t="str">
        <x:f>IF(AND(AI$7&gt;=$E71,AI$7&lt;=$F71),"■","")</x:f>
      </x:c>
      <x:c r="AJ71" s="414" t="str">
        <x:f>IF(AND(AJ$7&gt;=$E71,AJ$7&lt;=$F71),"■","")</x:f>
      </x:c>
      <x:c r="AK71" s="414" t="str">
        <x:f>IF(AND(AK$7&gt;=$E71,AK$7&lt;=$F71),"■","")</x:f>
      </x:c>
      <x:c r="AL71" s="414" t="str">
        <x:f>IF(AND(AL$7&gt;=$E71,AL$7&lt;=$F71),"■","")</x:f>
      </x:c>
      <x:c r="AM71" s="416" t="str">
        <x:f>IF(AND(AM$7&gt;=$E71,AM$7&lt;=$F71),"■","")</x:f>
      </x:c>
      <x:c r="AN71" s="416" t="str">
        <x:f>IF(AND(AN$7&gt;=$E71,AN$7&lt;=$F71),"■","")</x:f>
      </x:c>
      <x:c r="AO71" s="416" t="str">
        <x:f>IF(AND(AO$7&gt;=$E71,AO$7&lt;=$F71),"■","")</x:f>
      </x:c>
      <x:c r="AP71" s="416" t="str">
        <x:f>IF(AND(AP$7&gt;=$E71,AP$7&lt;=$F71),"■","")</x:f>
      </x:c>
      <x:c r="AQ71" s="416" t="str">
        <x:f>IF(AND(AQ$7&gt;=$E71,AQ$7&lt;=$F71),"■","")</x:f>
      </x:c>
      <x:c r="AR71" s="416" t="str">
        <x:f>IF(AND(AR$7&gt;=$E71,AR$7&lt;=$F71),"■","")</x:f>
        <x:v>■</x:v>
      </x:c>
      <x:c r="AS71" s="416" t="str">
        <x:f>IF(AND(AS$7&gt;=$E71,AS$7&lt;=$F71),"■","")</x:f>
        <x:v>■</x:v>
      </x:c>
      <x:c r="AT71" s="416" t="str">
        <x:f>IF(AND(AT$7&gt;=$E71,AT$7&lt;=$F71),"■","")</x:f>
        <x:v>■</x:v>
      </x:c>
      <x:c r="AU71" s="416" t="str">
        <x:f>IF(AND(AU$7&gt;=$E71,AU$7&lt;=$F71),"■","")</x:f>
        <x:v>■</x:v>
      </x:c>
      <x:c r="AV71" s="416" t="str">
        <x:f>IF(AND(AV$7&gt;=$E71,AV$7&lt;=$F71),"■","")</x:f>
        <x:v>■</x:v>
      </x:c>
      <x:c r="AW71" s="416" t="str">
        <x:f>IF(AND(AW$7&gt;=$E71,AW$7&lt;=$F71),"■","")</x:f>
      </x:c>
      <x:c r="AX71" s="416" t="str">
        <x:f>IF(AND(AX$7&gt;=$E71,AX$7&lt;=$F71),"■","")</x:f>
      </x:c>
      <x:c r="AY71" s="416" t="str">
        <x:f>IF(AND(AY$7&gt;=$E71,AY$7&lt;=$F71),"■","")</x:f>
      </x:c>
      <x:c r="AZ71" s="416" t="str">
        <x:f>IF(AND(AZ$7&gt;=$E71,AZ$7&lt;=$F71),"■","")</x:f>
      </x:c>
      <x:c r="BA71" s="416" t="str">
        <x:f>IF(AND(BA$7&gt;=$E71,BA$7&lt;=$F71),"■","")</x:f>
      </x:c>
      <x:c r="BB71" s="418" t="str">
        <x:f>IF(AND(BB$7&gt;=$E71,BB$7&lt;=$F71),"■","")</x:f>
      </x:c>
      <x:c r="BC71" s="418" t="str">
        <x:f>IF(AND(BC$7&gt;=$E71,BC$7&lt;=$F71),"■","")</x:f>
      </x:c>
      <x:c r="BD71" s="418" t="str">
        <x:f>IF(AND(BD$7&gt;=$E71,BD$7&lt;=$F71),"■","")</x:f>
      </x:c>
      <x:c r="BE71" s="418" t="str">
        <x:f>IF(AND(BE$7&gt;=$E71,BE$7&lt;=$F71),"■","")</x:f>
      </x:c>
      <x:c r="BF71" s="418" t="str">
        <x:f>IF(AND(BF$7&gt;=$E71,BF$7&lt;=$F71),"■","")</x:f>
      </x:c>
      <x:c r="BG71" s="418" t="str">
        <x:f>IF(AND(BG$7&gt;=$E71,BG$7&lt;=$F71),"■","")</x:f>
      </x:c>
      <x:c r="BH71" s="418" t="str">
        <x:f>IF(AND(BH$7&gt;=$E71,BH$7&lt;=$F71),"■","")</x:f>
      </x:c>
      <x:c r="BI71" s="418" t="str">
        <x:f>IF(AND(BI$7&gt;=$E71,BI$7&lt;=$F71),"■","")</x:f>
      </x:c>
      <x:c r="BJ71" s="418" t="str">
        <x:f>IF(AND(BJ$7&gt;=$E71,BJ$7&lt;=$F71),"■","")</x:f>
      </x:c>
      <x:c r="BK71" s="418" t="str">
        <x:f>IF(AND(BK$7&gt;=$E71,BK$7&lt;=$F71),"■","")</x:f>
      </x:c>
      <x:c r="BL71" s="418" t="str">
        <x:f>IF(AND(BL$7&gt;=$E71,BL$7&lt;=$F71),"■","")</x:f>
      </x:c>
      <x:c r="BM71" s="418" t="str">
        <x:f>IF(AND(BM$7&gt;=$E71,BM$7&lt;=$F71),"■","")</x:f>
      </x:c>
      <x:c r="BN71" s="418" t="str">
        <x:f>IF(AND(BN$7&gt;=$E71,BN$7&lt;=$F71),"■","")</x:f>
      </x:c>
      <x:c r="BO71" s="418" t="str">
        <x:f>IF(AND(BO$7&gt;=$E71,BO$7&lt;=$F71),"■","")</x:f>
      </x:c>
      <x:c r="BP71" s="418" t="str">
        <x:f>IF(AND(BP$7&gt;=$E71,BP$7&lt;=$F71),"■","")</x:f>
      </x:c>
    </x:row>
    <x:row r="72" ht="38" customHeight="1">
      <x:c r="B72" s="406" t="str">
        <x:v>7.5</x:v>
      </x:c>
      <x:c r="C72" s="407" t="str">
        <x:v>대표 합성 데모 scenario·fallback 발표 자료 확정
[대기] 산출물: 데모 시나리오</x:v>
      </x:c>
      <x:c r="D72" s="407" t="str">
        <x:v>정승</x:v>
      </x:c>
      <x:c r="E72" s="408" t="n">
        <x:v>46258</x:v>
      </x:c>
      <x:c r="F72" s="408" t="n">
        <x:v>46262</x:v>
      </x:c>
      <x:c r="G72" s="409" t="n">
        <x:f>MAX(0,F72-E72)</x:f>
        <x:v>4</x:v>
      </x:c>
      <x:c r="H72" s="410" t="n">
        <x:v>0</x:v>
      </x:c>
      <x:c r="I72" s="412" t="str">
        <x:f>IF(AND(I$7&gt;=$E72,I$7&lt;=$F72),"■","")</x:f>
      </x:c>
      <x:c r="J72" s="412" t="str">
        <x:f>IF(AND(J$7&gt;=$E72,J$7&lt;=$F72),"■","")</x:f>
      </x:c>
      <x:c r="K72" s="412" t="str">
        <x:f>IF(AND(K$7&gt;=$E72,K$7&lt;=$F72),"■","")</x:f>
      </x:c>
      <x:c r="L72" s="412" t="str">
        <x:f>IF(AND(L$7&gt;=$E72,L$7&lt;=$F72),"■","")</x:f>
      </x:c>
      <x:c r="M72" s="412" t="str">
        <x:f>IF(AND(M$7&gt;=$E72,M$7&lt;=$F72),"■","")</x:f>
      </x:c>
      <x:c r="N72" s="412" t="str">
        <x:f>IF(AND(N$7&gt;=$E72,N$7&lt;=$F72),"■","")</x:f>
      </x:c>
      <x:c r="O72" s="412" t="str">
        <x:f>IF(AND(O$7&gt;=$E72,O$7&lt;=$F72),"■","")</x:f>
      </x:c>
      <x:c r="P72" s="412" t="str">
        <x:f>IF(AND(P$7&gt;=$E72,P$7&lt;=$F72),"■","")</x:f>
      </x:c>
      <x:c r="Q72" s="412" t="str">
        <x:f>IF(AND(Q$7&gt;=$E72,Q$7&lt;=$F72),"■","")</x:f>
      </x:c>
      <x:c r="R72" s="412" t="str">
        <x:f>IF(AND(R$7&gt;=$E72,R$7&lt;=$F72),"■","")</x:f>
      </x:c>
      <x:c r="S72" s="412" t="str">
        <x:f>IF(AND(S$7&gt;=$E72,S$7&lt;=$F72),"■","")</x:f>
      </x:c>
      <x:c r="T72" s="412" t="str">
        <x:f>IF(AND(T$7&gt;=$E72,T$7&lt;=$F72),"■","")</x:f>
      </x:c>
      <x:c r="U72" s="412" t="str">
        <x:f>IF(AND(U$7&gt;=$E72,U$7&lt;=$F72),"■","")</x:f>
      </x:c>
      <x:c r="V72" s="412" t="str">
        <x:f>IF(AND(V$7&gt;=$E72,V$7&lt;=$F72),"■","")</x:f>
      </x:c>
      <x:c r="W72" s="412" t="str">
        <x:f>IF(AND(W$7&gt;=$E72,W$7&lt;=$F72),"■","")</x:f>
      </x:c>
      <x:c r="X72" s="414" t="str">
        <x:f>IF(AND(X$7&gt;=$E72,X$7&lt;=$F72),"■","")</x:f>
      </x:c>
      <x:c r="Y72" s="414" t="str">
        <x:f>IF(AND(Y$7&gt;=$E72,Y$7&lt;=$F72),"■","")</x:f>
      </x:c>
      <x:c r="Z72" s="414" t="str">
        <x:f>IF(AND(Z$7&gt;=$E72,Z$7&lt;=$F72),"■","")</x:f>
      </x:c>
      <x:c r="AA72" s="414" t="str">
        <x:f>IF(AND(AA$7&gt;=$E72,AA$7&lt;=$F72),"■","")</x:f>
      </x:c>
      <x:c r="AB72" s="414" t="str">
        <x:f>IF(AND(AB$7&gt;=$E72,AB$7&lt;=$F72),"■","")</x:f>
      </x:c>
      <x:c r="AC72" s="414" t="str">
        <x:f>IF(AND(AC$7&gt;=$E72,AC$7&lt;=$F72),"■","")</x:f>
      </x:c>
      <x:c r="AD72" s="414" t="str">
        <x:f>IF(AND(AD$7&gt;=$E72,AD$7&lt;=$F72),"■","")</x:f>
      </x:c>
      <x:c r="AE72" s="414" t="str">
        <x:f>IF(AND(AE$7&gt;=$E72,AE$7&lt;=$F72),"■","")</x:f>
      </x:c>
      <x:c r="AF72" s="414" t="str">
        <x:f>IF(AND(AF$7&gt;=$E72,AF$7&lt;=$F72),"■","")</x:f>
      </x:c>
      <x:c r="AG72" s="414" t="str">
        <x:f>IF(AND(AG$7&gt;=$E72,AG$7&lt;=$F72),"■","")</x:f>
      </x:c>
      <x:c r="AH72" s="414" t="str">
        <x:f>IF(AND(AH$7&gt;=$E72,AH$7&lt;=$F72),"■","")</x:f>
      </x:c>
      <x:c r="AI72" s="414" t="str">
        <x:f>IF(AND(AI$7&gt;=$E72,AI$7&lt;=$F72),"■","")</x:f>
      </x:c>
      <x:c r="AJ72" s="414" t="str">
        <x:f>IF(AND(AJ$7&gt;=$E72,AJ$7&lt;=$F72),"■","")</x:f>
      </x:c>
      <x:c r="AK72" s="414" t="str">
        <x:f>IF(AND(AK$7&gt;=$E72,AK$7&lt;=$F72),"■","")</x:f>
      </x:c>
      <x:c r="AL72" s="414" t="str">
        <x:f>IF(AND(AL$7&gt;=$E72,AL$7&lt;=$F72),"■","")</x:f>
      </x:c>
      <x:c r="AM72" s="416" t="str">
        <x:f>IF(AND(AM$7&gt;=$E72,AM$7&lt;=$F72),"■","")</x:f>
      </x:c>
      <x:c r="AN72" s="416" t="str">
        <x:f>IF(AND(AN$7&gt;=$E72,AN$7&lt;=$F72),"■","")</x:f>
      </x:c>
      <x:c r="AO72" s="416" t="str">
        <x:f>IF(AND(AO$7&gt;=$E72,AO$7&lt;=$F72),"■","")</x:f>
      </x:c>
      <x:c r="AP72" s="416" t="str">
        <x:f>IF(AND(AP$7&gt;=$E72,AP$7&lt;=$F72),"■","")</x:f>
      </x:c>
      <x:c r="AQ72" s="416" t="str">
        <x:f>IF(AND(AQ$7&gt;=$E72,AQ$7&lt;=$F72),"■","")</x:f>
      </x:c>
      <x:c r="AR72" s="416" t="str">
        <x:f>IF(AND(AR$7&gt;=$E72,AR$7&lt;=$F72),"■","")</x:f>
        <x:v>■</x:v>
      </x:c>
      <x:c r="AS72" s="416" t="str">
        <x:f>IF(AND(AS$7&gt;=$E72,AS$7&lt;=$F72),"■","")</x:f>
        <x:v>■</x:v>
      </x:c>
      <x:c r="AT72" s="416" t="str">
        <x:f>IF(AND(AT$7&gt;=$E72,AT$7&lt;=$F72),"■","")</x:f>
        <x:v>■</x:v>
      </x:c>
      <x:c r="AU72" s="416" t="str">
        <x:f>IF(AND(AU$7&gt;=$E72,AU$7&lt;=$F72),"■","")</x:f>
        <x:v>■</x:v>
      </x:c>
      <x:c r="AV72" s="416" t="str">
        <x:f>IF(AND(AV$7&gt;=$E72,AV$7&lt;=$F72),"■","")</x:f>
        <x:v>■</x:v>
      </x:c>
      <x:c r="AW72" s="416" t="str">
        <x:f>IF(AND(AW$7&gt;=$E72,AW$7&lt;=$F72),"■","")</x:f>
      </x:c>
      <x:c r="AX72" s="416" t="str">
        <x:f>IF(AND(AX$7&gt;=$E72,AX$7&lt;=$F72),"■","")</x:f>
      </x:c>
      <x:c r="AY72" s="416" t="str">
        <x:f>IF(AND(AY$7&gt;=$E72,AY$7&lt;=$F72),"■","")</x:f>
      </x:c>
      <x:c r="AZ72" s="416" t="str">
        <x:f>IF(AND(AZ$7&gt;=$E72,AZ$7&lt;=$F72),"■","")</x:f>
      </x:c>
      <x:c r="BA72" s="416" t="str">
        <x:f>IF(AND(BA$7&gt;=$E72,BA$7&lt;=$F72),"■","")</x:f>
      </x:c>
      <x:c r="BB72" s="418" t="str">
        <x:f>IF(AND(BB$7&gt;=$E72,BB$7&lt;=$F72),"■","")</x:f>
      </x:c>
      <x:c r="BC72" s="418" t="str">
        <x:f>IF(AND(BC$7&gt;=$E72,BC$7&lt;=$F72),"■","")</x:f>
      </x:c>
      <x:c r="BD72" s="418" t="str">
        <x:f>IF(AND(BD$7&gt;=$E72,BD$7&lt;=$F72),"■","")</x:f>
      </x:c>
      <x:c r="BE72" s="418" t="str">
        <x:f>IF(AND(BE$7&gt;=$E72,BE$7&lt;=$F72),"■","")</x:f>
      </x:c>
      <x:c r="BF72" s="418" t="str">
        <x:f>IF(AND(BF$7&gt;=$E72,BF$7&lt;=$F72),"■","")</x:f>
      </x:c>
      <x:c r="BG72" s="418" t="str">
        <x:f>IF(AND(BG$7&gt;=$E72,BG$7&lt;=$F72),"■","")</x:f>
      </x:c>
      <x:c r="BH72" s="418" t="str">
        <x:f>IF(AND(BH$7&gt;=$E72,BH$7&lt;=$F72),"■","")</x:f>
      </x:c>
      <x:c r="BI72" s="418" t="str">
        <x:f>IF(AND(BI$7&gt;=$E72,BI$7&lt;=$F72),"■","")</x:f>
      </x:c>
      <x:c r="BJ72" s="418" t="str">
        <x:f>IF(AND(BJ$7&gt;=$E72,BJ$7&lt;=$F72),"■","")</x:f>
      </x:c>
      <x:c r="BK72" s="418" t="str">
        <x:f>IF(AND(BK$7&gt;=$E72,BK$7&lt;=$F72),"■","")</x:f>
      </x:c>
      <x:c r="BL72" s="418" t="str">
        <x:f>IF(AND(BL$7&gt;=$E72,BL$7&lt;=$F72),"■","")</x:f>
      </x:c>
      <x:c r="BM72" s="418" t="str">
        <x:f>IF(AND(BM$7&gt;=$E72,BM$7&lt;=$F72),"■","")</x:f>
      </x:c>
      <x:c r="BN72" s="418" t="str">
        <x:f>IF(AND(BN$7&gt;=$E72,BN$7&lt;=$F72),"■","")</x:f>
      </x:c>
      <x:c r="BO72" s="418" t="str">
        <x:f>IF(AND(BO$7&gt;=$E72,BO$7&lt;=$F72),"■","")</x:f>
      </x:c>
      <x:c r="BP72" s="418" t="str">
        <x:f>IF(AND(BP$7&gt;=$E72,BP$7&lt;=$F72),"■","")</x:f>
      </x:c>
    </x:row>
    <x:row r="73" ht="38" customHeight="1">
      <x:c r="B73" s="406" t="str">
        <x:v>7.6★</x:v>
      </x:c>
      <x:c r="C73" s="407" t="str">
        <x:v>반례 세트 v2 Gate 자동 채점·후속 회귀 결과 보고와 결함 조율
[대기] 산출물: 정확도 리포트</x:v>
      </x:c>
      <x:c r="D73" s="407" t="str">
        <x:v>박준희·윤대성·김재홍</x:v>
      </x:c>
      <x:c r="E73" s="408" t="n">
        <x:v>46247</x:v>
      </x:c>
      <x:c r="F73" s="408" t="n">
        <x:v>46262</x:v>
      </x:c>
      <x:c r="G73" s="409" t="n">
        <x:f>MAX(0,F73-E73)</x:f>
        <x:v>15</x:v>
      </x:c>
      <x:c r="H73" s="410" t="n">
        <x:v>0</x:v>
      </x:c>
      <x:c r="I73" s="412" t="str">
        <x:f>IF(AND(I$7&gt;=$E73,I$7&lt;=$F73),"■","")</x:f>
      </x:c>
      <x:c r="J73" s="412" t="str">
        <x:f>IF(AND(J$7&gt;=$E73,J$7&lt;=$F73),"■","")</x:f>
      </x:c>
      <x:c r="K73" s="412" t="str">
        <x:f>IF(AND(K$7&gt;=$E73,K$7&lt;=$F73),"■","")</x:f>
      </x:c>
      <x:c r="L73" s="412" t="str">
        <x:f>IF(AND(L$7&gt;=$E73,L$7&lt;=$F73),"■","")</x:f>
      </x:c>
      <x:c r="M73" s="412" t="str">
        <x:f>IF(AND(M$7&gt;=$E73,M$7&lt;=$F73),"■","")</x:f>
      </x:c>
      <x:c r="N73" s="412" t="str">
        <x:f>IF(AND(N$7&gt;=$E73,N$7&lt;=$F73),"■","")</x:f>
      </x:c>
      <x:c r="O73" s="412" t="str">
        <x:f>IF(AND(O$7&gt;=$E73,O$7&lt;=$F73),"■","")</x:f>
      </x:c>
      <x:c r="P73" s="412" t="str">
        <x:f>IF(AND(P$7&gt;=$E73,P$7&lt;=$F73),"■","")</x:f>
      </x:c>
      <x:c r="Q73" s="412" t="str">
        <x:f>IF(AND(Q$7&gt;=$E73,Q$7&lt;=$F73),"■","")</x:f>
      </x:c>
      <x:c r="R73" s="412" t="str">
        <x:f>IF(AND(R$7&gt;=$E73,R$7&lt;=$F73),"■","")</x:f>
      </x:c>
      <x:c r="S73" s="412" t="str">
        <x:f>IF(AND(S$7&gt;=$E73,S$7&lt;=$F73),"■","")</x:f>
      </x:c>
      <x:c r="T73" s="412" t="str">
        <x:f>IF(AND(T$7&gt;=$E73,T$7&lt;=$F73),"■","")</x:f>
      </x:c>
      <x:c r="U73" s="412" t="str">
        <x:f>IF(AND(U$7&gt;=$E73,U$7&lt;=$F73),"■","")</x:f>
      </x:c>
      <x:c r="V73" s="412" t="str">
        <x:f>IF(AND(V$7&gt;=$E73,V$7&lt;=$F73),"■","")</x:f>
      </x:c>
      <x:c r="W73" s="412" t="str">
        <x:f>IF(AND(W$7&gt;=$E73,W$7&lt;=$F73),"■","")</x:f>
      </x:c>
      <x:c r="X73" s="414" t="str">
        <x:f>IF(AND(X$7&gt;=$E73,X$7&lt;=$F73),"■","")</x:f>
      </x:c>
      <x:c r="Y73" s="414" t="str">
        <x:f>IF(AND(Y$7&gt;=$E73,Y$7&lt;=$F73),"■","")</x:f>
      </x:c>
      <x:c r="Z73" s="414" t="str">
        <x:f>IF(AND(Z$7&gt;=$E73,Z$7&lt;=$F73),"■","")</x:f>
      </x:c>
      <x:c r="AA73" s="414" t="str">
        <x:f>IF(AND(AA$7&gt;=$E73,AA$7&lt;=$F73),"■","")</x:f>
      </x:c>
      <x:c r="AB73" s="414" t="str">
        <x:f>IF(AND(AB$7&gt;=$E73,AB$7&lt;=$F73),"■","")</x:f>
      </x:c>
      <x:c r="AC73" s="414" t="str">
        <x:f>IF(AND(AC$7&gt;=$E73,AC$7&lt;=$F73),"■","")</x:f>
      </x:c>
      <x:c r="AD73" s="414" t="str">
        <x:f>IF(AND(AD$7&gt;=$E73,AD$7&lt;=$F73),"■","")</x:f>
      </x:c>
      <x:c r="AE73" s="414" t="str">
        <x:f>IF(AND(AE$7&gt;=$E73,AE$7&lt;=$F73),"■","")</x:f>
      </x:c>
      <x:c r="AF73" s="414" t="str">
        <x:f>IF(AND(AF$7&gt;=$E73,AF$7&lt;=$F73),"■","")</x:f>
      </x:c>
      <x:c r="AG73" s="414" t="str">
        <x:f>IF(AND(AG$7&gt;=$E73,AG$7&lt;=$F73),"■","")</x:f>
      </x:c>
      <x:c r="AH73" s="414" t="str">
        <x:f>IF(AND(AH$7&gt;=$E73,AH$7&lt;=$F73),"■","")</x:f>
      </x:c>
      <x:c r="AI73" s="414" t="str">
        <x:f>IF(AND(AI$7&gt;=$E73,AI$7&lt;=$F73),"■","")</x:f>
      </x:c>
      <x:c r="AJ73" s="414" t="str">
        <x:f>IF(AND(AJ$7&gt;=$E73,AJ$7&lt;=$F73),"■","")</x:f>
      </x:c>
      <x:c r="AK73" s="414" t="str">
        <x:f>IF(AND(AK$7&gt;=$E73,AK$7&lt;=$F73),"■","")</x:f>
        <x:v>■</x:v>
      </x:c>
      <x:c r="AL73" s="414" t="str">
        <x:f>IF(AND(AL$7&gt;=$E73,AL$7&lt;=$F73),"■","")</x:f>
        <x:v>■</x:v>
      </x:c>
      <x:c r="AM73" s="416" t="str">
        <x:f>IF(AND(AM$7&gt;=$E73,AM$7&lt;=$F73),"■","")</x:f>
        <x:v>■</x:v>
      </x:c>
      <x:c r="AN73" s="416" t="str">
        <x:f>IF(AND(AN$7&gt;=$E73,AN$7&lt;=$F73),"■","")</x:f>
        <x:v>■</x:v>
      </x:c>
      <x:c r="AO73" s="416" t="str">
        <x:f>IF(AND(AO$7&gt;=$E73,AO$7&lt;=$F73),"■","")</x:f>
        <x:v>■</x:v>
      </x:c>
      <x:c r="AP73" s="416" t="str">
        <x:f>IF(AND(AP$7&gt;=$E73,AP$7&lt;=$F73),"■","")</x:f>
        <x:v>■</x:v>
      </x:c>
      <x:c r="AQ73" s="416" t="str">
        <x:f>IF(AND(AQ$7&gt;=$E73,AQ$7&lt;=$F73),"■","")</x:f>
        <x:v>■</x:v>
      </x:c>
      <x:c r="AR73" s="416" t="str">
        <x:f>IF(AND(AR$7&gt;=$E73,AR$7&lt;=$F73),"■","")</x:f>
        <x:v>■</x:v>
      </x:c>
      <x:c r="AS73" s="416" t="str">
        <x:f>IF(AND(AS$7&gt;=$E73,AS$7&lt;=$F73),"■","")</x:f>
        <x:v>■</x:v>
      </x:c>
      <x:c r="AT73" s="416" t="str">
        <x:f>IF(AND(AT$7&gt;=$E73,AT$7&lt;=$F73),"■","")</x:f>
        <x:v>■</x:v>
      </x:c>
      <x:c r="AU73" s="416" t="str">
        <x:f>IF(AND(AU$7&gt;=$E73,AU$7&lt;=$F73),"■","")</x:f>
        <x:v>■</x:v>
      </x:c>
      <x:c r="AV73" s="416" t="str">
        <x:f>IF(AND(AV$7&gt;=$E73,AV$7&lt;=$F73),"■","")</x:f>
        <x:v>■</x:v>
      </x:c>
      <x:c r="AW73" s="416" t="str">
        <x:f>IF(AND(AW$7&gt;=$E73,AW$7&lt;=$F73),"■","")</x:f>
      </x:c>
      <x:c r="AX73" s="416" t="str">
        <x:f>IF(AND(AX$7&gt;=$E73,AX$7&lt;=$F73),"■","")</x:f>
      </x:c>
      <x:c r="AY73" s="416" t="str">
        <x:f>IF(AND(AY$7&gt;=$E73,AY$7&lt;=$F73),"■","")</x:f>
      </x:c>
      <x:c r="AZ73" s="416" t="str">
        <x:f>IF(AND(AZ$7&gt;=$E73,AZ$7&lt;=$F73),"■","")</x:f>
      </x:c>
      <x:c r="BA73" s="416" t="str">
        <x:f>IF(AND(BA$7&gt;=$E73,BA$7&lt;=$F73),"■","")</x:f>
      </x:c>
      <x:c r="BB73" s="418" t="str">
        <x:f>IF(AND(BB$7&gt;=$E73,BB$7&lt;=$F73),"■","")</x:f>
      </x:c>
      <x:c r="BC73" s="418" t="str">
        <x:f>IF(AND(BC$7&gt;=$E73,BC$7&lt;=$F73),"■","")</x:f>
      </x:c>
      <x:c r="BD73" s="418" t="str">
        <x:f>IF(AND(BD$7&gt;=$E73,BD$7&lt;=$F73),"■","")</x:f>
      </x:c>
      <x:c r="BE73" s="418" t="str">
        <x:f>IF(AND(BE$7&gt;=$E73,BE$7&lt;=$F73),"■","")</x:f>
      </x:c>
      <x:c r="BF73" s="418" t="str">
        <x:f>IF(AND(BF$7&gt;=$E73,BF$7&lt;=$F73),"■","")</x:f>
      </x:c>
      <x:c r="BG73" s="418" t="str">
        <x:f>IF(AND(BG$7&gt;=$E73,BG$7&lt;=$F73),"■","")</x:f>
      </x:c>
      <x:c r="BH73" s="418" t="str">
        <x:f>IF(AND(BH$7&gt;=$E73,BH$7&lt;=$F73),"■","")</x:f>
      </x:c>
      <x:c r="BI73" s="418" t="str">
        <x:f>IF(AND(BI$7&gt;=$E73,BI$7&lt;=$F73),"■","")</x:f>
      </x:c>
      <x:c r="BJ73" s="418" t="str">
        <x:f>IF(AND(BJ$7&gt;=$E73,BJ$7&lt;=$F73),"■","")</x:f>
      </x:c>
      <x:c r="BK73" s="418" t="str">
        <x:f>IF(AND(BK$7&gt;=$E73,BK$7&lt;=$F73),"■","")</x:f>
      </x:c>
      <x:c r="BL73" s="418" t="str">
        <x:f>IF(AND(BL$7&gt;=$E73,BL$7&lt;=$F73),"■","")</x:f>
      </x:c>
      <x:c r="BM73" s="418" t="str">
        <x:f>IF(AND(BM$7&gt;=$E73,BM$7&lt;=$F73),"■","")</x:f>
      </x:c>
      <x:c r="BN73" s="418" t="str">
        <x:f>IF(AND(BN$7&gt;=$E73,BN$7&lt;=$F73),"■","")</x:f>
      </x:c>
      <x:c r="BO73" s="418" t="str">
        <x:f>IF(AND(BO$7&gt;=$E73,BO$7&lt;=$F73),"■","")</x:f>
      </x:c>
      <x:c r="BP73" s="418" t="str">
        <x:f>IF(AND(BP$7&gt;=$E73,BP$7&lt;=$F73),"■","")</x:f>
      </x:c>
    </x:row>
    <x:row r="74" ht="38" customHeight="1">
      <x:c r="B74" s="406" t="str">
        <x:v>7.7★</x:v>
      </x:c>
      <x:c r="C74" s="407" t="str">
        <x:v>외부 전달 필요성·대상 채널·연동 방식 검토
[대기] 산출물: 외부 전달 검토안(보류·승인 후 후보)</x:v>
      </x:c>
      <x:c r="D74" s="407" t="str">
        <x:v>박준희</x:v>
      </x:c>
      <x:c r="E74" s="408" t="n">
        <x:v>46255</x:v>
      </x:c>
      <x:c r="F74" s="408" t="n">
        <x:v>46255</x:v>
      </x:c>
      <x:c r="G74" s="409" t="n">
        <x:f>MAX(0,F74-E74)</x:f>
        <x:v>0</x:v>
      </x:c>
      <x:c r="H74" s="410" t="n">
        <x:v>0</x:v>
      </x:c>
      <x:c r="I74" s="412" t="str">
        <x:f>IF(AND(I$7&gt;=$E74,I$7&lt;=$F74),"■","")</x:f>
      </x:c>
      <x:c r="J74" s="412" t="str">
        <x:f>IF(AND(J$7&gt;=$E74,J$7&lt;=$F74),"■","")</x:f>
      </x:c>
      <x:c r="K74" s="412" t="str">
        <x:f>IF(AND(K$7&gt;=$E74,K$7&lt;=$F74),"■","")</x:f>
      </x:c>
      <x:c r="L74" s="412" t="str">
        <x:f>IF(AND(L$7&gt;=$E74,L$7&lt;=$F74),"■","")</x:f>
      </x:c>
      <x:c r="M74" s="412" t="str">
        <x:f>IF(AND(M$7&gt;=$E74,M$7&lt;=$F74),"■","")</x:f>
      </x:c>
      <x:c r="N74" s="412" t="str">
        <x:f>IF(AND(N$7&gt;=$E74,N$7&lt;=$F74),"■","")</x:f>
      </x:c>
      <x:c r="O74" s="412" t="str">
        <x:f>IF(AND(O$7&gt;=$E74,O$7&lt;=$F74),"■","")</x:f>
      </x:c>
      <x:c r="P74" s="412" t="str">
        <x:f>IF(AND(P$7&gt;=$E74,P$7&lt;=$F74),"■","")</x:f>
      </x:c>
      <x:c r="Q74" s="412" t="str">
        <x:f>IF(AND(Q$7&gt;=$E74,Q$7&lt;=$F74),"■","")</x:f>
      </x:c>
      <x:c r="R74" s="412" t="str">
        <x:f>IF(AND(R$7&gt;=$E74,R$7&lt;=$F74),"■","")</x:f>
      </x:c>
      <x:c r="S74" s="412" t="str">
        <x:f>IF(AND(S$7&gt;=$E74,S$7&lt;=$F74),"■","")</x:f>
      </x:c>
      <x:c r="T74" s="412" t="str">
        <x:f>IF(AND(T$7&gt;=$E74,T$7&lt;=$F74),"■","")</x:f>
      </x:c>
      <x:c r="U74" s="412" t="str">
        <x:f>IF(AND(U$7&gt;=$E74,U$7&lt;=$F74),"■","")</x:f>
      </x:c>
      <x:c r="V74" s="412" t="str">
        <x:f>IF(AND(V$7&gt;=$E74,V$7&lt;=$F74),"■","")</x:f>
      </x:c>
      <x:c r="W74" s="412" t="str">
        <x:f>IF(AND(W$7&gt;=$E74,W$7&lt;=$F74),"■","")</x:f>
      </x:c>
      <x:c r="X74" s="414" t="str">
        <x:f>IF(AND(X$7&gt;=$E74,X$7&lt;=$F74),"■","")</x:f>
      </x:c>
      <x:c r="Y74" s="414" t="str">
        <x:f>IF(AND(Y$7&gt;=$E74,Y$7&lt;=$F74),"■","")</x:f>
      </x:c>
      <x:c r="Z74" s="414" t="str">
        <x:f>IF(AND(Z$7&gt;=$E74,Z$7&lt;=$F74),"■","")</x:f>
      </x:c>
      <x:c r="AA74" s="414" t="str">
        <x:f>IF(AND(AA$7&gt;=$E74,AA$7&lt;=$F74),"■","")</x:f>
      </x:c>
      <x:c r="AB74" s="414" t="str">
        <x:f>IF(AND(AB$7&gt;=$E74,AB$7&lt;=$F74),"■","")</x:f>
      </x:c>
      <x:c r="AC74" s="414" t="str">
        <x:f>IF(AND(AC$7&gt;=$E74,AC$7&lt;=$F74),"■","")</x:f>
      </x:c>
      <x:c r="AD74" s="414" t="str">
        <x:f>IF(AND(AD$7&gt;=$E74,AD$7&lt;=$F74),"■","")</x:f>
      </x:c>
      <x:c r="AE74" s="414" t="str">
        <x:f>IF(AND(AE$7&gt;=$E74,AE$7&lt;=$F74),"■","")</x:f>
      </x:c>
      <x:c r="AF74" s="414" t="str">
        <x:f>IF(AND(AF$7&gt;=$E74,AF$7&lt;=$F74),"■","")</x:f>
      </x:c>
      <x:c r="AG74" s="414" t="str">
        <x:f>IF(AND(AG$7&gt;=$E74,AG$7&lt;=$F74),"■","")</x:f>
      </x:c>
      <x:c r="AH74" s="414" t="str">
        <x:f>IF(AND(AH$7&gt;=$E74,AH$7&lt;=$F74),"■","")</x:f>
      </x:c>
      <x:c r="AI74" s="414" t="str">
        <x:f>IF(AND(AI$7&gt;=$E74,AI$7&lt;=$F74),"■","")</x:f>
      </x:c>
      <x:c r="AJ74" s="414" t="str">
        <x:f>IF(AND(AJ$7&gt;=$E74,AJ$7&lt;=$F74),"■","")</x:f>
      </x:c>
      <x:c r="AK74" s="414" t="str">
        <x:f>IF(AND(AK$7&gt;=$E74,AK$7&lt;=$F74),"■","")</x:f>
      </x:c>
      <x:c r="AL74" s="414" t="str">
        <x:f>IF(AND(AL$7&gt;=$E74,AL$7&lt;=$F74),"■","")</x:f>
      </x:c>
      <x:c r="AM74" s="416" t="str">
        <x:f>IF(AND(AM$7&gt;=$E74,AM$7&lt;=$F74),"■","")</x:f>
      </x:c>
      <x:c r="AN74" s="416" t="str">
        <x:f>IF(AND(AN$7&gt;=$E74,AN$7&lt;=$F74),"■","")</x:f>
      </x:c>
      <x:c r="AO74" s="416" t="str">
        <x:f>IF(AND(AO$7&gt;=$E74,AO$7&lt;=$F74),"■","")</x:f>
      </x:c>
      <x:c r="AP74" s="416" t="str">
        <x:f>IF(AND(AP$7&gt;=$E74,AP$7&lt;=$F74),"■","")</x:f>
      </x:c>
      <x:c r="AQ74" s="416" t="str">
        <x:f>IF(AND(AQ$7&gt;=$E74,AQ$7&lt;=$F74),"■","")</x:f>
        <x:v>■</x:v>
      </x:c>
      <x:c r="AR74" s="416" t="str">
        <x:f>IF(AND(AR$7&gt;=$E74,AR$7&lt;=$F74),"■","")</x:f>
      </x:c>
      <x:c r="AS74" s="416" t="str">
        <x:f>IF(AND(AS$7&gt;=$E74,AS$7&lt;=$F74),"■","")</x:f>
      </x:c>
      <x:c r="AT74" s="416" t="str">
        <x:f>IF(AND(AT$7&gt;=$E74,AT$7&lt;=$F74),"■","")</x:f>
      </x:c>
      <x:c r="AU74" s="416" t="str">
        <x:f>IF(AND(AU$7&gt;=$E74,AU$7&lt;=$F74),"■","")</x:f>
      </x:c>
      <x:c r="AV74" s="416" t="str">
        <x:f>IF(AND(AV$7&gt;=$E74,AV$7&lt;=$F74),"■","")</x:f>
      </x:c>
      <x:c r="AW74" s="416" t="str">
        <x:f>IF(AND(AW$7&gt;=$E74,AW$7&lt;=$F74),"■","")</x:f>
      </x:c>
      <x:c r="AX74" s="416" t="str">
        <x:f>IF(AND(AX$7&gt;=$E74,AX$7&lt;=$F74),"■","")</x:f>
      </x:c>
      <x:c r="AY74" s="416" t="str">
        <x:f>IF(AND(AY$7&gt;=$E74,AY$7&lt;=$F74),"■","")</x:f>
      </x:c>
      <x:c r="AZ74" s="416" t="str">
        <x:f>IF(AND(AZ$7&gt;=$E74,AZ$7&lt;=$F74),"■","")</x:f>
      </x:c>
      <x:c r="BA74" s="416" t="str">
        <x:f>IF(AND(BA$7&gt;=$E74,BA$7&lt;=$F74),"■","")</x:f>
      </x:c>
      <x:c r="BB74" s="418" t="str">
        <x:f>IF(AND(BB$7&gt;=$E74,BB$7&lt;=$F74),"■","")</x:f>
      </x:c>
      <x:c r="BC74" s="418" t="str">
        <x:f>IF(AND(BC$7&gt;=$E74,BC$7&lt;=$F74),"■","")</x:f>
      </x:c>
      <x:c r="BD74" s="418" t="str">
        <x:f>IF(AND(BD$7&gt;=$E74,BD$7&lt;=$F74),"■","")</x:f>
      </x:c>
      <x:c r="BE74" s="418" t="str">
        <x:f>IF(AND(BE$7&gt;=$E74,BE$7&lt;=$F74),"■","")</x:f>
      </x:c>
      <x:c r="BF74" s="418" t="str">
        <x:f>IF(AND(BF$7&gt;=$E74,BF$7&lt;=$F74),"■","")</x:f>
      </x:c>
      <x:c r="BG74" s="418" t="str">
        <x:f>IF(AND(BG$7&gt;=$E74,BG$7&lt;=$F74),"■","")</x:f>
      </x:c>
      <x:c r="BH74" s="418" t="str">
        <x:f>IF(AND(BH$7&gt;=$E74,BH$7&lt;=$F74),"■","")</x:f>
      </x:c>
      <x:c r="BI74" s="418" t="str">
        <x:f>IF(AND(BI$7&gt;=$E74,BI$7&lt;=$F74),"■","")</x:f>
      </x:c>
      <x:c r="BJ74" s="418" t="str">
        <x:f>IF(AND(BJ$7&gt;=$E74,BJ$7&lt;=$F74),"■","")</x:f>
      </x:c>
      <x:c r="BK74" s="418" t="str">
        <x:f>IF(AND(BK$7&gt;=$E74,BK$7&lt;=$F74),"■","")</x:f>
      </x:c>
      <x:c r="BL74" s="418" t="str">
        <x:f>IF(AND(BL$7&gt;=$E74,BL$7&lt;=$F74),"■","")</x:f>
      </x:c>
      <x:c r="BM74" s="418" t="str">
        <x:f>IF(AND(BM$7&gt;=$E74,BM$7&lt;=$F74),"■","")</x:f>
      </x:c>
      <x:c r="BN74" s="418" t="str">
        <x:f>IF(AND(BN$7&gt;=$E74,BN$7&lt;=$F74),"■","")</x:f>
      </x:c>
      <x:c r="BO74" s="418" t="str">
        <x:f>IF(AND(BO$7&gt;=$E74,BO$7&lt;=$F74),"■","")</x:f>
      </x:c>
      <x:c r="BP74" s="418" t="str">
        <x:f>IF(AND(BP$7&gt;=$E74,BP$7&lt;=$F74),"■","")</x:f>
      </x:c>
    </x:row>
    <x:row r="75" ht="38" customHeight="1">
      <x:c r="B75" s="406" t="str">
        <x:v>7.8★</x:v>
      </x:c>
      <x:c r="C75" s="407" t="str">
        <x:v>합성 데이터 모델 편차 점검
[대기] 산출물: AI 윤리/편향성 점검 결과서(독립 실험)</x:v>
      </x:c>
      <x:c r="D75" s="407" t="str">
        <x:v>윤대성</x:v>
      </x:c>
      <x:c r="E75" s="408" t="n">
        <x:v>46252</x:v>
      </x:c>
      <x:c r="F75" s="408" t="n">
        <x:v>46255</x:v>
      </x:c>
      <x:c r="G75" s="409" t="n">
        <x:f>MAX(0,F75-E75)</x:f>
        <x:v>3</x:v>
      </x:c>
      <x:c r="H75" s="410" t="n">
        <x:v>0</x:v>
      </x:c>
      <x:c r="I75" s="412" t="str">
        <x:f>IF(AND(I$7&gt;=$E75,I$7&lt;=$F75),"■","")</x:f>
      </x:c>
      <x:c r="J75" s="412" t="str">
        <x:f>IF(AND(J$7&gt;=$E75,J$7&lt;=$F75),"■","")</x:f>
      </x:c>
      <x:c r="K75" s="412" t="str">
        <x:f>IF(AND(K$7&gt;=$E75,K$7&lt;=$F75),"■","")</x:f>
      </x:c>
      <x:c r="L75" s="412" t="str">
        <x:f>IF(AND(L$7&gt;=$E75,L$7&lt;=$F75),"■","")</x:f>
      </x:c>
      <x:c r="M75" s="412" t="str">
        <x:f>IF(AND(M$7&gt;=$E75,M$7&lt;=$F75),"■","")</x:f>
      </x:c>
      <x:c r="N75" s="412" t="str">
        <x:f>IF(AND(N$7&gt;=$E75,N$7&lt;=$F75),"■","")</x:f>
      </x:c>
      <x:c r="O75" s="412" t="str">
        <x:f>IF(AND(O$7&gt;=$E75,O$7&lt;=$F75),"■","")</x:f>
      </x:c>
      <x:c r="P75" s="412" t="str">
        <x:f>IF(AND(P$7&gt;=$E75,P$7&lt;=$F75),"■","")</x:f>
      </x:c>
      <x:c r="Q75" s="412" t="str">
        <x:f>IF(AND(Q$7&gt;=$E75,Q$7&lt;=$F75),"■","")</x:f>
      </x:c>
      <x:c r="R75" s="412" t="str">
        <x:f>IF(AND(R$7&gt;=$E75,R$7&lt;=$F75),"■","")</x:f>
      </x:c>
      <x:c r="S75" s="412" t="str">
        <x:f>IF(AND(S$7&gt;=$E75,S$7&lt;=$F75),"■","")</x:f>
      </x:c>
      <x:c r="T75" s="412" t="str">
        <x:f>IF(AND(T$7&gt;=$E75,T$7&lt;=$F75),"■","")</x:f>
      </x:c>
      <x:c r="U75" s="412" t="str">
        <x:f>IF(AND(U$7&gt;=$E75,U$7&lt;=$F75),"■","")</x:f>
      </x:c>
      <x:c r="V75" s="412" t="str">
        <x:f>IF(AND(V$7&gt;=$E75,V$7&lt;=$F75),"■","")</x:f>
      </x:c>
      <x:c r="W75" s="412" t="str">
        <x:f>IF(AND(W$7&gt;=$E75,W$7&lt;=$F75),"■","")</x:f>
      </x:c>
      <x:c r="X75" s="414" t="str">
        <x:f>IF(AND(X$7&gt;=$E75,X$7&lt;=$F75),"■","")</x:f>
      </x:c>
      <x:c r="Y75" s="414" t="str">
        <x:f>IF(AND(Y$7&gt;=$E75,Y$7&lt;=$F75),"■","")</x:f>
      </x:c>
      <x:c r="Z75" s="414" t="str">
        <x:f>IF(AND(Z$7&gt;=$E75,Z$7&lt;=$F75),"■","")</x:f>
      </x:c>
      <x:c r="AA75" s="414" t="str">
        <x:f>IF(AND(AA$7&gt;=$E75,AA$7&lt;=$F75),"■","")</x:f>
      </x:c>
      <x:c r="AB75" s="414" t="str">
        <x:f>IF(AND(AB$7&gt;=$E75,AB$7&lt;=$F75),"■","")</x:f>
      </x:c>
      <x:c r="AC75" s="414" t="str">
        <x:f>IF(AND(AC$7&gt;=$E75,AC$7&lt;=$F75),"■","")</x:f>
      </x:c>
      <x:c r="AD75" s="414" t="str">
        <x:f>IF(AND(AD$7&gt;=$E75,AD$7&lt;=$F75),"■","")</x:f>
      </x:c>
      <x:c r="AE75" s="414" t="str">
        <x:f>IF(AND(AE$7&gt;=$E75,AE$7&lt;=$F75),"■","")</x:f>
      </x:c>
      <x:c r="AF75" s="414" t="str">
        <x:f>IF(AND(AF$7&gt;=$E75,AF$7&lt;=$F75),"■","")</x:f>
      </x:c>
      <x:c r="AG75" s="414" t="str">
        <x:f>IF(AND(AG$7&gt;=$E75,AG$7&lt;=$F75),"■","")</x:f>
      </x:c>
      <x:c r="AH75" s="414" t="str">
        <x:f>IF(AND(AH$7&gt;=$E75,AH$7&lt;=$F75),"■","")</x:f>
      </x:c>
      <x:c r="AI75" s="414" t="str">
        <x:f>IF(AND(AI$7&gt;=$E75,AI$7&lt;=$F75),"■","")</x:f>
      </x:c>
      <x:c r="AJ75" s="414" t="str">
        <x:f>IF(AND(AJ$7&gt;=$E75,AJ$7&lt;=$F75),"■","")</x:f>
      </x:c>
      <x:c r="AK75" s="414" t="str">
        <x:f>IF(AND(AK$7&gt;=$E75,AK$7&lt;=$F75),"■","")</x:f>
      </x:c>
      <x:c r="AL75" s="414" t="str">
        <x:f>IF(AND(AL$7&gt;=$E75,AL$7&lt;=$F75),"■","")</x:f>
      </x:c>
      <x:c r="AM75" s="416" t="str">
        <x:f>IF(AND(AM$7&gt;=$E75,AM$7&lt;=$F75),"■","")</x:f>
      </x:c>
      <x:c r="AN75" s="416" t="str">
        <x:f>IF(AND(AN$7&gt;=$E75,AN$7&lt;=$F75),"■","")</x:f>
        <x:v>■</x:v>
      </x:c>
      <x:c r="AO75" s="416" t="str">
        <x:f>IF(AND(AO$7&gt;=$E75,AO$7&lt;=$F75),"■","")</x:f>
        <x:v>■</x:v>
      </x:c>
      <x:c r="AP75" s="416" t="str">
        <x:f>IF(AND(AP$7&gt;=$E75,AP$7&lt;=$F75),"■","")</x:f>
        <x:v>■</x:v>
      </x:c>
      <x:c r="AQ75" s="416" t="str">
        <x:f>IF(AND(AQ$7&gt;=$E75,AQ$7&lt;=$F75),"■","")</x:f>
        <x:v>■</x:v>
      </x:c>
      <x:c r="AR75" s="416" t="str">
        <x:f>IF(AND(AR$7&gt;=$E75,AR$7&lt;=$F75),"■","")</x:f>
      </x:c>
      <x:c r="AS75" s="416" t="str">
        <x:f>IF(AND(AS$7&gt;=$E75,AS$7&lt;=$F75),"■","")</x:f>
      </x:c>
      <x:c r="AT75" s="416" t="str">
        <x:f>IF(AND(AT$7&gt;=$E75,AT$7&lt;=$F75),"■","")</x:f>
      </x:c>
      <x:c r="AU75" s="416" t="str">
        <x:f>IF(AND(AU$7&gt;=$E75,AU$7&lt;=$F75),"■","")</x:f>
      </x:c>
      <x:c r="AV75" s="416" t="str">
        <x:f>IF(AND(AV$7&gt;=$E75,AV$7&lt;=$F75),"■","")</x:f>
      </x:c>
      <x:c r="AW75" s="416" t="str">
        <x:f>IF(AND(AW$7&gt;=$E75,AW$7&lt;=$F75),"■","")</x:f>
      </x:c>
      <x:c r="AX75" s="416" t="str">
        <x:f>IF(AND(AX$7&gt;=$E75,AX$7&lt;=$F75),"■","")</x:f>
      </x:c>
      <x:c r="AY75" s="416" t="str">
        <x:f>IF(AND(AY$7&gt;=$E75,AY$7&lt;=$F75),"■","")</x:f>
      </x:c>
      <x:c r="AZ75" s="416" t="str">
        <x:f>IF(AND(AZ$7&gt;=$E75,AZ$7&lt;=$F75),"■","")</x:f>
      </x:c>
      <x:c r="BA75" s="416" t="str">
        <x:f>IF(AND(BA$7&gt;=$E75,BA$7&lt;=$F75),"■","")</x:f>
      </x:c>
      <x:c r="BB75" s="418" t="str">
        <x:f>IF(AND(BB$7&gt;=$E75,BB$7&lt;=$F75),"■","")</x:f>
      </x:c>
      <x:c r="BC75" s="418" t="str">
        <x:f>IF(AND(BC$7&gt;=$E75,BC$7&lt;=$F75),"■","")</x:f>
      </x:c>
      <x:c r="BD75" s="418" t="str">
        <x:f>IF(AND(BD$7&gt;=$E75,BD$7&lt;=$F75),"■","")</x:f>
      </x:c>
      <x:c r="BE75" s="418" t="str">
        <x:f>IF(AND(BE$7&gt;=$E75,BE$7&lt;=$F75),"■","")</x:f>
      </x:c>
      <x:c r="BF75" s="418" t="str">
        <x:f>IF(AND(BF$7&gt;=$E75,BF$7&lt;=$F75),"■","")</x:f>
      </x:c>
      <x:c r="BG75" s="418" t="str">
        <x:f>IF(AND(BG$7&gt;=$E75,BG$7&lt;=$F75),"■","")</x:f>
      </x:c>
      <x:c r="BH75" s="418" t="str">
        <x:f>IF(AND(BH$7&gt;=$E75,BH$7&lt;=$F75),"■","")</x:f>
      </x:c>
      <x:c r="BI75" s="418" t="str">
        <x:f>IF(AND(BI$7&gt;=$E75,BI$7&lt;=$F75),"■","")</x:f>
      </x:c>
      <x:c r="BJ75" s="418" t="str">
        <x:f>IF(AND(BJ$7&gt;=$E75,BJ$7&lt;=$F75),"■","")</x:f>
      </x:c>
      <x:c r="BK75" s="418" t="str">
        <x:f>IF(AND(BK$7&gt;=$E75,BK$7&lt;=$F75),"■","")</x:f>
      </x:c>
      <x:c r="BL75" s="418" t="str">
        <x:f>IF(AND(BL$7&gt;=$E75,BL$7&lt;=$F75),"■","")</x:f>
      </x:c>
      <x:c r="BM75" s="418" t="str">
        <x:f>IF(AND(BM$7&gt;=$E75,BM$7&lt;=$F75),"■","")</x:f>
      </x:c>
      <x:c r="BN75" s="418" t="str">
        <x:f>IF(AND(BN$7&gt;=$E75,BN$7&lt;=$F75),"■","")</x:f>
      </x:c>
      <x:c r="BO75" s="418" t="str">
        <x:f>IF(AND(BO$7&gt;=$E75,BO$7&lt;=$F75),"■","")</x:f>
      </x:c>
      <x:c r="BP75" s="418" t="str">
        <x:f>IF(AND(BP$7&gt;=$E75,BP$7&lt;=$F75),"■","")</x:f>
      </x:c>
    </x:row>
    <x:row r="76" ht="24" customHeight="1">
      <x:c r="B76" s="425" t="str">
        <x:v>8</x:v>
      </x:c>
      <x:c r="C76" s="426" t="str">
        <x:v>최종 발표 준비</x:v>
      </x:c>
      <x:c r="D76" s="426"/>
      <x:c r="E76" s="427"/>
      <x:c r="F76" s="427"/>
      <x:c r="G76" s="428"/>
      <x:c r="H76" s="429"/>
      <x:c r="I76" s="430"/>
      <x:c r="J76" s="430"/>
      <x:c r="K76" s="430"/>
      <x:c r="L76" s="430"/>
      <x:c r="M76" s="430"/>
      <x:c r="N76" s="430"/>
      <x:c r="O76" s="430"/>
      <x:c r="P76" s="430"/>
      <x:c r="Q76" s="430"/>
      <x:c r="R76" s="430"/>
      <x:c r="S76" s="430"/>
      <x:c r="T76" s="430"/>
      <x:c r="U76" s="430"/>
      <x:c r="V76" s="430"/>
      <x:c r="W76" s="430"/>
      <x:c r="X76" s="430"/>
      <x:c r="Y76" s="430"/>
      <x:c r="Z76" s="430"/>
      <x:c r="AA76" s="430"/>
      <x:c r="AB76" s="430"/>
      <x:c r="AC76" s="430"/>
      <x:c r="AD76" s="430"/>
      <x:c r="AE76" s="430"/>
      <x:c r="AF76" s="430"/>
      <x:c r="AG76" s="430"/>
      <x:c r="AH76" s="430"/>
      <x:c r="AI76" s="430"/>
      <x:c r="AJ76" s="430"/>
      <x:c r="AK76" s="430"/>
      <x:c r="AL76" s="430"/>
      <x:c r="AM76" s="430"/>
      <x:c r="AN76" s="430"/>
      <x:c r="AO76" s="430"/>
      <x:c r="AP76" s="430"/>
      <x:c r="AQ76" s="430"/>
      <x:c r="AR76" s="430"/>
      <x:c r="AS76" s="430"/>
      <x:c r="AT76" s="430"/>
      <x:c r="AU76" s="430"/>
      <x:c r="AV76" s="430"/>
      <x:c r="AW76" s="430"/>
      <x:c r="AX76" s="430"/>
      <x:c r="AY76" s="430"/>
      <x:c r="AZ76" s="430"/>
      <x:c r="BA76" s="430"/>
      <x:c r="BB76" s="430"/>
      <x:c r="BC76" s="430"/>
      <x:c r="BD76" s="430"/>
      <x:c r="BE76" s="430"/>
      <x:c r="BF76" s="430"/>
      <x:c r="BG76" s="430"/>
      <x:c r="BH76" s="430"/>
      <x:c r="BI76" s="430"/>
      <x:c r="BJ76" s="430"/>
      <x:c r="BK76" s="430"/>
      <x:c r="BL76" s="430"/>
      <x:c r="BM76" s="430"/>
      <x:c r="BN76" s="430"/>
      <x:c r="BO76" s="430"/>
      <x:c r="BP76" s="430"/>
    </x:row>
    <x:row r="77" ht="38" customHeight="1">
      <x:c r="B77" s="406" t="str">
        <x:v>8.1</x:v>
      </x:c>
      <x:c r="C77" s="407" t="str">
        <x:v>최종 발표자료·비즈니스 연계·대본 작성
[대기] 산출물: 최종 발표 PT 자료 · 제출 09/03</x:v>
      </x:c>
      <x:c r="D77" s="407" t="str">
        <x:v>정승</x:v>
      </x:c>
      <x:c r="E77" s="408" t="n">
        <x:v>46261</x:v>
      </x:c>
      <x:c r="F77" s="408" t="n">
        <x:v>46268</x:v>
      </x:c>
      <x:c r="G77" s="409" t="n">
        <x:f>MAX(0,F77-E77)</x:f>
        <x:v>7</x:v>
      </x:c>
      <x:c r="H77" s="410" t="n">
        <x:v>0</x:v>
      </x:c>
      <x:c r="I77" s="412" t="str">
        <x:f>IF(AND(I$7&gt;=$E77,I$7&lt;=$F77),"■","")</x:f>
      </x:c>
      <x:c r="J77" s="412" t="str">
        <x:f>IF(AND(J$7&gt;=$E77,J$7&lt;=$F77),"■","")</x:f>
      </x:c>
      <x:c r="K77" s="412" t="str">
        <x:f>IF(AND(K$7&gt;=$E77,K$7&lt;=$F77),"■","")</x:f>
      </x:c>
      <x:c r="L77" s="412" t="str">
        <x:f>IF(AND(L$7&gt;=$E77,L$7&lt;=$F77),"■","")</x:f>
      </x:c>
      <x:c r="M77" s="412" t="str">
        <x:f>IF(AND(M$7&gt;=$E77,M$7&lt;=$F77),"■","")</x:f>
      </x:c>
      <x:c r="N77" s="412" t="str">
        <x:f>IF(AND(N$7&gt;=$E77,N$7&lt;=$F77),"■","")</x:f>
      </x:c>
      <x:c r="O77" s="412" t="str">
        <x:f>IF(AND(O$7&gt;=$E77,O$7&lt;=$F77),"■","")</x:f>
      </x:c>
      <x:c r="P77" s="412" t="str">
        <x:f>IF(AND(P$7&gt;=$E77,P$7&lt;=$F77),"■","")</x:f>
      </x:c>
      <x:c r="Q77" s="412" t="str">
        <x:f>IF(AND(Q$7&gt;=$E77,Q$7&lt;=$F77),"■","")</x:f>
      </x:c>
      <x:c r="R77" s="412" t="str">
        <x:f>IF(AND(R$7&gt;=$E77,R$7&lt;=$F77),"■","")</x:f>
      </x:c>
      <x:c r="S77" s="412" t="str">
        <x:f>IF(AND(S$7&gt;=$E77,S$7&lt;=$F77),"■","")</x:f>
      </x:c>
      <x:c r="T77" s="412" t="str">
        <x:f>IF(AND(T$7&gt;=$E77,T$7&lt;=$F77),"■","")</x:f>
      </x:c>
      <x:c r="U77" s="412" t="str">
        <x:f>IF(AND(U$7&gt;=$E77,U$7&lt;=$F77),"■","")</x:f>
      </x:c>
      <x:c r="V77" s="412" t="str">
        <x:f>IF(AND(V$7&gt;=$E77,V$7&lt;=$F77),"■","")</x:f>
      </x:c>
      <x:c r="W77" s="412" t="str">
        <x:f>IF(AND(W$7&gt;=$E77,W$7&lt;=$F77),"■","")</x:f>
      </x:c>
      <x:c r="X77" s="414" t="str">
        <x:f>IF(AND(X$7&gt;=$E77,X$7&lt;=$F77),"■","")</x:f>
      </x:c>
      <x:c r="Y77" s="414" t="str">
        <x:f>IF(AND(Y$7&gt;=$E77,Y$7&lt;=$F77),"■","")</x:f>
      </x:c>
      <x:c r="Z77" s="414" t="str">
        <x:f>IF(AND(Z$7&gt;=$E77,Z$7&lt;=$F77),"■","")</x:f>
      </x:c>
      <x:c r="AA77" s="414" t="str">
        <x:f>IF(AND(AA$7&gt;=$E77,AA$7&lt;=$F77),"■","")</x:f>
      </x:c>
      <x:c r="AB77" s="414" t="str">
        <x:f>IF(AND(AB$7&gt;=$E77,AB$7&lt;=$F77),"■","")</x:f>
      </x:c>
      <x:c r="AC77" s="414" t="str">
        <x:f>IF(AND(AC$7&gt;=$E77,AC$7&lt;=$F77),"■","")</x:f>
      </x:c>
      <x:c r="AD77" s="414" t="str">
        <x:f>IF(AND(AD$7&gt;=$E77,AD$7&lt;=$F77),"■","")</x:f>
      </x:c>
      <x:c r="AE77" s="414" t="str">
        <x:f>IF(AND(AE$7&gt;=$E77,AE$7&lt;=$F77),"■","")</x:f>
      </x:c>
      <x:c r="AF77" s="414" t="str">
        <x:f>IF(AND(AF$7&gt;=$E77,AF$7&lt;=$F77),"■","")</x:f>
      </x:c>
      <x:c r="AG77" s="414" t="str">
        <x:f>IF(AND(AG$7&gt;=$E77,AG$7&lt;=$F77),"■","")</x:f>
      </x:c>
      <x:c r="AH77" s="414" t="str">
        <x:f>IF(AND(AH$7&gt;=$E77,AH$7&lt;=$F77),"■","")</x:f>
      </x:c>
      <x:c r="AI77" s="414" t="str">
        <x:f>IF(AND(AI$7&gt;=$E77,AI$7&lt;=$F77),"■","")</x:f>
      </x:c>
      <x:c r="AJ77" s="414" t="str">
        <x:f>IF(AND(AJ$7&gt;=$E77,AJ$7&lt;=$F77),"■","")</x:f>
      </x:c>
      <x:c r="AK77" s="414" t="str">
        <x:f>IF(AND(AK$7&gt;=$E77,AK$7&lt;=$F77),"■","")</x:f>
      </x:c>
      <x:c r="AL77" s="414" t="str">
        <x:f>IF(AND(AL$7&gt;=$E77,AL$7&lt;=$F77),"■","")</x:f>
      </x:c>
      <x:c r="AM77" s="416" t="str">
        <x:f>IF(AND(AM$7&gt;=$E77,AM$7&lt;=$F77),"■","")</x:f>
      </x:c>
      <x:c r="AN77" s="416" t="str">
        <x:f>IF(AND(AN$7&gt;=$E77,AN$7&lt;=$F77),"■","")</x:f>
      </x:c>
      <x:c r="AO77" s="416" t="str">
        <x:f>IF(AND(AO$7&gt;=$E77,AO$7&lt;=$F77),"■","")</x:f>
      </x:c>
      <x:c r="AP77" s="416" t="str">
        <x:f>IF(AND(AP$7&gt;=$E77,AP$7&lt;=$F77),"■","")</x:f>
      </x:c>
      <x:c r="AQ77" s="416" t="str">
        <x:f>IF(AND(AQ$7&gt;=$E77,AQ$7&lt;=$F77),"■","")</x:f>
      </x:c>
      <x:c r="AR77" s="416" t="str">
        <x:f>IF(AND(AR$7&gt;=$E77,AR$7&lt;=$F77),"■","")</x:f>
      </x:c>
      <x:c r="AS77" s="416" t="str">
        <x:f>IF(AND(AS$7&gt;=$E77,AS$7&lt;=$F77),"■","")</x:f>
      </x:c>
      <x:c r="AT77" s="416" t="str">
        <x:f>IF(AND(AT$7&gt;=$E77,AT$7&lt;=$F77),"■","")</x:f>
      </x:c>
      <x:c r="AU77" s="416" t="str">
        <x:f>IF(AND(AU$7&gt;=$E77,AU$7&lt;=$F77),"■","")</x:f>
        <x:v>■</x:v>
      </x:c>
      <x:c r="AV77" s="416" t="str">
        <x:f>IF(AND(AV$7&gt;=$E77,AV$7&lt;=$F77),"■","")</x:f>
        <x:v>■</x:v>
      </x:c>
      <x:c r="AW77" s="416" t="str">
        <x:f>IF(AND(AW$7&gt;=$E77,AW$7&lt;=$F77),"■","")</x:f>
        <x:v>■</x:v>
      </x:c>
      <x:c r="AX77" s="416" t="str">
        <x:f>IF(AND(AX$7&gt;=$E77,AX$7&lt;=$F77),"■","")</x:f>
        <x:v>■</x:v>
      </x:c>
      <x:c r="AY77" s="416" t="str">
        <x:f>IF(AND(AY$7&gt;=$E77,AY$7&lt;=$F77),"■","")</x:f>
        <x:v>■</x:v>
      </x:c>
      <x:c r="AZ77" s="416" t="str">
        <x:f>IF(AND(AZ$7&gt;=$E77,AZ$7&lt;=$F77),"■","")</x:f>
        <x:v>■</x:v>
      </x:c>
      <x:c r="BA77" s="416" t="str">
        <x:f>IF(AND(BA$7&gt;=$E77,BA$7&lt;=$F77),"■","")</x:f>
      </x:c>
      <x:c r="BB77" s="418" t="str">
        <x:f>IF(AND(BB$7&gt;=$E77,BB$7&lt;=$F77),"■","")</x:f>
      </x:c>
      <x:c r="BC77" s="418" t="str">
        <x:f>IF(AND(BC$7&gt;=$E77,BC$7&lt;=$F77),"■","")</x:f>
      </x:c>
      <x:c r="BD77" s="418" t="str">
        <x:f>IF(AND(BD$7&gt;=$E77,BD$7&lt;=$F77),"■","")</x:f>
      </x:c>
      <x:c r="BE77" s="418" t="str">
        <x:f>IF(AND(BE$7&gt;=$E77,BE$7&lt;=$F77),"■","")</x:f>
      </x:c>
      <x:c r="BF77" s="418" t="str">
        <x:f>IF(AND(BF$7&gt;=$E77,BF$7&lt;=$F77),"■","")</x:f>
      </x:c>
      <x:c r="BG77" s="418" t="str">
        <x:f>IF(AND(BG$7&gt;=$E77,BG$7&lt;=$F77),"■","")</x:f>
      </x:c>
      <x:c r="BH77" s="418" t="str">
        <x:f>IF(AND(BH$7&gt;=$E77,BH$7&lt;=$F77),"■","")</x:f>
      </x:c>
      <x:c r="BI77" s="418" t="str">
        <x:f>IF(AND(BI$7&gt;=$E77,BI$7&lt;=$F77),"■","")</x:f>
      </x:c>
      <x:c r="BJ77" s="418" t="str">
        <x:f>IF(AND(BJ$7&gt;=$E77,BJ$7&lt;=$F77),"■","")</x:f>
      </x:c>
      <x:c r="BK77" s="418" t="str">
        <x:f>IF(AND(BK$7&gt;=$E77,BK$7&lt;=$F77),"■","")</x:f>
      </x:c>
      <x:c r="BL77" s="418" t="str">
        <x:f>IF(AND(BL$7&gt;=$E77,BL$7&lt;=$F77),"■","")</x:f>
      </x:c>
      <x:c r="BM77" s="418" t="str">
        <x:f>IF(AND(BM$7&gt;=$E77,BM$7&lt;=$F77),"■","")</x:f>
      </x:c>
      <x:c r="BN77" s="418" t="str">
        <x:f>IF(AND(BN$7&gt;=$E77,BN$7&lt;=$F77),"■","")</x:f>
      </x:c>
      <x:c r="BO77" s="418" t="str">
        <x:f>IF(AND(BO$7&gt;=$E77,BO$7&lt;=$F77),"■","")</x:f>
      </x:c>
      <x:c r="BP77" s="418" t="str">
        <x:f>IF(AND(BP$7&gt;=$E77,BP$7&lt;=$F77),"■","")</x:f>
      </x:c>
    </x:row>
    <x:row r="78" ht="38" customHeight="1">
      <x:c r="B78" s="406" t="str">
        <x:v>8.2</x:v>
      </x:c>
      <x:c r="C78" s="407" t="str">
        <x:v>README·기술문서·소스코드 정리
[대기] 산출물: 프로젝트 개발 소스코드 · 제출 09/03</x:v>
      </x:c>
      <x:c r="D78" s="407" t="str">
        <x:v>김재홍·정승·윤대성</x:v>
      </x:c>
      <x:c r="E78" s="408" t="n">
        <x:v>46261</x:v>
      </x:c>
      <x:c r="F78" s="408" t="n">
        <x:v>46268</x:v>
      </x:c>
      <x:c r="G78" s="409" t="n">
        <x:f>MAX(0,F78-E78)</x:f>
        <x:v>7</x:v>
      </x:c>
      <x:c r="H78" s="410" t="n">
        <x:v>0</x:v>
      </x:c>
      <x:c r="I78" s="412" t="str">
        <x:f>IF(AND(I$7&gt;=$E78,I$7&lt;=$F78),"■","")</x:f>
      </x:c>
      <x:c r="J78" s="412" t="str">
        <x:f>IF(AND(J$7&gt;=$E78,J$7&lt;=$F78),"■","")</x:f>
      </x:c>
      <x:c r="K78" s="412" t="str">
        <x:f>IF(AND(K$7&gt;=$E78,K$7&lt;=$F78),"■","")</x:f>
      </x:c>
      <x:c r="L78" s="412" t="str">
        <x:f>IF(AND(L$7&gt;=$E78,L$7&lt;=$F78),"■","")</x:f>
      </x:c>
      <x:c r="M78" s="412" t="str">
        <x:f>IF(AND(M$7&gt;=$E78,M$7&lt;=$F78),"■","")</x:f>
      </x:c>
      <x:c r="N78" s="412" t="str">
        <x:f>IF(AND(N$7&gt;=$E78,N$7&lt;=$F78),"■","")</x:f>
      </x:c>
      <x:c r="O78" s="412" t="str">
        <x:f>IF(AND(O$7&gt;=$E78,O$7&lt;=$F78),"■","")</x:f>
      </x:c>
      <x:c r="P78" s="412" t="str">
        <x:f>IF(AND(P$7&gt;=$E78,P$7&lt;=$F78),"■","")</x:f>
      </x:c>
      <x:c r="Q78" s="412" t="str">
        <x:f>IF(AND(Q$7&gt;=$E78,Q$7&lt;=$F78),"■","")</x:f>
      </x:c>
      <x:c r="R78" s="412" t="str">
        <x:f>IF(AND(R$7&gt;=$E78,R$7&lt;=$F78),"■","")</x:f>
      </x:c>
      <x:c r="S78" s="412" t="str">
        <x:f>IF(AND(S$7&gt;=$E78,S$7&lt;=$F78),"■","")</x:f>
      </x:c>
      <x:c r="T78" s="412" t="str">
        <x:f>IF(AND(T$7&gt;=$E78,T$7&lt;=$F78),"■","")</x:f>
      </x:c>
      <x:c r="U78" s="412" t="str">
        <x:f>IF(AND(U$7&gt;=$E78,U$7&lt;=$F78),"■","")</x:f>
      </x:c>
      <x:c r="V78" s="412" t="str">
        <x:f>IF(AND(V$7&gt;=$E78,V$7&lt;=$F78),"■","")</x:f>
      </x:c>
      <x:c r="W78" s="412" t="str">
        <x:f>IF(AND(W$7&gt;=$E78,W$7&lt;=$F78),"■","")</x:f>
      </x:c>
      <x:c r="X78" s="414" t="str">
        <x:f>IF(AND(X$7&gt;=$E78,X$7&lt;=$F78),"■","")</x:f>
      </x:c>
      <x:c r="Y78" s="414" t="str">
        <x:f>IF(AND(Y$7&gt;=$E78,Y$7&lt;=$F78),"■","")</x:f>
      </x:c>
      <x:c r="Z78" s="414" t="str">
        <x:f>IF(AND(Z$7&gt;=$E78,Z$7&lt;=$F78),"■","")</x:f>
      </x:c>
      <x:c r="AA78" s="414" t="str">
        <x:f>IF(AND(AA$7&gt;=$E78,AA$7&lt;=$F78),"■","")</x:f>
      </x:c>
      <x:c r="AB78" s="414" t="str">
        <x:f>IF(AND(AB$7&gt;=$E78,AB$7&lt;=$F78),"■","")</x:f>
      </x:c>
      <x:c r="AC78" s="414" t="str">
        <x:f>IF(AND(AC$7&gt;=$E78,AC$7&lt;=$F78),"■","")</x:f>
      </x:c>
      <x:c r="AD78" s="414" t="str">
        <x:f>IF(AND(AD$7&gt;=$E78,AD$7&lt;=$F78),"■","")</x:f>
      </x:c>
      <x:c r="AE78" s="414" t="str">
        <x:f>IF(AND(AE$7&gt;=$E78,AE$7&lt;=$F78),"■","")</x:f>
      </x:c>
      <x:c r="AF78" s="414" t="str">
        <x:f>IF(AND(AF$7&gt;=$E78,AF$7&lt;=$F78),"■","")</x:f>
      </x:c>
      <x:c r="AG78" s="414" t="str">
        <x:f>IF(AND(AG$7&gt;=$E78,AG$7&lt;=$F78),"■","")</x:f>
      </x:c>
      <x:c r="AH78" s="414" t="str">
        <x:f>IF(AND(AH$7&gt;=$E78,AH$7&lt;=$F78),"■","")</x:f>
      </x:c>
      <x:c r="AI78" s="414" t="str">
        <x:f>IF(AND(AI$7&gt;=$E78,AI$7&lt;=$F78),"■","")</x:f>
      </x:c>
      <x:c r="AJ78" s="414" t="str">
        <x:f>IF(AND(AJ$7&gt;=$E78,AJ$7&lt;=$F78),"■","")</x:f>
      </x:c>
      <x:c r="AK78" s="414" t="str">
        <x:f>IF(AND(AK$7&gt;=$E78,AK$7&lt;=$F78),"■","")</x:f>
      </x:c>
      <x:c r="AL78" s="414" t="str">
        <x:f>IF(AND(AL$7&gt;=$E78,AL$7&lt;=$F78),"■","")</x:f>
      </x:c>
      <x:c r="AM78" s="416" t="str">
        <x:f>IF(AND(AM$7&gt;=$E78,AM$7&lt;=$F78),"■","")</x:f>
      </x:c>
      <x:c r="AN78" s="416" t="str">
        <x:f>IF(AND(AN$7&gt;=$E78,AN$7&lt;=$F78),"■","")</x:f>
      </x:c>
      <x:c r="AO78" s="416" t="str">
        <x:f>IF(AND(AO$7&gt;=$E78,AO$7&lt;=$F78),"■","")</x:f>
      </x:c>
      <x:c r="AP78" s="416" t="str">
        <x:f>IF(AND(AP$7&gt;=$E78,AP$7&lt;=$F78),"■","")</x:f>
      </x:c>
      <x:c r="AQ78" s="416" t="str">
        <x:f>IF(AND(AQ$7&gt;=$E78,AQ$7&lt;=$F78),"■","")</x:f>
      </x:c>
      <x:c r="AR78" s="416" t="str">
        <x:f>IF(AND(AR$7&gt;=$E78,AR$7&lt;=$F78),"■","")</x:f>
      </x:c>
      <x:c r="AS78" s="416" t="str">
        <x:f>IF(AND(AS$7&gt;=$E78,AS$7&lt;=$F78),"■","")</x:f>
      </x:c>
      <x:c r="AT78" s="416" t="str">
        <x:f>IF(AND(AT$7&gt;=$E78,AT$7&lt;=$F78),"■","")</x:f>
      </x:c>
      <x:c r="AU78" s="416" t="str">
        <x:f>IF(AND(AU$7&gt;=$E78,AU$7&lt;=$F78),"■","")</x:f>
        <x:v>■</x:v>
      </x:c>
      <x:c r="AV78" s="416" t="str">
        <x:f>IF(AND(AV$7&gt;=$E78,AV$7&lt;=$F78),"■","")</x:f>
        <x:v>■</x:v>
      </x:c>
      <x:c r="AW78" s="416" t="str">
        <x:f>IF(AND(AW$7&gt;=$E78,AW$7&lt;=$F78),"■","")</x:f>
        <x:v>■</x:v>
      </x:c>
      <x:c r="AX78" s="416" t="str">
        <x:f>IF(AND(AX$7&gt;=$E78,AX$7&lt;=$F78),"■","")</x:f>
        <x:v>■</x:v>
      </x:c>
      <x:c r="AY78" s="416" t="str">
        <x:f>IF(AND(AY$7&gt;=$E78,AY$7&lt;=$F78),"■","")</x:f>
        <x:v>■</x:v>
      </x:c>
      <x:c r="AZ78" s="416" t="str">
        <x:f>IF(AND(AZ$7&gt;=$E78,AZ$7&lt;=$F78),"■","")</x:f>
        <x:v>■</x:v>
      </x:c>
      <x:c r="BA78" s="416" t="str">
        <x:f>IF(AND(BA$7&gt;=$E78,BA$7&lt;=$F78),"■","")</x:f>
      </x:c>
      <x:c r="BB78" s="418" t="str">
        <x:f>IF(AND(BB$7&gt;=$E78,BB$7&lt;=$F78),"■","")</x:f>
      </x:c>
      <x:c r="BC78" s="418" t="str">
        <x:f>IF(AND(BC$7&gt;=$E78,BC$7&lt;=$F78),"■","")</x:f>
      </x:c>
      <x:c r="BD78" s="418" t="str">
        <x:f>IF(AND(BD$7&gt;=$E78,BD$7&lt;=$F78),"■","")</x:f>
      </x:c>
      <x:c r="BE78" s="418" t="str">
        <x:f>IF(AND(BE$7&gt;=$E78,BE$7&lt;=$F78),"■","")</x:f>
      </x:c>
      <x:c r="BF78" s="418" t="str">
        <x:f>IF(AND(BF$7&gt;=$E78,BF$7&lt;=$F78),"■","")</x:f>
      </x:c>
      <x:c r="BG78" s="418" t="str">
        <x:f>IF(AND(BG$7&gt;=$E78,BG$7&lt;=$F78),"■","")</x:f>
      </x:c>
      <x:c r="BH78" s="418" t="str">
        <x:f>IF(AND(BH$7&gt;=$E78,BH$7&lt;=$F78),"■","")</x:f>
      </x:c>
      <x:c r="BI78" s="418" t="str">
        <x:f>IF(AND(BI$7&gt;=$E78,BI$7&lt;=$F78),"■","")</x:f>
      </x:c>
      <x:c r="BJ78" s="418" t="str">
        <x:f>IF(AND(BJ$7&gt;=$E78,BJ$7&lt;=$F78),"■","")</x:f>
      </x:c>
      <x:c r="BK78" s="418" t="str">
        <x:f>IF(AND(BK$7&gt;=$E78,BK$7&lt;=$F78),"■","")</x:f>
      </x:c>
      <x:c r="BL78" s="418" t="str">
        <x:f>IF(AND(BL$7&gt;=$E78,BL$7&lt;=$F78),"■","")</x:f>
      </x:c>
      <x:c r="BM78" s="418" t="str">
        <x:f>IF(AND(BM$7&gt;=$E78,BM$7&lt;=$F78),"■","")</x:f>
      </x:c>
      <x:c r="BN78" s="418" t="str">
        <x:f>IF(AND(BN$7&gt;=$E78,BN$7&lt;=$F78),"■","")</x:f>
      </x:c>
      <x:c r="BO78" s="418" t="str">
        <x:f>IF(AND(BO$7&gt;=$E78,BO$7&lt;=$F78),"■","")</x:f>
      </x:c>
      <x:c r="BP78" s="418" t="str">
        <x:f>IF(AND(BP$7&gt;=$E78,BP$7&lt;=$F78),"■","")</x:f>
      </x:c>
    </x:row>
    <x:row r="79" ht="38" customHeight="1">
      <x:c r="B79" s="406" t="str">
        <x:v>8.3</x:v>
      </x:c>
      <x:c r="C79" s="407" t="str">
        <x:v>대표 시나리오 발표 녹화·편집
[대기] 산출물: 시연영상 · 제출 09/03</x:v>
      </x:c>
      <x:c r="D79" s="407" t="str">
        <x:v>정승</x:v>
      </x:c>
      <x:c r="E79" s="408" t="n">
        <x:v>46265</x:v>
      </x:c>
      <x:c r="F79" s="408" t="n">
        <x:v>46267</x:v>
      </x:c>
      <x:c r="G79" s="409" t="n">
        <x:f>MAX(0,F79-E79)</x:f>
        <x:v>2</x:v>
      </x:c>
      <x:c r="H79" s="410" t="n">
        <x:v>0</x:v>
      </x:c>
      <x:c r="I79" s="412" t="str">
        <x:f>IF(AND(I$7&gt;=$E79,I$7&lt;=$F79),"■","")</x:f>
      </x:c>
      <x:c r="J79" s="412" t="str">
        <x:f>IF(AND(J$7&gt;=$E79,J$7&lt;=$F79),"■","")</x:f>
      </x:c>
      <x:c r="K79" s="412" t="str">
        <x:f>IF(AND(K$7&gt;=$E79,K$7&lt;=$F79),"■","")</x:f>
      </x:c>
      <x:c r="L79" s="412" t="str">
        <x:f>IF(AND(L$7&gt;=$E79,L$7&lt;=$F79),"■","")</x:f>
      </x:c>
      <x:c r="M79" s="412" t="str">
        <x:f>IF(AND(M$7&gt;=$E79,M$7&lt;=$F79),"■","")</x:f>
      </x:c>
      <x:c r="N79" s="412" t="str">
        <x:f>IF(AND(N$7&gt;=$E79,N$7&lt;=$F79),"■","")</x:f>
      </x:c>
      <x:c r="O79" s="412" t="str">
        <x:f>IF(AND(O$7&gt;=$E79,O$7&lt;=$F79),"■","")</x:f>
      </x:c>
      <x:c r="P79" s="412" t="str">
        <x:f>IF(AND(P$7&gt;=$E79,P$7&lt;=$F79),"■","")</x:f>
      </x:c>
      <x:c r="Q79" s="412" t="str">
        <x:f>IF(AND(Q$7&gt;=$E79,Q$7&lt;=$F79),"■","")</x:f>
      </x:c>
      <x:c r="R79" s="412" t="str">
        <x:f>IF(AND(R$7&gt;=$E79,R$7&lt;=$F79),"■","")</x:f>
      </x:c>
      <x:c r="S79" s="412" t="str">
        <x:f>IF(AND(S$7&gt;=$E79,S$7&lt;=$F79),"■","")</x:f>
      </x:c>
      <x:c r="T79" s="412" t="str">
        <x:f>IF(AND(T$7&gt;=$E79,T$7&lt;=$F79),"■","")</x:f>
      </x:c>
      <x:c r="U79" s="412" t="str">
        <x:f>IF(AND(U$7&gt;=$E79,U$7&lt;=$F79),"■","")</x:f>
      </x:c>
      <x:c r="V79" s="412" t="str">
        <x:f>IF(AND(V$7&gt;=$E79,V$7&lt;=$F79),"■","")</x:f>
      </x:c>
      <x:c r="W79" s="412" t="str">
        <x:f>IF(AND(W$7&gt;=$E79,W$7&lt;=$F79),"■","")</x:f>
      </x:c>
      <x:c r="X79" s="414" t="str">
        <x:f>IF(AND(X$7&gt;=$E79,X$7&lt;=$F79),"■","")</x:f>
      </x:c>
      <x:c r="Y79" s="414" t="str">
        <x:f>IF(AND(Y$7&gt;=$E79,Y$7&lt;=$F79),"■","")</x:f>
      </x:c>
      <x:c r="Z79" s="414" t="str">
        <x:f>IF(AND(Z$7&gt;=$E79,Z$7&lt;=$F79),"■","")</x:f>
      </x:c>
      <x:c r="AA79" s="414" t="str">
        <x:f>IF(AND(AA$7&gt;=$E79,AA$7&lt;=$F79),"■","")</x:f>
      </x:c>
      <x:c r="AB79" s="414" t="str">
        <x:f>IF(AND(AB$7&gt;=$E79,AB$7&lt;=$F79),"■","")</x:f>
      </x:c>
      <x:c r="AC79" s="414" t="str">
        <x:f>IF(AND(AC$7&gt;=$E79,AC$7&lt;=$F79),"■","")</x:f>
      </x:c>
      <x:c r="AD79" s="414" t="str">
        <x:f>IF(AND(AD$7&gt;=$E79,AD$7&lt;=$F79),"■","")</x:f>
      </x:c>
      <x:c r="AE79" s="414" t="str">
        <x:f>IF(AND(AE$7&gt;=$E79,AE$7&lt;=$F79),"■","")</x:f>
      </x:c>
      <x:c r="AF79" s="414" t="str">
        <x:f>IF(AND(AF$7&gt;=$E79,AF$7&lt;=$F79),"■","")</x:f>
      </x:c>
      <x:c r="AG79" s="414" t="str">
        <x:f>IF(AND(AG$7&gt;=$E79,AG$7&lt;=$F79),"■","")</x:f>
      </x:c>
      <x:c r="AH79" s="414" t="str">
        <x:f>IF(AND(AH$7&gt;=$E79,AH$7&lt;=$F79),"■","")</x:f>
      </x:c>
      <x:c r="AI79" s="414" t="str">
        <x:f>IF(AND(AI$7&gt;=$E79,AI$7&lt;=$F79),"■","")</x:f>
      </x:c>
      <x:c r="AJ79" s="414" t="str">
        <x:f>IF(AND(AJ$7&gt;=$E79,AJ$7&lt;=$F79),"■","")</x:f>
      </x:c>
      <x:c r="AK79" s="414" t="str">
        <x:f>IF(AND(AK$7&gt;=$E79,AK$7&lt;=$F79),"■","")</x:f>
      </x:c>
      <x:c r="AL79" s="414" t="str">
        <x:f>IF(AND(AL$7&gt;=$E79,AL$7&lt;=$F79),"■","")</x:f>
      </x:c>
      <x:c r="AM79" s="416" t="str">
        <x:f>IF(AND(AM$7&gt;=$E79,AM$7&lt;=$F79),"■","")</x:f>
      </x:c>
      <x:c r="AN79" s="416" t="str">
        <x:f>IF(AND(AN$7&gt;=$E79,AN$7&lt;=$F79),"■","")</x:f>
      </x:c>
      <x:c r="AO79" s="416" t="str">
        <x:f>IF(AND(AO$7&gt;=$E79,AO$7&lt;=$F79),"■","")</x:f>
      </x:c>
      <x:c r="AP79" s="416" t="str">
        <x:f>IF(AND(AP$7&gt;=$E79,AP$7&lt;=$F79),"■","")</x:f>
      </x:c>
      <x:c r="AQ79" s="416" t="str">
        <x:f>IF(AND(AQ$7&gt;=$E79,AQ$7&lt;=$F79),"■","")</x:f>
      </x:c>
      <x:c r="AR79" s="416" t="str">
        <x:f>IF(AND(AR$7&gt;=$E79,AR$7&lt;=$F79),"■","")</x:f>
      </x:c>
      <x:c r="AS79" s="416" t="str">
        <x:f>IF(AND(AS$7&gt;=$E79,AS$7&lt;=$F79),"■","")</x:f>
      </x:c>
      <x:c r="AT79" s="416" t="str">
        <x:f>IF(AND(AT$7&gt;=$E79,AT$7&lt;=$F79),"■","")</x:f>
      </x:c>
      <x:c r="AU79" s="416" t="str">
        <x:f>IF(AND(AU$7&gt;=$E79,AU$7&lt;=$F79),"■","")</x:f>
      </x:c>
      <x:c r="AV79" s="416" t="str">
        <x:f>IF(AND(AV$7&gt;=$E79,AV$7&lt;=$F79),"■","")</x:f>
      </x:c>
      <x:c r="AW79" s="416" t="str">
        <x:f>IF(AND(AW$7&gt;=$E79,AW$7&lt;=$F79),"■","")</x:f>
        <x:v>■</x:v>
      </x:c>
      <x:c r="AX79" s="416" t="str">
        <x:f>IF(AND(AX$7&gt;=$E79,AX$7&lt;=$F79),"■","")</x:f>
        <x:v>■</x:v>
      </x:c>
      <x:c r="AY79" s="416" t="str">
        <x:f>IF(AND(AY$7&gt;=$E79,AY$7&lt;=$F79),"■","")</x:f>
        <x:v>■</x:v>
      </x:c>
      <x:c r="AZ79" s="416" t="str">
        <x:f>IF(AND(AZ$7&gt;=$E79,AZ$7&lt;=$F79),"■","")</x:f>
      </x:c>
      <x:c r="BA79" s="416" t="str">
        <x:f>IF(AND(BA$7&gt;=$E79,BA$7&lt;=$F79),"■","")</x:f>
      </x:c>
      <x:c r="BB79" s="418" t="str">
        <x:f>IF(AND(BB$7&gt;=$E79,BB$7&lt;=$F79),"■","")</x:f>
      </x:c>
      <x:c r="BC79" s="418" t="str">
        <x:f>IF(AND(BC$7&gt;=$E79,BC$7&lt;=$F79),"■","")</x:f>
      </x:c>
      <x:c r="BD79" s="418" t="str">
        <x:f>IF(AND(BD$7&gt;=$E79,BD$7&lt;=$F79),"■","")</x:f>
      </x:c>
      <x:c r="BE79" s="418" t="str">
        <x:f>IF(AND(BE$7&gt;=$E79,BE$7&lt;=$F79),"■","")</x:f>
      </x:c>
      <x:c r="BF79" s="418" t="str">
        <x:f>IF(AND(BF$7&gt;=$E79,BF$7&lt;=$F79),"■","")</x:f>
      </x:c>
      <x:c r="BG79" s="418" t="str">
        <x:f>IF(AND(BG$7&gt;=$E79,BG$7&lt;=$F79),"■","")</x:f>
      </x:c>
      <x:c r="BH79" s="418" t="str">
        <x:f>IF(AND(BH$7&gt;=$E79,BH$7&lt;=$F79),"■","")</x:f>
      </x:c>
      <x:c r="BI79" s="418" t="str">
        <x:f>IF(AND(BI$7&gt;=$E79,BI$7&lt;=$F79),"■","")</x:f>
      </x:c>
      <x:c r="BJ79" s="418" t="str">
        <x:f>IF(AND(BJ$7&gt;=$E79,BJ$7&lt;=$F79),"■","")</x:f>
      </x:c>
      <x:c r="BK79" s="418" t="str">
        <x:f>IF(AND(BK$7&gt;=$E79,BK$7&lt;=$F79),"■","")</x:f>
      </x:c>
      <x:c r="BL79" s="418" t="str">
        <x:f>IF(AND(BL$7&gt;=$E79,BL$7&lt;=$F79),"■","")</x:f>
      </x:c>
      <x:c r="BM79" s="418" t="str">
        <x:f>IF(AND(BM$7&gt;=$E79,BM$7&lt;=$F79),"■","")</x:f>
      </x:c>
      <x:c r="BN79" s="418" t="str">
        <x:f>IF(AND(BN$7&gt;=$E79,BN$7&lt;=$F79),"■","")</x:f>
      </x:c>
      <x:c r="BO79" s="418" t="str">
        <x:f>IF(AND(BO$7&gt;=$E79,BO$7&lt;=$F79),"■","")</x:f>
      </x:c>
      <x:c r="BP79" s="418" t="str">
        <x:f>IF(AND(BP$7&gt;=$E79,BP$7&lt;=$F79),"■","")</x:f>
      </x:c>
    </x:row>
    <x:row r="80" ht="38" customHeight="1">
      <x:c r="B80" s="406" t="str">
        <x:v>8.4</x:v>
      </x:c>
      <x:c r="C80" s="407" t="str">
        <x:v>Golden Path 연속 5회·기술 시연 점검
[대기] 산출물: 최종 안정화 evidence</x:v>
      </x:c>
      <x:c r="D80" s="407" t="str">
        <x:v>전원</x:v>
      </x:c>
      <x:c r="E80" s="408" t="n">
        <x:v>46265</x:v>
      </x:c>
      <x:c r="F80" s="408" t="n">
        <x:v>46267</x:v>
      </x:c>
      <x:c r="G80" s="409" t="n">
        <x:f>MAX(0,F80-E80)</x:f>
        <x:v>2</x:v>
      </x:c>
      <x:c r="H80" s="410" t="n">
        <x:v>0</x:v>
      </x:c>
      <x:c r="I80" s="412" t="str">
        <x:f>IF(AND(I$7&gt;=$E80,I$7&lt;=$F80),"■","")</x:f>
      </x:c>
      <x:c r="J80" s="412" t="str">
        <x:f>IF(AND(J$7&gt;=$E80,J$7&lt;=$F80),"■","")</x:f>
      </x:c>
      <x:c r="K80" s="412" t="str">
        <x:f>IF(AND(K$7&gt;=$E80,K$7&lt;=$F80),"■","")</x:f>
      </x:c>
      <x:c r="L80" s="412" t="str">
        <x:f>IF(AND(L$7&gt;=$E80,L$7&lt;=$F80),"■","")</x:f>
      </x:c>
      <x:c r="M80" s="412" t="str">
        <x:f>IF(AND(M$7&gt;=$E80,M$7&lt;=$F80),"■","")</x:f>
      </x:c>
      <x:c r="N80" s="412" t="str">
        <x:f>IF(AND(N$7&gt;=$E80,N$7&lt;=$F80),"■","")</x:f>
      </x:c>
      <x:c r="O80" s="412" t="str">
        <x:f>IF(AND(O$7&gt;=$E80,O$7&lt;=$F80),"■","")</x:f>
      </x:c>
      <x:c r="P80" s="412" t="str">
        <x:f>IF(AND(P$7&gt;=$E80,P$7&lt;=$F80),"■","")</x:f>
      </x:c>
      <x:c r="Q80" s="412" t="str">
        <x:f>IF(AND(Q$7&gt;=$E80,Q$7&lt;=$F80),"■","")</x:f>
      </x:c>
      <x:c r="R80" s="412" t="str">
        <x:f>IF(AND(R$7&gt;=$E80,R$7&lt;=$F80),"■","")</x:f>
      </x:c>
      <x:c r="S80" s="412" t="str">
        <x:f>IF(AND(S$7&gt;=$E80,S$7&lt;=$F80),"■","")</x:f>
      </x:c>
      <x:c r="T80" s="412" t="str">
        <x:f>IF(AND(T$7&gt;=$E80,T$7&lt;=$F80),"■","")</x:f>
      </x:c>
      <x:c r="U80" s="412" t="str">
        <x:f>IF(AND(U$7&gt;=$E80,U$7&lt;=$F80),"■","")</x:f>
      </x:c>
      <x:c r="V80" s="412" t="str">
        <x:f>IF(AND(V$7&gt;=$E80,V$7&lt;=$F80),"■","")</x:f>
      </x:c>
      <x:c r="W80" s="412" t="str">
        <x:f>IF(AND(W$7&gt;=$E80,W$7&lt;=$F80),"■","")</x:f>
      </x:c>
      <x:c r="X80" s="414" t="str">
        <x:f>IF(AND(X$7&gt;=$E80,X$7&lt;=$F80),"■","")</x:f>
      </x:c>
      <x:c r="Y80" s="414" t="str">
        <x:f>IF(AND(Y$7&gt;=$E80,Y$7&lt;=$F80),"■","")</x:f>
      </x:c>
      <x:c r="Z80" s="414" t="str">
        <x:f>IF(AND(Z$7&gt;=$E80,Z$7&lt;=$F80),"■","")</x:f>
      </x:c>
      <x:c r="AA80" s="414" t="str">
        <x:f>IF(AND(AA$7&gt;=$E80,AA$7&lt;=$F80),"■","")</x:f>
      </x:c>
      <x:c r="AB80" s="414" t="str">
        <x:f>IF(AND(AB$7&gt;=$E80,AB$7&lt;=$F80),"■","")</x:f>
      </x:c>
      <x:c r="AC80" s="414" t="str">
        <x:f>IF(AND(AC$7&gt;=$E80,AC$7&lt;=$F80),"■","")</x:f>
      </x:c>
      <x:c r="AD80" s="414" t="str">
        <x:f>IF(AND(AD$7&gt;=$E80,AD$7&lt;=$F80),"■","")</x:f>
      </x:c>
      <x:c r="AE80" s="414" t="str">
        <x:f>IF(AND(AE$7&gt;=$E80,AE$7&lt;=$F80),"■","")</x:f>
      </x:c>
      <x:c r="AF80" s="414" t="str">
        <x:f>IF(AND(AF$7&gt;=$E80,AF$7&lt;=$F80),"■","")</x:f>
      </x:c>
      <x:c r="AG80" s="414" t="str">
        <x:f>IF(AND(AG$7&gt;=$E80,AG$7&lt;=$F80),"■","")</x:f>
      </x:c>
      <x:c r="AH80" s="414" t="str">
        <x:f>IF(AND(AH$7&gt;=$E80,AH$7&lt;=$F80),"■","")</x:f>
      </x:c>
      <x:c r="AI80" s="414" t="str">
        <x:f>IF(AND(AI$7&gt;=$E80,AI$7&lt;=$F80),"■","")</x:f>
      </x:c>
      <x:c r="AJ80" s="414" t="str">
        <x:f>IF(AND(AJ$7&gt;=$E80,AJ$7&lt;=$F80),"■","")</x:f>
      </x:c>
      <x:c r="AK80" s="414" t="str">
        <x:f>IF(AND(AK$7&gt;=$E80,AK$7&lt;=$F80),"■","")</x:f>
      </x:c>
      <x:c r="AL80" s="414" t="str">
        <x:f>IF(AND(AL$7&gt;=$E80,AL$7&lt;=$F80),"■","")</x:f>
      </x:c>
      <x:c r="AM80" s="416" t="str">
        <x:f>IF(AND(AM$7&gt;=$E80,AM$7&lt;=$F80),"■","")</x:f>
      </x:c>
      <x:c r="AN80" s="416" t="str">
        <x:f>IF(AND(AN$7&gt;=$E80,AN$7&lt;=$F80),"■","")</x:f>
      </x:c>
      <x:c r="AO80" s="416" t="str">
        <x:f>IF(AND(AO$7&gt;=$E80,AO$7&lt;=$F80),"■","")</x:f>
      </x:c>
      <x:c r="AP80" s="416" t="str">
        <x:f>IF(AND(AP$7&gt;=$E80,AP$7&lt;=$F80),"■","")</x:f>
      </x:c>
      <x:c r="AQ80" s="416" t="str">
        <x:f>IF(AND(AQ$7&gt;=$E80,AQ$7&lt;=$F80),"■","")</x:f>
      </x:c>
      <x:c r="AR80" s="416" t="str">
        <x:f>IF(AND(AR$7&gt;=$E80,AR$7&lt;=$F80),"■","")</x:f>
      </x:c>
      <x:c r="AS80" s="416" t="str">
        <x:f>IF(AND(AS$7&gt;=$E80,AS$7&lt;=$F80),"■","")</x:f>
      </x:c>
      <x:c r="AT80" s="416" t="str">
        <x:f>IF(AND(AT$7&gt;=$E80,AT$7&lt;=$F80),"■","")</x:f>
      </x:c>
      <x:c r="AU80" s="416" t="str">
        <x:f>IF(AND(AU$7&gt;=$E80,AU$7&lt;=$F80),"■","")</x:f>
      </x:c>
      <x:c r="AV80" s="416" t="str">
        <x:f>IF(AND(AV$7&gt;=$E80,AV$7&lt;=$F80),"■","")</x:f>
      </x:c>
      <x:c r="AW80" s="416" t="str">
        <x:f>IF(AND(AW$7&gt;=$E80,AW$7&lt;=$F80),"■","")</x:f>
        <x:v>■</x:v>
      </x:c>
      <x:c r="AX80" s="416" t="str">
        <x:f>IF(AND(AX$7&gt;=$E80,AX$7&lt;=$F80),"■","")</x:f>
        <x:v>■</x:v>
      </x:c>
      <x:c r="AY80" s="416" t="str">
        <x:f>IF(AND(AY$7&gt;=$E80,AY$7&lt;=$F80),"■","")</x:f>
        <x:v>■</x:v>
      </x:c>
      <x:c r="AZ80" s="416" t="str">
        <x:f>IF(AND(AZ$7&gt;=$E80,AZ$7&lt;=$F80),"■","")</x:f>
      </x:c>
      <x:c r="BA80" s="416" t="str">
        <x:f>IF(AND(BA$7&gt;=$E80,BA$7&lt;=$F80),"■","")</x:f>
      </x:c>
      <x:c r="BB80" s="418" t="str">
        <x:f>IF(AND(BB$7&gt;=$E80,BB$7&lt;=$F80),"■","")</x:f>
      </x:c>
      <x:c r="BC80" s="418" t="str">
        <x:f>IF(AND(BC$7&gt;=$E80,BC$7&lt;=$F80),"■","")</x:f>
      </x:c>
      <x:c r="BD80" s="418" t="str">
        <x:f>IF(AND(BD$7&gt;=$E80,BD$7&lt;=$F80),"■","")</x:f>
      </x:c>
      <x:c r="BE80" s="418" t="str">
        <x:f>IF(AND(BE$7&gt;=$E80,BE$7&lt;=$F80),"■","")</x:f>
      </x:c>
      <x:c r="BF80" s="418" t="str">
        <x:f>IF(AND(BF$7&gt;=$E80,BF$7&lt;=$F80),"■","")</x:f>
      </x:c>
      <x:c r="BG80" s="418" t="str">
        <x:f>IF(AND(BG$7&gt;=$E80,BG$7&lt;=$F80),"■","")</x:f>
      </x:c>
      <x:c r="BH80" s="418" t="str">
        <x:f>IF(AND(BH$7&gt;=$E80,BH$7&lt;=$F80),"■","")</x:f>
      </x:c>
      <x:c r="BI80" s="418" t="str">
        <x:f>IF(AND(BI$7&gt;=$E80,BI$7&lt;=$F80),"■","")</x:f>
      </x:c>
      <x:c r="BJ80" s="418" t="str">
        <x:f>IF(AND(BJ$7&gt;=$E80,BJ$7&lt;=$F80),"■","")</x:f>
      </x:c>
      <x:c r="BK80" s="418" t="str">
        <x:f>IF(AND(BK$7&gt;=$E80,BK$7&lt;=$F80),"■","")</x:f>
      </x:c>
      <x:c r="BL80" s="418" t="str">
        <x:f>IF(AND(BL$7&gt;=$E80,BL$7&lt;=$F80),"■","")</x:f>
      </x:c>
      <x:c r="BM80" s="418" t="str">
        <x:f>IF(AND(BM$7&gt;=$E80,BM$7&lt;=$F80),"■","")</x:f>
      </x:c>
      <x:c r="BN80" s="418" t="str">
        <x:f>IF(AND(BN$7&gt;=$E80,BN$7&lt;=$F80),"■","")</x:f>
      </x:c>
      <x:c r="BO80" s="418" t="str">
        <x:f>IF(AND(BO$7&gt;=$E80,BO$7&lt;=$F80),"■","")</x:f>
      </x:c>
      <x:c r="BP80" s="418" t="str">
        <x:f>IF(AND(BP$7&gt;=$E80,BP$7&lt;=$F80),"■","")</x:f>
      </x:c>
    </x:row>
    <x:row r="81" ht="38" customHeight="1">
      <x:c r="B81" s="406" t="str">
        <x:v>8.5</x:v>
      </x:c>
      <x:c r="C81" s="407" t="str">
        <x:v>최종 발표·발표자료 제출
[대기] 산출물: 최종 발표</x:v>
      </x:c>
      <x:c r="D81" s="407" t="str">
        <x:v>정승</x:v>
      </x:c>
      <x:c r="E81" s="408" t="n">
        <x:v>46268</x:v>
      </x:c>
      <x:c r="F81" s="408" t="n">
        <x:v>46268</x:v>
      </x:c>
      <x:c r="G81" s="409" t="n">
        <x:f>MAX(0,F81-E81)</x:f>
        <x:v>0</x:v>
      </x:c>
      <x:c r="H81" s="410" t="n">
        <x:v>0</x:v>
      </x:c>
      <x:c r="I81" s="412" t="str">
        <x:f>IF(AND(I$7&gt;=$E81,I$7&lt;=$F81),"■","")</x:f>
      </x:c>
      <x:c r="J81" s="412" t="str">
        <x:f>IF(AND(J$7&gt;=$E81,J$7&lt;=$F81),"■","")</x:f>
      </x:c>
      <x:c r="K81" s="412" t="str">
        <x:f>IF(AND(K$7&gt;=$E81,K$7&lt;=$F81),"■","")</x:f>
      </x:c>
      <x:c r="L81" s="412" t="str">
        <x:f>IF(AND(L$7&gt;=$E81,L$7&lt;=$F81),"■","")</x:f>
      </x:c>
      <x:c r="M81" s="412" t="str">
        <x:f>IF(AND(M$7&gt;=$E81,M$7&lt;=$F81),"■","")</x:f>
      </x:c>
      <x:c r="N81" s="412" t="str">
        <x:f>IF(AND(N$7&gt;=$E81,N$7&lt;=$F81),"■","")</x:f>
      </x:c>
      <x:c r="O81" s="412" t="str">
        <x:f>IF(AND(O$7&gt;=$E81,O$7&lt;=$F81),"■","")</x:f>
      </x:c>
      <x:c r="P81" s="412" t="str">
        <x:f>IF(AND(P$7&gt;=$E81,P$7&lt;=$F81),"■","")</x:f>
      </x:c>
      <x:c r="Q81" s="412" t="str">
        <x:f>IF(AND(Q$7&gt;=$E81,Q$7&lt;=$F81),"■","")</x:f>
      </x:c>
      <x:c r="R81" s="412" t="str">
        <x:f>IF(AND(R$7&gt;=$E81,R$7&lt;=$F81),"■","")</x:f>
      </x:c>
      <x:c r="S81" s="412" t="str">
        <x:f>IF(AND(S$7&gt;=$E81,S$7&lt;=$F81),"■","")</x:f>
      </x:c>
      <x:c r="T81" s="412" t="str">
        <x:f>IF(AND(T$7&gt;=$E81,T$7&lt;=$F81),"■","")</x:f>
      </x:c>
      <x:c r="U81" s="412" t="str">
        <x:f>IF(AND(U$7&gt;=$E81,U$7&lt;=$F81),"■","")</x:f>
      </x:c>
      <x:c r="V81" s="412" t="str">
        <x:f>IF(AND(V$7&gt;=$E81,V$7&lt;=$F81),"■","")</x:f>
      </x:c>
      <x:c r="W81" s="412" t="str">
        <x:f>IF(AND(W$7&gt;=$E81,W$7&lt;=$F81),"■","")</x:f>
      </x:c>
      <x:c r="X81" s="414" t="str">
        <x:f>IF(AND(X$7&gt;=$E81,X$7&lt;=$F81),"■","")</x:f>
      </x:c>
      <x:c r="Y81" s="414" t="str">
        <x:f>IF(AND(Y$7&gt;=$E81,Y$7&lt;=$F81),"■","")</x:f>
      </x:c>
      <x:c r="Z81" s="414" t="str">
        <x:f>IF(AND(Z$7&gt;=$E81,Z$7&lt;=$F81),"■","")</x:f>
      </x:c>
      <x:c r="AA81" s="414" t="str">
        <x:f>IF(AND(AA$7&gt;=$E81,AA$7&lt;=$F81),"■","")</x:f>
      </x:c>
      <x:c r="AB81" s="414" t="str">
        <x:f>IF(AND(AB$7&gt;=$E81,AB$7&lt;=$F81),"■","")</x:f>
      </x:c>
      <x:c r="AC81" s="414" t="str">
        <x:f>IF(AND(AC$7&gt;=$E81,AC$7&lt;=$F81),"■","")</x:f>
      </x:c>
      <x:c r="AD81" s="414" t="str">
        <x:f>IF(AND(AD$7&gt;=$E81,AD$7&lt;=$F81),"■","")</x:f>
      </x:c>
      <x:c r="AE81" s="414" t="str">
        <x:f>IF(AND(AE$7&gt;=$E81,AE$7&lt;=$F81),"■","")</x:f>
      </x:c>
      <x:c r="AF81" s="414" t="str">
        <x:f>IF(AND(AF$7&gt;=$E81,AF$7&lt;=$F81),"■","")</x:f>
      </x:c>
      <x:c r="AG81" s="414" t="str">
        <x:f>IF(AND(AG$7&gt;=$E81,AG$7&lt;=$F81),"■","")</x:f>
      </x:c>
      <x:c r="AH81" s="414" t="str">
        <x:f>IF(AND(AH$7&gt;=$E81,AH$7&lt;=$F81),"■","")</x:f>
      </x:c>
      <x:c r="AI81" s="414" t="str">
        <x:f>IF(AND(AI$7&gt;=$E81,AI$7&lt;=$F81),"■","")</x:f>
      </x:c>
      <x:c r="AJ81" s="414" t="str">
        <x:f>IF(AND(AJ$7&gt;=$E81,AJ$7&lt;=$F81),"■","")</x:f>
      </x:c>
      <x:c r="AK81" s="414" t="str">
        <x:f>IF(AND(AK$7&gt;=$E81,AK$7&lt;=$F81),"■","")</x:f>
      </x:c>
      <x:c r="AL81" s="414" t="str">
        <x:f>IF(AND(AL$7&gt;=$E81,AL$7&lt;=$F81),"■","")</x:f>
      </x:c>
      <x:c r="AM81" s="416" t="str">
        <x:f>IF(AND(AM$7&gt;=$E81,AM$7&lt;=$F81),"■","")</x:f>
      </x:c>
      <x:c r="AN81" s="416" t="str">
        <x:f>IF(AND(AN$7&gt;=$E81,AN$7&lt;=$F81),"■","")</x:f>
      </x:c>
      <x:c r="AO81" s="416" t="str">
        <x:f>IF(AND(AO$7&gt;=$E81,AO$7&lt;=$F81),"■","")</x:f>
      </x:c>
      <x:c r="AP81" s="416" t="str">
        <x:f>IF(AND(AP$7&gt;=$E81,AP$7&lt;=$F81),"■","")</x:f>
      </x:c>
      <x:c r="AQ81" s="416" t="str">
        <x:f>IF(AND(AQ$7&gt;=$E81,AQ$7&lt;=$F81),"■","")</x:f>
      </x:c>
      <x:c r="AR81" s="416" t="str">
        <x:f>IF(AND(AR$7&gt;=$E81,AR$7&lt;=$F81),"■","")</x:f>
      </x:c>
      <x:c r="AS81" s="416" t="str">
        <x:f>IF(AND(AS$7&gt;=$E81,AS$7&lt;=$F81),"■","")</x:f>
      </x:c>
      <x:c r="AT81" s="416" t="str">
        <x:f>IF(AND(AT$7&gt;=$E81,AT$7&lt;=$F81),"■","")</x:f>
      </x:c>
      <x:c r="AU81" s="416" t="str">
        <x:f>IF(AND(AU$7&gt;=$E81,AU$7&lt;=$F81),"■","")</x:f>
      </x:c>
      <x:c r="AV81" s="416" t="str">
        <x:f>IF(AND(AV$7&gt;=$E81,AV$7&lt;=$F81),"■","")</x:f>
      </x:c>
      <x:c r="AW81" s="416" t="str">
        <x:f>IF(AND(AW$7&gt;=$E81,AW$7&lt;=$F81),"■","")</x:f>
      </x:c>
      <x:c r="AX81" s="416" t="str">
        <x:f>IF(AND(AX$7&gt;=$E81,AX$7&lt;=$F81),"■","")</x:f>
      </x:c>
      <x:c r="AY81" s="416" t="str">
        <x:f>IF(AND(AY$7&gt;=$E81,AY$7&lt;=$F81),"■","")</x:f>
      </x:c>
      <x:c r="AZ81" s="416" t="str">
        <x:f>IF(AND(AZ$7&gt;=$E81,AZ$7&lt;=$F81),"■","")</x:f>
        <x:v>■</x:v>
      </x:c>
      <x:c r="BA81" s="416" t="str">
        <x:f>IF(AND(BA$7&gt;=$E81,BA$7&lt;=$F81),"■","")</x:f>
      </x:c>
      <x:c r="BB81" s="418" t="str">
        <x:f>IF(AND(BB$7&gt;=$E81,BB$7&lt;=$F81),"■","")</x:f>
      </x:c>
      <x:c r="BC81" s="418" t="str">
        <x:f>IF(AND(BC$7&gt;=$E81,BC$7&lt;=$F81),"■","")</x:f>
      </x:c>
      <x:c r="BD81" s="418" t="str">
        <x:f>IF(AND(BD$7&gt;=$E81,BD$7&lt;=$F81),"■","")</x:f>
      </x:c>
      <x:c r="BE81" s="418" t="str">
        <x:f>IF(AND(BE$7&gt;=$E81,BE$7&lt;=$F81),"■","")</x:f>
      </x:c>
      <x:c r="BF81" s="418" t="str">
        <x:f>IF(AND(BF$7&gt;=$E81,BF$7&lt;=$F81),"■","")</x:f>
      </x:c>
      <x:c r="BG81" s="418" t="str">
        <x:f>IF(AND(BG$7&gt;=$E81,BG$7&lt;=$F81),"■","")</x:f>
      </x:c>
      <x:c r="BH81" s="418" t="str">
        <x:f>IF(AND(BH$7&gt;=$E81,BH$7&lt;=$F81),"■","")</x:f>
      </x:c>
      <x:c r="BI81" s="418" t="str">
        <x:f>IF(AND(BI$7&gt;=$E81,BI$7&lt;=$F81),"■","")</x:f>
      </x:c>
      <x:c r="BJ81" s="418" t="str">
        <x:f>IF(AND(BJ$7&gt;=$E81,BJ$7&lt;=$F81),"■","")</x:f>
      </x:c>
      <x:c r="BK81" s="418" t="str">
        <x:f>IF(AND(BK$7&gt;=$E81,BK$7&lt;=$F81),"■","")</x:f>
      </x:c>
      <x:c r="BL81" s="418" t="str">
        <x:f>IF(AND(BL$7&gt;=$E81,BL$7&lt;=$F81),"■","")</x:f>
      </x:c>
      <x:c r="BM81" s="418" t="str">
        <x:f>IF(AND(BM$7&gt;=$E81,BM$7&lt;=$F81),"■","")</x:f>
      </x:c>
      <x:c r="BN81" s="418" t="str">
        <x:f>IF(AND(BN$7&gt;=$E81,BN$7&lt;=$F81),"■","")</x:f>
      </x:c>
      <x:c r="BO81" s="418" t="str">
        <x:f>IF(AND(BO$7&gt;=$E81,BO$7&lt;=$F81),"■","")</x:f>
      </x:c>
      <x:c r="BP81" s="418" t="str">
        <x:f>IF(AND(BP$7&gt;=$E81,BP$7&lt;=$F81),"■","")</x:f>
      </x:c>
    </x:row>
  </x:sheetData>
  <x:mergeCells>
    <x:mergeCell ref="B2:G2"/>
    <x:mergeCell ref="I2:N2"/>
    <x:mergeCell ref="O2:AG2"/>
    <x:mergeCell ref="B4:C4"/>
    <x:mergeCell ref="D4:G4"/>
    <x:mergeCell ref="I4:O4"/>
    <x:mergeCell ref="P4:AB4"/>
    <x:mergeCell ref="E8:E10"/>
    <x:mergeCell ref="F8:F10"/>
    <x:mergeCell ref="G8:G10"/>
    <x:mergeCell ref="H8:H10"/>
    <x:mergeCell ref="I8:W8"/>
    <x:mergeCell ref="X8:AL8"/>
    <x:mergeCell ref="AM8:BA8"/>
    <x:mergeCell ref="BB8:BP8"/>
    <x:mergeCell ref="I9:M9"/>
    <x:mergeCell ref="N9:R9"/>
    <x:mergeCell ref="B5:C5"/>
    <x:mergeCell ref="D5:G5"/>
    <x:mergeCell ref="I5:O5"/>
    <x:mergeCell ref="P5:AA5"/>
    <x:mergeCell ref="B8:B10"/>
    <x:mergeCell ref="C8:C10"/>
    <x:mergeCell ref="D8:D10"/>
    <x:mergeCell ref="BB9:BF9"/>
    <x:mergeCell ref="BG9:BK9"/>
    <x:mergeCell ref="BL9:BP9"/>
    <x:mergeCell ref="S9:W9"/>
    <x:mergeCell ref="X9:AB9"/>
    <x:mergeCell ref="AC9:AG9"/>
    <x:mergeCell ref="AH9:AL9"/>
    <x:mergeCell ref="AM9:AQ9"/>
    <x:mergeCell ref="AR9:AV9"/>
    <x:mergeCell ref="AW9:BA9"/>
  </x:mergeCells>
  <x:conditionalFormatting sqref="H12:H18 H20:H35">
    <x:cfRule type="colorScale" priority="1">
      <x:colorScale>
        <x:cfvo type="min"/>
        <x:cfvo type="max"/>
        <x:color rgb="FFFFFFFF"/>
        <x:color rgb="FF57BB8A"/>
      </x:colorScale>
    </x:cfRule>
  </x:conditionalFormatting>
  <x:conditionalFormatting sqref="H12:H18 H20:H35">
    <x:cfRule type="colorScale" priority="2">
      <x:colorScale>
        <x:cfvo type="min"/>
        <x:cfvo type="max"/>
        <x:color rgb="FF57BB8A"/>
        <x:color rgb="FFFFFFFF"/>
      </x:colorScale>
    </x:cfRule>
  </x:conditionalFormatting>
  <x:conditionalFormatting sqref="I12:BP18">
    <x:cfRule type="expression" dxfId="0" priority="3">
      <x:formula>I12="■"</x:formula>
    </x:cfRule>
    <x:cfRule type="expression" dxfId="8" priority="12">
      <x:formula>I12="■"</x:formula>
    </x:cfRule>
  </x:conditionalFormatting>
  <x:conditionalFormatting sqref="I20:BP29">
    <x:cfRule type="expression" dxfId="1" priority="4">
      <x:formula>I20="■"</x:formula>
    </x:cfRule>
    <x:cfRule type="expression" dxfId="9" priority="13">
      <x:formula>I20="■"</x:formula>
    </x:cfRule>
  </x:conditionalFormatting>
  <x:conditionalFormatting sqref="I31:BP37">
    <x:cfRule type="expression" dxfId="2" priority="5">
      <x:formula>I31="■"</x:formula>
    </x:cfRule>
    <x:cfRule type="expression" dxfId="10" priority="14">
      <x:formula>I31="■"</x:formula>
    </x:cfRule>
  </x:conditionalFormatting>
  <x:conditionalFormatting sqref="I39:BP42">
    <x:cfRule type="expression" dxfId="3" priority="6">
      <x:formula>I39="■"</x:formula>
    </x:cfRule>
    <x:cfRule type="expression" dxfId="11" priority="15">
      <x:formula>I39="■"</x:formula>
    </x:cfRule>
  </x:conditionalFormatting>
  <x:conditionalFormatting sqref="I44:BP52">
    <x:cfRule type="expression" dxfId="4" priority="7">
      <x:formula>I44="■"</x:formula>
    </x:cfRule>
    <x:cfRule type="expression" dxfId="12" priority="16">
      <x:formula>I44="■"</x:formula>
    </x:cfRule>
  </x:conditionalFormatting>
  <x:conditionalFormatting sqref="I54:BP66">
    <x:cfRule type="expression" dxfId="5" priority="8">
      <x:formula>I54="■"</x:formula>
    </x:cfRule>
    <x:cfRule type="expression" dxfId="13" priority="17">
      <x:formula>I54="■"</x:formula>
    </x:cfRule>
  </x:conditionalFormatting>
  <x:conditionalFormatting sqref="I68:BP75">
    <x:cfRule type="expression" dxfId="6" priority="9">
      <x:formula>I68="■"</x:formula>
    </x:cfRule>
    <x:cfRule type="expression" dxfId="14" priority="18">
      <x:formula>I68="■"</x:formula>
    </x:cfRule>
  </x:conditionalFormatting>
  <x:conditionalFormatting sqref="I77:BP81">
    <x:cfRule type="expression" dxfId="7" priority="10">
      <x:formula>I77="■"</x:formula>
    </x:cfRule>
    <x:cfRule type="expression" dxfId="15" priority="19">
      <x:formula>I77="■"</x:formula>
    </x:cfRule>
  </x:conditionalFormatting>
  <x:conditionalFormatting sqref="H11:H81">
    <x:cfRule type="dataBar" priority="20">
      <x:dataBar>
        <x:cfvo type="min"/>
        <x:cfvo type="max"/>
        <x:color rgb="FF63BE7B"/>
      </x:dataBar>
      <x:extLst>
        <x:ext xmlns:x14="http://schemas.microsoft.com/office/spreadsheetml/2009/9/main" uri="{B025F937-C7B1-47D3-B67F-A62EFF666E3E}">
          <x14:id>{327232A1-E149-1380-2C25-978DF7303C71}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0" id="{327232A1-E149-1380-2C25-978DF7303C71}">
            <x14:dataBar gradient="1">
              <x14:cfvo type="min"/>
              <x14:cfvo type="max"/>
              <x14:fillColor rgb="FF63BE7B"/>
            </x14:dataBar>
          </x14:cfRule>
          <xm:sqref>H11:H81</xm:sqref>
        </x14:conditionalFormatting>
      </x14:conditionalFormattings>
    </x:ext>
  </x:extLst>
</x:worksheet>
</file>