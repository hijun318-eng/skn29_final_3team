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216860b8b749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BS" sheetId="1" r:id="R0383dafcfc4f45c2"/>
    <x:sheet xmlns:r="http://schemas.openxmlformats.org/officeDocument/2006/relationships" name="산출물 일정" sheetId="2" r:id="R4e47dfac59da463a"/>
    <x:sheet xmlns:r="http://schemas.openxmlformats.org/officeDocument/2006/relationships" name="선택목록" sheetId="3" r:id="R933f0017fae747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/d"/>
    <x:numFmt numFmtId="201" formatCode="0%"/>
  </x:numFmts>
  <x:fonts count="12">
    <x:font>
      <x:sz val="11"/>
      <x:name val="Carlito"/>
    </x:font>
    <x:font>
      <x:sz val="9"/>
      <x:color rgb="FF202124"/>
      <x:name val="맑은 고딕"/>
    </x:font>
    <x:font>
      <x:b/>
      <x:sz val="22"/>
      <x:color rgb="FF111111"/>
      <x:name val="맑은 고딕"/>
    </x:font>
    <x:font>
      <x:b/>
      <x:sz val="11"/>
      <x:color rgb="FF333333"/>
      <x:name val="맑은 고딕"/>
    </x:font>
    <x:font>
      <x:sz val="8"/>
      <x:color rgb="FF6A3D78"/>
      <x:name val="맑은 고딕"/>
    </x:font>
    <x:font>
      <x:b/>
      <x:sz val="9"/>
      <x:color rgb="FF111111"/>
      <x:name val="맑은 고딕"/>
    </x:font>
    <x:font>
      <x:b/>
      <x:sz val="8"/>
      <x:color rgb="FF111111"/>
      <x:name val="맑은 고딕"/>
    </x:font>
    <x:font>
      <x:sz val="8"/>
      <x:color rgb="FFFFFFFF"/>
      <x:name val="맑은 고딕"/>
    </x:font>
    <x:font>
      <x:b/>
      <x:sz val="18"/>
      <x:name val="맑은 고딕"/>
    </x:font>
    <x:font>
      <x:sz val="9"/>
      <x:color rgb="FF6A3D78"/>
      <x:name val="맑은 고딕"/>
    </x:font>
    <x:font>
      <x:b/>
      <x:sz val="10"/>
      <x:name val="맑은 고딕"/>
    </x:font>
    <x:font>
      <x:sz val="9"/>
      <x:name val="맑은 고딕"/>
    </x:font>
  </x:fonts>
  <x:fills count="6">
    <x:fill>
      <x:patternFill patternType="none"/>
    </x:fill>
    <x:fill>
      <x:patternFill patternType="gray125"/>
    </x:fill>
    <x:fill>
      <x:patternFill patternType="solid">
        <x:fgColor rgb="FFEBCACA"/>
      </x:patternFill>
    </x:fill>
    <x:fill>
      <x:patternFill patternType="solid">
        <x:fgColor rgb="FFFFFFFF"/>
      </x:patternFill>
    </x:fill>
    <x:fill>
      <x:patternFill patternType="solid">
        <x:fgColor rgb="FFF4EFF8"/>
      </x:patternFill>
    </x:fill>
    <x:fill>
      <x:patternFill patternType="solid">
        <x:fgColor rgb="FFFFF2CC"/>
      </x:patternFill>
    </x:fill>
  </x:fills>
  <x:borders count="7">
    <x:border/>
    <x:border>
      <x:left style="medium">
        <x:color rgb="FFD5A1A1"/>
      </x:left>
      <x:top style="medium">
        <x:color rgb="FFD5A1A1"/>
      </x:top>
      <x:bottom style="medium">
        <x:color rgb="FFD5A1A1"/>
      </x:bottom>
    </x:border>
    <x:border>
      <x:top style="medium">
        <x:color rgb="FFD5A1A1"/>
      </x:top>
      <x:bottom style="medium">
        <x:color rgb="FFD5A1A1"/>
      </x:bottom>
    </x:border>
    <x:border>
      <x:right style="medium">
        <x:color rgb="FFD5A1A1"/>
      </x:right>
      <x:top style="medium">
        <x:color rgb="FFD5A1A1"/>
      </x:top>
      <x:bottom style="medium">
        <x:color rgb="FFD5A1A1"/>
      </x:bottom>
    </x:border>
    <x:border>
      <x:left style="thin">
        <x:color rgb="FFB7A77B"/>
      </x:left>
      <x:right style="thin">
        <x:color rgb="FFB7A77B"/>
      </x:right>
      <x:top style="thin">
        <x:color rgb="FFB7A77B"/>
      </x:top>
      <x:bottom style="thin">
        <x:color rgb="FFB7A77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2E2E2"/>
      </x:left>
      <x:right style="thin">
        <x:color rgb="FFE2E2E2"/>
      </x:right>
      <x:top style="thin">
        <x:color rgb="FFE2E2E2"/>
      </x:top>
      <x:bottom style="thin">
        <x:color rgb="FFE2E2E2"/>
      </x:bottom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2" xfId="0" applyNumberFormat="1" applyFont="1" applyFill="1" applyBorder="1" applyAlignment="1">
      <x:alignment horizontal="center"/>
    </x:xf>
    <x:xf numFmtId="0" fontId="2" fillId="2" borderId="3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4" xfId="0" applyNumberFormat="1" applyFont="1" applyFill="1" applyBorder="1"/>
    <x:xf numFmtId="0" fontId="5" fillId="5" borderId="4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horizontal="center" wrapText="1"/>
    </x:xf>
    <x:xf numFmtId="0" fontId="5" fillId="5" borderId="4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4" xfId="0" applyNumberFormat="1" applyFont="1" applyFill="1" applyBorder="1"/>
    <x:xf numFmtId="0" fontId="6" fillId="5" borderId="4" xfId="0" applyNumberFormat="1" applyFont="1" applyFill="1" applyBorder="1" applyAlignment="1">
      <x:alignment horizontal="center"/>
    </x:xf>
    <x:xf numFmtId="0" fontId="6" fillId="5" borderId="4" xfId="0" applyNumberFormat="1" applyFont="1" applyFill="1" applyBorder="1" applyAlignment="1">
      <x:alignment horizontal="center" vertical="center"/>
    </x:xf>
    <x:xf numFmtId="0" fontId="1" fillId="0" borderId="5" xfId="0" applyNumberFormat="1" applyFont="1" applyFill="1" applyBorder="1"/>
    <x:xf numFmtId="0" fontId="1" fillId="0" borderId="5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6" xfId="0" applyNumberFormat="1" applyFont="1" applyFill="1" applyBorder="1"/>
    <x:xf numFmtId="0" fontId="7" fillId="0" borderId="6" xfId="0" applyNumberFormat="1" applyFont="1" applyFill="1" applyBorder="1" applyAlignment="1">
      <x:alignment horizontal="center"/>
    </x:xf>
    <x:xf numFmtId="0" fontId="7" fillId="0" borderId="6" xfId="0" applyNumberFormat="1" applyFont="1" applyFill="1" applyBorder="1" applyAlignment="1">
      <x:alignment horizontal="center" vertical="center"/>
    </x:xf>
    <x:xf numFmtId="0" fontId="1" fillId="0" borderId="5" xfId="0" applyNumberFormat="1" applyFont="1" applyFill="1" applyBorder="1" applyAlignment="1">
      <x:alignment horizontal="center" vertical="center"/>
    </x:xf>
    <x:xf numFmtId="0" fontId="1" fillId="0" borderId="5" xfId="0" applyNumberFormat="1" applyFont="1" applyFill="1" applyBorder="1" applyAlignment="1">
      <x:alignment vertical="center" wrapText="1"/>
    </x:xf>
    <x:xf numFmtId="200" fontId="1" fillId="0" borderId="5" xfId="0" applyNumberFormat="1" applyFont="1" applyFill="1" applyBorder="1" applyAlignment="1">
      <x:alignment horizontal="center" vertical="center"/>
    </x:xf>
    <x:xf numFmtId="201" fontId="1" fillId="0" borderId="5" xfId="0" applyNumberFormat="1" applyFont="1" applyFill="1" applyBorder="1" applyAlignment="1">
      <x:alignment horizontal="center" vertical="center"/>
    </x:xf>
    <x:xf numFmtId="200" fontId="6" fillId="5" borderId="4" xfId="0" applyNumberFormat="1" applyFont="1" applyFill="1" applyBorder="1" applyAlignment="1">
      <x:alignment horizontal="center" vertical="center"/>
    </x:xf>
    <x:xf numFmtId="0" fontId="0" fillId="2" borderId="0" xfId="0" applyNumberFormat="1" applyFont="1" applyFill="1" applyBorder="1"/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4" xfId="0" applyNumberFormat="1" applyFont="1" applyFill="1" applyBorder="1"/>
    <x:xf numFmtId="0" fontId="10" fillId="5" borderId="4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5" xfId="0" applyNumberFormat="1" applyFont="1" applyFill="1" applyBorder="1"/>
    <x:xf numFmtId="0" fontId="11" fillId="0" borderId="5" xfId="0" applyNumberFormat="1" applyFont="1" applyFill="1" applyBorder="1" applyAlignment="1">
      <x:alignment vertical="center"/>
    </x:xf>
    <x:xf numFmtId="200" fontId="11" fillId="0" borderId="5" xfId="0" applyNumberFormat="1" applyFont="1" applyFill="1" applyBorder="1" applyAlignment="1">
      <x:alignment vertical="center"/>
    </x:xf>
  </x:cellXfs>
  <x:cellStyles count="1">
    <x:cellStyle name="Normal" xfId="0"/>
  </x:cellStyles>
  <x:dxfs count="14">
    <x:dxf>
      <x:font>
        <x:b/>
      </x:font>
      <x:fill>
        <x:patternFill patternType="solid">
          <x:bgColor rgb="FFF4CCCC"/>
        </x:patternFill>
      </x:fill>
    </x:dxf>
    <x:dxf>
      <x:font>
        <x:b/>
      </x:font>
      <x:fill>
        <x:patternFill patternType="solid">
          <x:bgColor rgb="FFD9EAD3"/>
        </x:patternFill>
      </x:fill>
    </x:dxf>
    <x:dxf>
      <x:font>
        <x:b/>
      </x:font>
      <x:fill>
        <x:patternFill patternType="solid">
          <x:bgColor rgb="FFD9EAD3"/>
        </x:patternFill>
      </x:fill>
    </x:dxf>
    <x:dxf>
      <x:font>
        <x:b/>
      </x:font>
      <x:fill>
        <x:patternFill patternType="solid">
          <x:bgColor rgb="FFD9D2E9"/>
        </x:patternFill>
      </x:fill>
    </x:dxf>
    <x:dxf>
      <x:font>
        <x:b/>
      </x:font>
      <x:fill>
        <x:patternFill patternType="solid">
          <x:bgColor rgb="FFCFE2F3"/>
        </x:patternFill>
      </x:fill>
    </x:dxf>
    <x:dxf>
      <x:font>
        <x:b/>
      </x:font>
      <x:fill>
        <x:patternFill patternType="solid">
          <x:bgColor rgb="FFFFF2CC"/>
        </x:patternFill>
      </x:fill>
    </x:dxf>
    <x:dxf>
      <x:font>
        <x:b/>
      </x:font>
      <x:fill>
        <x:patternFill patternType="solid">
          <x:bgColor rgb="FFCFE2F3"/>
        </x:patternFill>
      </x:fill>
    </x:dxf>
    <x:dxf>
      <x:font>
        <x:b/>
      </x:font>
      <x:fill>
        <x:patternFill patternType="solid">
          <x:bgColor rgb="FFF4CCCC"/>
        </x:patternFill>
      </x:fill>
    </x:dxf>
    <x:dxf>
      <x:font>
        <x:b/>
        <x:color rgb="FFFFFFFF"/>
      </x:font>
      <x:fill>
        <x:patternFill patternType="solid">
          <x:bgColor rgb="FF4A4A4A"/>
        </x:patternFill>
      </x:fill>
    </x:dxf>
    <x:dxf>
      <x:font>
        <x:b/>
        <x:color rgb="FF7F6000"/>
      </x:font>
      <x:fill>
        <x:patternFill patternType="solid">
          <x:bgColor rgb="FFFFD966"/>
        </x:patternFill>
      </x:fill>
    </x:dxf>
    <x:dxf>
      <x:font>
        <x:b/>
        <x:color rgb="FF0B5394"/>
      </x:font>
      <x:fill>
        <x:patternFill patternType="solid">
          <x:bgColor rgb="FF9FC5E8"/>
        </x:patternFill>
      </x:fill>
    </x:dxf>
    <x:dxf>
      <x:font>
        <x:b/>
        <x:color rgb="FFFFFFFF"/>
      </x:font>
      <x:fill>
        <x:patternFill patternType="solid">
          <x:bgColor rgb="FFE06666"/>
        </x:patternFill>
      </x:fill>
    </x:dxf>
    <x:dxf>
      <x:font>
        <x:color rgb="FF5B9BD5"/>
      </x:font>
      <x:fill>
        <x:patternFill patternType="solid">
          <x:bgColor rgb="FF5B9BD5"/>
        </x:patternFill>
      </x:fill>
    </x:dxf>
    <x:dxf>
      <x:font>
        <x:b/>
        <x:color rgb="FFC5221F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8e70cc9d754d94" /><Relationship Type="http://schemas.openxmlformats.org/officeDocument/2006/relationships/theme" Target="/xl/theme/theme1.xml" Id="R43e06a94ce1d4ffd" /><Relationship Type="http://schemas.openxmlformats.org/officeDocument/2006/relationships/sharedStrings" Target="/xl/sharedStrings.xml" Id="R21977bea47be42d2" /><Relationship Type="http://schemas.openxmlformats.org/officeDocument/2006/relationships/worksheet" Target="/xl/worksheets/sheet1.xml" Id="R0383dafcfc4f45c2" /><Relationship Type="http://schemas.openxmlformats.org/officeDocument/2006/relationships/worksheet" Target="/xl/worksheets/sheet2.xml" Id="R4e47dfac59da463a" /><Relationship Type="http://schemas.openxmlformats.org/officeDocument/2006/relationships/worksheet" Target="/xl/worksheets/sheet3.xml" Id="R933f0017fae747b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" hidden="0" customWidth="1"/>
    <x:col min="3" max="3" width="43" hidden="0" customWidth="1"/>
    <x:col min="4" max="4" width="31" hidden="0" customWidth="1"/>
    <x:col min="5" max="5" width="24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9" hidden="0" customWidth="1"/>
    <x:col min="11" max="11" width="5" hidden="0" customWidth="1"/>
    <x:col min="12" max="12" width="5" hidden="0" customWidth="1"/>
    <x:col min="13" max="13" width="5" hidden="0" customWidth="1"/>
    <x:col min="14" max="14" width="5" hidden="0" customWidth="1"/>
    <x:col min="15" max="15" width="5" hidden="0" customWidth="1"/>
    <x:col min="16" max="16" width="5" hidden="0" customWidth="1"/>
    <x:col min="17" max="17" width="5" hidden="0" customWidth="1"/>
    <x:col min="18" max="18" width="5" hidden="0" customWidth="1"/>
    <x:col min="19" max="19" width="5" hidden="0" customWidth="1"/>
    <x:col min="20" max="20" width="5" hidden="0" customWidth="1"/>
    <x:col min="21" max="21" width="5" hidden="0" customWidth="1"/>
    <x:col min="22" max="22" width="5" hidden="0" customWidth="1"/>
    <x:col min="23" max="23" width="5" hidden="0" customWidth="1"/>
    <x:col min="24" max="24" width="5" hidden="0" customWidth="1"/>
    <x:col min="25" max="25" width="5" hidden="0" customWidth="1"/>
    <x:col min="26" max="26" width="5" hidden="0" customWidth="1"/>
    <x:col min="27" max="27" width="5" hidden="0" customWidth="1"/>
    <x:col min="28" max="28" width="5" hidden="0" customWidth="1"/>
    <x:col min="29" max="29" width="5" hidden="0" customWidth="1"/>
    <x:col min="30" max="30" width="5" hidden="0" customWidth="1"/>
    <x:col min="31" max="31" width="5" hidden="0" customWidth="1"/>
    <x:col min="32" max="32" width="5" hidden="0" customWidth="1"/>
    <x:col min="33" max="33" width="5" hidden="0" customWidth="1"/>
    <x:col min="34" max="34" width="5" hidden="0" customWidth="1"/>
    <x:col min="35" max="35" width="5" hidden="0" customWidth="1"/>
    <x:col min="36" max="36" width="5" hidden="0" customWidth="1"/>
    <x:col min="37" max="37" width="5" hidden="0" customWidth="1"/>
    <x:col min="38" max="38" width="5" hidden="0" customWidth="1"/>
    <x:col min="39" max="39" width="5" hidden="0" customWidth="1"/>
    <x:col min="40" max="40" width="5" hidden="0" customWidth="1"/>
    <x:col min="41" max="41" width="5" hidden="0" customWidth="1"/>
    <x:col min="42" max="42" width="5" hidden="0" customWidth="1"/>
    <x:col min="43" max="43" width="5" hidden="0" customWidth="1"/>
    <x:col min="44" max="44" width="5" hidden="0" customWidth="1"/>
    <x:col min="45" max="45" width="5" hidden="0" customWidth="1"/>
    <x:col min="46" max="46" width="5" hidden="0" customWidth="1"/>
    <x:col min="47" max="47" width="5" hidden="0" customWidth="1"/>
    <x:col min="48" max="48" width="5" hidden="0" customWidth="1"/>
  </x:cols>
  <x:sheetData>
    <x:row r="1" ht="42" customHeight="1">
      <x:c r="A1" s="10" t="str">
        <x:v>SKN 29기 3팀 · SensePlace 호텔 VOC·운영 이슈 분석 Agent WBS</x:v>
      </x:c>
      <x:c r="B1" s="11"/>
      <x:c r="C1" s="11"/>
      <x:c r="D1" s="11"/>
      <x:c r="E1" s="11"/>
      <x:c r="F1" s="11"/>
      <x:c r="G1" s="11"/>
      <x:c r="H1" s="11"/>
      <x:c r="I1" s="11"/>
      <x:c r="J1" s="11"/>
      <x:c r="K1" s="11"/>
      <x:c r="L1" s="11"/>
      <x:c r="M1" s="11"/>
      <x:c r="N1" s="11"/>
      <x:c r="O1" s="11"/>
      <x:c r="P1" s="11"/>
      <x:c r="Q1" s="11"/>
      <x:c r="R1" s="11"/>
      <x:c r="S1" s="11"/>
      <x:c r="T1" s="11"/>
      <x:c r="U1" s="11"/>
      <x:c r="V1" s="11"/>
      <x:c r="W1" s="11"/>
      <x:c r="X1" s="11"/>
      <x:c r="Y1" s="11"/>
      <x:c r="Z1" s="11"/>
      <x:c r="AA1" s="11"/>
      <x:c r="AB1" s="11"/>
      <x:c r="AC1" s="11"/>
      <x:c r="AD1" s="11"/>
      <x:c r="AE1" s="11"/>
      <x:c r="AF1" s="11"/>
      <x:c r="AG1" s="11"/>
      <x:c r="AH1" s="11"/>
      <x:c r="AI1" s="11"/>
      <x:c r="AJ1" s="11"/>
      <x:c r="AK1" s="11"/>
      <x:c r="AL1" s="11"/>
      <x:c r="AM1" s="11"/>
      <x:c r="AN1" s="11"/>
      <x:c r="AO1" s="11"/>
      <x:c r="AP1" s="11"/>
      <x:c r="AQ1" s="11"/>
      <x:c r="AR1" s="11"/>
      <x:c r="AS1" s="11"/>
      <x:c r="AT1" s="11"/>
      <x:c r="AU1" s="11"/>
      <x:c r="AV1" s="12"/>
    </x:row>
    <x:row r="2" ht="25" customHeight="1">
      <x:c r="A2" s="16" t="str">
        <x:v>합성 데이터 기반 설계 → 데이터·DB → AI·Agent → 통합·Gate → 최종 발표 · 2026-07-10~09-03</x:v>
      </x:c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  <x:c r="N2" s="16"/>
      <x:c r="O2" s="16"/>
      <x:c r="P2" s="16"/>
      <x:c r="Q2" s="16"/>
      <x:c r="R2" s="16"/>
      <x:c r="S2" s="16"/>
      <x:c r="T2" s="16"/>
      <x:c r="U2" s="16"/>
      <x:c r="V2" s="16"/>
      <x:c r="W2" s="16"/>
      <x:c r="X2" s="16"/>
      <x:c r="Y2" s="16"/>
      <x:c r="Z2" s="16"/>
      <x:c r="AA2" s="16"/>
      <x:c r="AB2" s="16"/>
      <x:c r="AC2" s="16"/>
      <x:c r="AD2" s="16"/>
      <x:c r="AE2" s="16"/>
      <x:c r="AF2" s="16"/>
      <x:c r="AG2" s="16"/>
      <x:c r="AH2" s="16"/>
      <x:c r="AI2" s="16"/>
      <x:c r="AJ2" s="16"/>
      <x:c r="AK2" s="16"/>
      <x:c r="AL2" s="16"/>
      <x:c r="AM2" s="16"/>
      <x:c r="AN2" s="16"/>
      <x:c r="AO2" s="16"/>
      <x:c r="AP2" s="16"/>
      <x:c r="AQ2" s="16"/>
      <x:c r="AR2" s="16"/>
      <x:c r="AS2" s="16"/>
      <x:c r="AT2" s="16"/>
      <x:c r="AU2" s="16"/>
      <x:c r="AV2" s="16"/>
    </x:row>
    <x:row r="3" ht="20" customHeight="1">
      <x:c r="A3" s="20" t="str">
        <x:v>사용법: 단계·담당자·진행현황 드롭다운/필터 · 시작일·마감일 수정 시 평일 간트와 진척률 자동 갱신 · 주말 및 프로젝트 비작업일(07/17, 08/17) 제외</x:v>
      </x:c>
      <x:c r="B3" s="20"/>
      <x:c r="C3" s="20"/>
      <x:c r="D3" s="20"/>
      <x:c r="E3" s="20"/>
      <x:c r="F3" s="20"/>
      <x:c r="G3" s="20"/>
      <x:c r="H3" s="20"/>
      <x:c r="I3" s="20"/>
      <x:c r="J3" s="20"/>
      <x:c r="K3" s="20"/>
      <x:c r="L3" s="20"/>
      <x:c r="M3" s="20"/>
      <x:c r="N3" s="20"/>
      <x:c r="O3" s="20"/>
      <x:c r="P3" s="20"/>
      <x:c r="Q3" s="20"/>
      <x:c r="R3" s="20"/>
      <x:c r="S3" s="20"/>
      <x:c r="T3" s="20"/>
      <x:c r="U3" s="20"/>
      <x:c r="V3" s="20"/>
      <x:c r="W3" s="20"/>
      <x:c r="X3" s="20"/>
      <x:c r="Y3" s="20"/>
      <x:c r="Z3" s="20"/>
      <x:c r="AA3" s="20"/>
      <x:c r="AB3" s="20"/>
      <x:c r="AC3" s="20"/>
      <x:c r="AD3" s="20"/>
      <x:c r="AE3" s="20"/>
      <x:c r="AF3" s="20"/>
      <x:c r="AG3" s="20"/>
      <x:c r="AH3" s="20"/>
      <x:c r="AI3" s="20"/>
      <x:c r="AJ3" s="20"/>
      <x:c r="AK3" s="20"/>
      <x:c r="AL3" s="20"/>
      <x:c r="AM3" s="20"/>
      <x:c r="AN3" s="20"/>
      <x:c r="AO3" s="20"/>
      <x:c r="AP3" s="20"/>
      <x:c r="AQ3" s="20"/>
      <x:c r="AR3" s="20"/>
      <x:c r="AS3" s="20"/>
      <x:c r="AT3" s="20"/>
      <x:c r="AU3" s="20"/>
      <x:c r="AV3" s="20"/>
    </x:row>
    <x:row r="4" ht="26" customHeight="1">
      <x:c r="A4" s="26" t="str">
        <x:v>단계</x:v>
      </x:c>
      <x:c r="B4" s="26" t="str">
        <x:v>WBS ID</x:v>
      </x:c>
      <x:c r="C4" s="26" t="str">
        <x:v>작업 항목</x:v>
      </x:c>
      <x:c r="D4" s="26" t="str">
        <x:v>산출물</x:v>
      </x:c>
      <x:c r="E4" s="26" t="str">
        <x:v>담당자</x:v>
      </x:c>
      <x:c r="F4" s="26" t="str">
        <x:v>진행현황</x:v>
      </x:c>
      <x:c r="G4" s="26" t="str">
        <x:v>시작일</x:v>
      </x:c>
      <x:c r="H4" s="26" t="str">
        <x:v>마감일</x:v>
      </x:c>
      <x:c r="I4" s="26" t="str">
        <x:v>공식 제출일</x:v>
      </x:c>
      <x:c r="J4" s="26" t="str">
        <x:v>진척률</x:v>
      </x:c>
      <x:c r="K4" s="30" t="str">
        <x:v>공식 프로젝트 평일 일정 (주말·프로젝트 휴일 제외)</x:v>
      </x:c>
      <x:c r="L4" s="30"/>
      <x:c r="M4" s="30"/>
      <x:c r="N4" s="30"/>
      <x:c r="O4" s="30"/>
      <x:c r="P4" s="30"/>
      <x:c r="Q4" s="30"/>
      <x:c r="R4" s="30"/>
      <x:c r="S4" s="30"/>
      <x:c r="T4" s="30"/>
      <x:c r="U4" s="30"/>
      <x:c r="V4" s="30"/>
      <x:c r="W4" s="30"/>
      <x:c r="X4" s="30"/>
      <x:c r="Y4" s="30"/>
      <x:c r="Z4" s="30"/>
      <x:c r="AA4" s="30"/>
      <x:c r="AB4" s="30"/>
      <x:c r="AC4" s="30"/>
      <x:c r="AD4" s="30"/>
      <x:c r="AE4" s="30"/>
      <x:c r="AF4" s="30"/>
      <x:c r="AG4" s="30"/>
      <x:c r="AH4" s="30"/>
      <x:c r="AI4" s="30"/>
      <x:c r="AJ4" s="30"/>
      <x:c r="AK4" s="30"/>
      <x:c r="AL4" s="30"/>
      <x:c r="AM4" s="30"/>
      <x:c r="AN4" s="30"/>
      <x:c r="AO4" s="30"/>
      <x:c r="AP4" s="30"/>
      <x:c r="AQ4" s="30"/>
      <x:c r="AR4" s="30"/>
      <x:c r="AS4" s="30"/>
      <x:c r="AT4" s="30"/>
      <x:c r="AU4" s="30"/>
      <x:c r="AV4" s="30"/>
    </x:row>
    <x:row r="5" ht="22" customHeight="1">
      <x:c r="A5" s="26"/>
      <x:c r="B5" s="26"/>
      <x:c r="C5" s="26"/>
      <x:c r="D5" s="26"/>
      <x:c r="E5" s="26"/>
      <x:c r="F5" s="26"/>
      <x:c r="G5" s="26"/>
      <x:c r="H5" s="26"/>
      <x:c r="I5" s="26"/>
      <x:c r="J5" s="26"/>
      <x:c r="K5" s="41" t="n">
        <x:v>46213.5</x:v>
      </x:c>
      <x:c r="L5" s="41" t="n">
        <x:v>46216.5</x:v>
      </x:c>
      <x:c r="M5" s="41" t="n">
        <x:v>46217.5</x:v>
      </x:c>
      <x:c r="N5" s="41" t="n">
        <x:v>46218.5</x:v>
      </x:c>
      <x:c r="O5" s="41" t="n">
        <x:v>46219.5</x:v>
      </x:c>
      <x:c r="P5" s="41" t="n">
        <x:v>46223.5</x:v>
      </x:c>
      <x:c r="Q5" s="41" t="n">
        <x:v>46224.5</x:v>
      </x:c>
      <x:c r="R5" s="41" t="n">
        <x:v>46225.5</x:v>
      </x:c>
      <x:c r="S5" s="41" t="n">
        <x:v>46226.5</x:v>
      </x:c>
      <x:c r="T5" s="41" t="n">
        <x:v>46227.5</x:v>
      </x:c>
      <x:c r="U5" s="41" t="n">
        <x:v>46230.5</x:v>
      </x:c>
      <x:c r="V5" s="41" t="n">
        <x:v>46231.5</x:v>
      </x:c>
      <x:c r="W5" s="41" t="n">
        <x:v>46232.5</x:v>
      </x:c>
      <x:c r="X5" s="41" t="n">
        <x:v>46233.5</x:v>
      </x:c>
      <x:c r="Y5" s="41" t="n">
        <x:v>46234.5</x:v>
      </x:c>
      <x:c r="Z5" s="41" t="n">
        <x:v>46237.5</x:v>
      </x:c>
      <x:c r="AA5" s="41" t="n">
        <x:v>46238.5</x:v>
      </x:c>
      <x:c r="AB5" s="41" t="n">
        <x:v>46239.5</x:v>
      </x:c>
      <x:c r="AC5" s="41" t="n">
        <x:v>46240.5</x:v>
      </x:c>
      <x:c r="AD5" s="41" t="n">
        <x:v>46241.5</x:v>
      </x:c>
      <x:c r="AE5" s="41" t="n">
        <x:v>46244.5</x:v>
      </x:c>
      <x:c r="AF5" s="41" t="n">
        <x:v>46245.5</x:v>
      </x:c>
      <x:c r="AG5" s="41" t="n">
        <x:v>46246.5</x:v>
      </x:c>
      <x:c r="AH5" s="41" t="n">
        <x:v>46247.5</x:v>
      </x:c>
      <x:c r="AI5" s="41" t="n">
        <x:v>46248.5</x:v>
      </x:c>
      <x:c r="AJ5" s="41" t="n">
        <x:v>46252.5</x:v>
      </x:c>
      <x:c r="AK5" s="41" t="n">
        <x:v>46253.5</x:v>
      </x:c>
      <x:c r="AL5" s="41" t="n">
        <x:v>46254.5</x:v>
      </x:c>
      <x:c r="AM5" s="41" t="n">
        <x:v>46255.5</x:v>
      </x:c>
      <x:c r="AN5" s="41" t="n">
        <x:v>46258.5</x:v>
      </x:c>
      <x:c r="AO5" s="41" t="n">
        <x:v>46259.5</x:v>
      </x:c>
      <x:c r="AP5" s="41" t="n">
        <x:v>46260.5</x:v>
      </x:c>
      <x:c r="AQ5" s="41" t="n">
        <x:v>46261.5</x:v>
      </x:c>
      <x:c r="AR5" s="41" t="n">
        <x:v>46262.5</x:v>
      </x:c>
      <x:c r="AS5" s="41" t="n">
        <x:v>46265.5</x:v>
      </x:c>
      <x:c r="AT5" s="41" t="n">
        <x:v>46266.5</x:v>
      </x:c>
      <x:c r="AU5" s="41" t="n">
        <x:v>46267.5</x:v>
      </x:c>
      <x:c r="AV5" s="41" t="n">
        <x:v>46268.5</x:v>
      </x:c>
    </x:row>
    <x:row r="6" ht="31" customHeight="1">
      <x:c r="A6" s="37" t="str">
        <x:v>기획 및 설계</x:v>
      </x:c>
      <x:c r="B6" s="37" t="str">
        <x:v>1.1</x:v>
      </x:c>
      <x:c r="C6" s="38" t="str">
        <x:v>킥오프 및 프로젝트 목표 확정</x:v>
      </x:c>
      <x:c r="D6" s="38" t="str">
        <x:v>프로젝트 범위</x:v>
      </x:c>
      <x:c r="E6" s="37" t="str">
        <x:v>전원</x:v>
      </x:c>
      <x:c r="F6" s="37" t="str">
        <x:v>완료</x:v>
      </x:c>
      <x:c r="G6" s="39" t="n">
        <x:v>46213.5</x:v>
      </x:c>
      <x:c r="H6" s="39" t="n">
        <x:v>46213.5</x:v>
      </x:c>
      <x:c r="I6" s="39"/>
      <x:c r="J6" s="40" t="n">
        <x:f>IF(F6="완료",100%,IF(F6="검토",90%,IF(F6="진행",60%,IF(F6="진행중",60%,IF(F6="차단",25%,0%)))))</x:f>
        <x:v>1</x:v>
      </x:c>
      <x:c r="K6" s="36" t="str">
        <x:f>IF(AND(K$5&gt;=$G6,K$5&lt;=$H6),"■","")</x:f>
        <x:v>■</x:v>
      </x:c>
      <x:c r="L6" s="36" t="str">
        <x:f>IF(AND(L$5&gt;=$G6,L$5&lt;=$H6),"■","")</x:f>
      </x:c>
      <x:c r="M6" s="36" t="str">
        <x:f>IF(AND(M$5&gt;=$G6,M$5&lt;=$H6),"■","")</x:f>
      </x:c>
      <x:c r="N6" s="36" t="str">
        <x:f>IF(AND(N$5&gt;=$G6,N$5&lt;=$H6),"■","")</x:f>
      </x:c>
      <x:c r="O6" s="36" t="str">
        <x:f>IF(AND(O$5&gt;=$G6,O$5&lt;=$H6),"■","")</x:f>
      </x:c>
      <x:c r="P6" s="36" t="str">
        <x:f>IF(AND(P$5&gt;=$G6,P$5&lt;=$H6),"■","")</x:f>
      </x:c>
      <x:c r="Q6" s="36" t="str">
        <x:f>IF(AND(Q$5&gt;=$G6,Q$5&lt;=$H6),"■","")</x:f>
      </x:c>
      <x:c r="R6" s="36" t="str">
        <x:f>IF(AND(R$5&gt;=$G6,R$5&lt;=$H6),"■","")</x:f>
      </x:c>
      <x:c r="S6" s="36" t="str">
        <x:f>IF(AND(S$5&gt;=$G6,S$5&lt;=$H6),"■","")</x:f>
      </x:c>
      <x:c r="T6" s="36" t="str">
        <x:f>IF(AND(T$5&gt;=$G6,T$5&lt;=$H6),"■","")</x:f>
      </x:c>
      <x:c r="U6" s="36" t="str">
        <x:f>IF(AND(U$5&gt;=$G6,U$5&lt;=$H6),"■","")</x:f>
      </x:c>
      <x:c r="V6" s="36" t="str">
        <x:f>IF(AND(V$5&gt;=$G6,V$5&lt;=$H6),"■","")</x:f>
      </x:c>
      <x:c r="W6" s="36" t="str">
        <x:f>IF(AND(W$5&gt;=$G6,W$5&lt;=$H6),"■","")</x:f>
      </x:c>
      <x:c r="X6" s="36" t="str">
        <x:f>IF(AND(X$5&gt;=$G6,X$5&lt;=$H6),"■","")</x:f>
      </x:c>
      <x:c r="Y6" s="36" t="str">
        <x:f>IF(AND(Y$5&gt;=$G6,Y$5&lt;=$H6),"■","")</x:f>
      </x:c>
      <x:c r="Z6" s="36" t="str">
        <x:f>IF(AND(Z$5&gt;=$G6,Z$5&lt;=$H6),"■","")</x:f>
      </x:c>
      <x:c r="AA6" s="36" t="str">
        <x:f>IF(AND(AA$5&gt;=$G6,AA$5&lt;=$H6),"■","")</x:f>
      </x:c>
      <x:c r="AB6" s="36" t="str">
        <x:f>IF(AND(AB$5&gt;=$G6,AB$5&lt;=$H6),"■","")</x:f>
      </x:c>
      <x:c r="AC6" s="36" t="str">
        <x:f>IF(AND(AC$5&gt;=$G6,AC$5&lt;=$H6),"■","")</x:f>
      </x:c>
      <x:c r="AD6" s="36" t="str">
        <x:f>IF(AND(AD$5&gt;=$G6,AD$5&lt;=$H6),"■","")</x:f>
      </x:c>
      <x:c r="AE6" s="36" t="str">
        <x:f>IF(AND(AE$5&gt;=$G6,AE$5&lt;=$H6),"■","")</x:f>
      </x:c>
      <x:c r="AF6" s="36" t="str">
        <x:f>IF(AND(AF$5&gt;=$G6,AF$5&lt;=$H6),"■","")</x:f>
      </x:c>
      <x:c r="AG6" s="36" t="str">
        <x:f>IF(AND(AG$5&gt;=$G6,AG$5&lt;=$H6),"■","")</x:f>
      </x:c>
      <x:c r="AH6" s="36" t="str">
        <x:f>IF(AND(AH$5&gt;=$G6,AH$5&lt;=$H6),"■","")</x:f>
      </x:c>
      <x:c r="AI6" s="36" t="str">
        <x:f>IF(AND(AI$5&gt;=$G6,AI$5&lt;=$H6),"■","")</x:f>
      </x:c>
      <x:c r="AJ6" s="36" t="str">
        <x:f>IF(AND(AJ$5&gt;=$G6,AJ$5&lt;=$H6),"■","")</x:f>
      </x:c>
      <x:c r="AK6" s="36" t="str">
        <x:f>IF(AND(AK$5&gt;=$G6,AK$5&lt;=$H6),"■","")</x:f>
      </x:c>
      <x:c r="AL6" s="36" t="str">
        <x:f>IF(AND(AL$5&gt;=$G6,AL$5&lt;=$H6),"■","")</x:f>
      </x:c>
      <x:c r="AM6" s="36" t="str">
        <x:f>IF(AND(AM$5&gt;=$G6,AM$5&lt;=$H6),"■","")</x:f>
      </x:c>
      <x:c r="AN6" s="36" t="str">
        <x:f>IF(AND(AN$5&gt;=$G6,AN$5&lt;=$H6),"■","")</x:f>
      </x:c>
      <x:c r="AO6" s="36" t="str">
        <x:f>IF(AND(AO$5&gt;=$G6,AO$5&lt;=$H6),"■","")</x:f>
      </x:c>
      <x:c r="AP6" s="36" t="str">
        <x:f>IF(AND(AP$5&gt;=$G6,AP$5&lt;=$H6),"■","")</x:f>
      </x:c>
      <x:c r="AQ6" s="36" t="str">
        <x:f>IF(AND(AQ$5&gt;=$G6,AQ$5&lt;=$H6),"■","")</x:f>
      </x:c>
      <x:c r="AR6" s="36" t="str">
        <x:f>IF(AND(AR$5&gt;=$G6,AR$5&lt;=$H6),"■","")</x:f>
      </x:c>
      <x:c r="AS6" s="36" t="str">
        <x:f>IF(AND(AS$5&gt;=$G6,AS$5&lt;=$H6),"■","")</x:f>
      </x:c>
      <x:c r="AT6" s="36" t="str">
        <x:f>IF(AND(AT$5&gt;=$G6,AT$5&lt;=$H6),"■","")</x:f>
      </x:c>
      <x:c r="AU6" s="36" t="str">
        <x:f>IF(AND(AU$5&gt;=$G6,AU$5&lt;=$H6),"■","")</x:f>
      </x:c>
      <x:c r="AV6" s="36" t="str">
        <x:f>IF(AND(AV$5&gt;=$G6,AV$5&lt;=$H6),"■","")</x:f>
      </x:c>
    </x:row>
    <x:row r="7" ht="31" customHeight="1">
      <x:c r="A7" s="37" t="str">
        <x:v>기획 및 설계</x:v>
      </x:c>
      <x:c r="B7" s="37" t="str">
        <x:v>1.2</x:v>
      </x:c>
      <x:c r="C7" s="38" t="str">
        <x:v>사용자·업무 시나리오 정의</x:v>
      </x:c>
      <x:c r="D7" s="38" t="str">
        <x:v>서비스 시나리오</x:v>
      </x:c>
      <x:c r="E7" s="37" t="str">
        <x:v>박준희·송민지</x:v>
      </x:c>
      <x:c r="F7" s="37" t="str">
        <x:v>완료</x:v>
      </x:c>
      <x:c r="G7" s="39" t="n">
        <x:v>46213.5</x:v>
      </x:c>
      <x:c r="H7" s="39" t="n">
        <x:v>46216.5</x:v>
      </x:c>
      <x:c r="I7" s="39"/>
      <x:c r="J7" s="40" t="n">
        <x:f>IF(F7="완료",100%,IF(F7="검토",90%,IF(F7="진행",60%,IF(F7="진행중",60%,IF(F7="차단",25%,0%)))))</x:f>
        <x:v>1</x:v>
      </x:c>
      <x:c r="K7" s="36" t="str">
        <x:f>IF(AND(K$5&gt;=$G7,K$5&lt;=$H7),"■","")</x:f>
        <x:v>■</x:v>
      </x:c>
      <x:c r="L7" s="36" t="str">
        <x:f>IF(AND(L$5&gt;=$G7,L$5&lt;=$H7),"■","")</x:f>
        <x:v>■</x:v>
      </x:c>
      <x:c r="M7" s="36" t="str">
        <x:f>IF(AND(M$5&gt;=$G7,M$5&lt;=$H7),"■","")</x:f>
      </x:c>
      <x:c r="N7" s="36" t="str">
        <x:f>IF(AND(N$5&gt;=$G7,N$5&lt;=$H7),"■","")</x:f>
      </x:c>
      <x:c r="O7" s="36" t="str">
        <x:f>IF(AND(O$5&gt;=$G7,O$5&lt;=$H7),"■","")</x:f>
      </x:c>
      <x:c r="P7" s="36" t="str">
        <x:f>IF(AND(P$5&gt;=$G7,P$5&lt;=$H7),"■","")</x:f>
      </x:c>
      <x:c r="Q7" s="36" t="str">
        <x:f>IF(AND(Q$5&gt;=$G7,Q$5&lt;=$H7),"■","")</x:f>
      </x:c>
      <x:c r="R7" s="36" t="str">
        <x:f>IF(AND(R$5&gt;=$G7,R$5&lt;=$H7),"■","")</x:f>
      </x:c>
      <x:c r="S7" s="36" t="str">
        <x:f>IF(AND(S$5&gt;=$G7,S$5&lt;=$H7),"■","")</x:f>
      </x:c>
      <x:c r="T7" s="36" t="str">
        <x:f>IF(AND(T$5&gt;=$G7,T$5&lt;=$H7),"■","")</x:f>
      </x:c>
      <x:c r="U7" s="36" t="str">
        <x:f>IF(AND(U$5&gt;=$G7,U$5&lt;=$H7),"■","")</x:f>
      </x:c>
      <x:c r="V7" s="36" t="str">
        <x:f>IF(AND(V$5&gt;=$G7,V$5&lt;=$H7),"■","")</x:f>
      </x:c>
      <x:c r="W7" s="36" t="str">
        <x:f>IF(AND(W$5&gt;=$G7,W$5&lt;=$H7),"■","")</x:f>
      </x:c>
      <x:c r="X7" s="36" t="str">
        <x:f>IF(AND(X$5&gt;=$G7,X$5&lt;=$H7),"■","")</x:f>
      </x:c>
      <x:c r="Y7" s="36" t="str">
        <x:f>IF(AND(Y$5&gt;=$G7,Y$5&lt;=$H7),"■","")</x:f>
      </x:c>
      <x:c r="Z7" s="36" t="str">
        <x:f>IF(AND(Z$5&gt;=$G7,Z$5&lt;=$H7),"■","")</x:f>
      </x:c>
      <x:c r="AA7" s="36" t="str">
        <x:f>IF(AND(AA$5&gt;=$G7,AA$5&lt;=$H7),"■","")</x:f>
      </x:c>
      <x:c r="AB7" s="36" t="str">
        <x:f>IF(AND(AB$5&gt;=$G7,AB$5&lt;=$H7),"■","")</x:f>
      </x:c>
      <x:c r="AC7" s="36" t="str">
        <x:f>IF(AND(AC$5&gt;=$G7,AC$5&lt;=$H7),"■","")</x:f>
      </x:c>
      <x:c r="AD7" s="36" t="str">
        <x:f>IF(AND(AD$5&gt;=$G7,AD$5&lt;=$H7),"■","")</x:f>
      </x:c>
      <x:c r="AE7" s="36" t="str">
        <x:f>IF(AND(AE$5&gt;=$G7,AE$5&lt;=$H7),"■","")</x:f>
      </x:c>
      <x:c r="AF7" s="36" t="str">
        <x:f>IF(AND(AF$5&gt;=$G7,AF$5&lt;=$H7),"■","")</x:f>
      </x:c>
      <x:c r="AG7" s="36" t="str">
        <x:f>IF(AND(AG$5&gt;=$G7,AG$5&lt;=$H7),"■","")</x:f>
      </x:c>
      <x:c r="AH7" s="36" t="str">
        <x:f>IF(AND(AH$5&gt;=$G7,AH$5&lt;=$H7),"■","")</x:f>
      </x:c>
      <x:c r="AI7" s="36" t="str">
        <x:f>IF(AND(AI$5&gt;=$G7,AI$5&lt;=$H7),"■","")</x:f>
      </x:c>
      <x:c r="AJ7" s="36" t="str">
        <x:f>IF(AND(AJ$5&gt;=$G7,AJ$5&lt;=$H7),"■","")</x:f>
      </x:c>
      <x:c r="AK7" s="36" t="str">
        <x:f>IF(AND(AK$5&gt;=$G7,AK$5&lt;=$H7),"■","")</x:f>
      </x:c>
      <x:c r="AL7" s="36" t="str">
        <x:f>IF(AND(AL$5&gt;=$G7,AL$5&lt;=$H7),"■","")</x:f>
      </x:c>
      <x:c r="AM7" s="36" t="str">
        <x:f>IF(AND(AM$5&gt;=$G7,AM$5&lt;=$H7),"■","")</x:f>
      </x:c>
      <x:c r="AN7" s="36" t="str">
        <x:f>IF(AND(AN$5&gt;=$G7,AN$5&lt;=$H7),"■","")</x:f>
      </x:c>
      <x:c r="AO7" s="36" t="str">
        <x:f>IF(AND(AO$5&gt;=$G7,AO$5&lt;=$H7),"■","")</x:f>
      </x:c>
      <x:c r="AP7" s="36" t="str">
        <x:f>IF(AND(AP$5&gt;=$G7,AP$5&lt;=$H7),"■","")</x:f>
      </x:c>
      <x:c r="AQ7" s="36" t="str">
        <x:f>IF(AND(AQ$5&gt;=$G7,AQ$5&lt;=$H7),"■","")</x:f>
      </x:c>
      <x:c r="AR7" s="36" t="str">
        <x:f>IF(AND(AR$5&gt;=$G7,AR$5&lt;=$H7),"■","")</x:f>
      </x:c>
      <x:c r="AS7" s="36" t="str">
        <x:f>IF(AND(AS$5&gt;=$G7,AS$5&lt;=$H7),"■","")</x:f>
      </x:c>
      <x:c r="AT7" s="36" t="str">
        <x:f>IF(AND(AT$5&gt;=$G7,AT$5&lt;=$H7),"■","")</x:f>
      </x:c>
      <x:c r="AU7" s="36" t="str">
        <x:f>IF(AND(AU$5&gt;=$G7,AU$5&lt;=$H7),"■","")</x:f>
      </x:c>
      <x:c r="AV7" s="36" t="str">
        <x:f>IF(AND(AV$5&gt;=$G7,AV$5&lt;=$H7),"■","")</x:f>
      </x:c>
    </x:row>
    <x:row r="8" ht="31" customHeight="1">
      <x:c r="A8" s="37" t="str">
        <x:v>기획 및 설계</x:v>
      </x:c>
      <x:c r="B8" s="37" t="str">
        <x:v>1.3</x:v>
      </x:c>
      <x:c r="C8" s="38" t="str">
        <x:v>요구사항 및 SensePlace 현재 범위 확정·제출</x:v>
      </x:c>
      <x:c r="D8" s="38" t="str">
        <x:v>요구사항 정의서</x:v>
      </x:c>
      <x:c r="E8" s="37" t="str">
        <x:v>박준희·송민지</x:v>
      </x:c>
      <x:c r="F8" s="37" t="str">
        <x:v>검토</x:v>
      </x:c>
      <x:c r="G8" s="39" t="n">
        <x:v>46213.5</x:v>
      </x:c>
      <x:c r="H8" s="39" t="n">
        <x:v>46227.5</x:v>
      </x:c>
      <x:c r="I8" s="39" t="n">
        <x:v>46219.5</x:v>
      </x:c>
      <x:c r="J8" s="40" t="n">
        <x:f>IF(F8="완료",100%,IF(F8="검토",90%,IF(F8="진행",60%,IF(F8="진행중",60%,IF(F8="차단",25%,0%)))))</x:f>
        <x:v>0.9</x:v>
      </x:c>
      <x:c r="K8" s="36" t="str">
        <x:f>IF(AND(K$5&gt;=$G8,K$5&lt;=$H8),"■","")</x:f>
        <x:v>■</x:v>
      </x:c>
      <x:c r="L8" s="36" t="str">
        <x:f>IF(AND(L$5&gt;=$G8,L$5&lt;=$H8),"■","")</x:f>
        <x:v>■</x:v>
      </x:c>
      <x:c r="M8" s="36" t="str">
        <x:f>IF(AND(M$5&gt;=$G8,M$5&lt;=$H8),"■","")</x:f>
        <x:v>■</x:v>
      </x:c>
      <x:c r="N8" s="36" t="str">
        <x:f>IF(AND(N$5&gt;=$G8,N$5&lt;=$H8),"■","")</x:f>
        <x:v>■</x:v>
      </x:c>
      <x:c r="O8" s="36" t="str">
        <x:f>IF(AND(O$5&gt;=$G8,O$5&lt;=$H8),"■","")</x:f>
        <x:v>■</x:v>
      </x:c>
      <x:c r="P8" s="36" t="str">
        <x:f>IF(AND(P$5&gt;=$G8,P$5&lt;=$H8),"■","")</x:f>
        <x:v>■</x:v>
      </x:c>
      <x:c r="Q8" s="36" t="str">
        <x:f>IF(AND(Q$5&gt;=$G8,Q$5&lt;=$H8),"■","")</x:f>
        <x:v>■</x:v>
      </x:c>
      <x:c r="R8" s="36" t="str">
        <x:f>IF(AND(R$5&gt;=$G8,R$5&lt;=$H8),"■","")</x:f>
        <x:v>■</x:v>
      </x:c>
      <x:c r="S8" s="36" t="str">
        <x:f>IF(AND(S$5&gt;=$G8,S$5&lt;=$H8),"■","")</x:f>
        <x:v>■</x:v>
      </x:c>
      <x:c r="T8" s="36" t="str">
        <x:f>IF(AND(T$5&gt;=$G8,T$5&lt;=$H8),"■","")</x:f>
        <x:v>■</x:v>
      </x:c>
      <x:c r="U8" s="36" t="str">
        <x:f>IF(AND(U$5&gt;=$G8,U$5&lt;=$H8),"■","")</x:f>
      </x:c>
      <x:c r="V8" s="36" t="str">
        <x:f>IF(AND(V$5&gt;=$G8,V$5&lt;=$H8),"■","")</x:f>
      </x:c>
      <x:c r="W8" s="36" t="str">
        <x:f>IF(AND(W$5&gt;=$G8,W$5&lt;=$H8),"■","")</x:f>
      </x:c>
      <x:c r="X8" s="36" t="str">
        <x:f>IF(AND(X$5&gt;=$G8,X$5&lt;=$H8),"■","")</x:f>
      </x:c>
      <x:c r="Y8" s="36" t="str">
        <x:f>IF(AND(Y$5&gt;=$G8,Y$5&lt;=$H8),"■","")</x:f>
      </x:c>
      <x:c r="Z8" s="36" t="str">
        <x:f>IF(AND(Z$5&gt;=$G8,Z$5&lt;=$H8),"■","")</x:f>
      </x:c>
      <x:c r="AA8" s="36" t="str">
        <x:f>IF(AND(AA$5&gt;=$G8,AA$5&lt;=$H8),"■","")</x:f>
      </x:c>
      <x:c r="AB8" s="36" t="str">
        <x:f>IF(AND(AB$5&gt;=$G8,AB$5&lt;=$H8),"■","")</x:f>
      </x:c>
      <x:c r="AC8" s="36" t="str">
        <x:f>IF(AND(AC$5&gt;=$G8,AC$5&lt;=$H8),"■","")</x:f>
      </x:c>
      <x:c r="AD8" s="36" t="str">
        <x:f>IF(AND(AD$5&gt;=$G8,AD$5&lt;=$H8),"■","")</x:f>
      </x:c>
      <x:c r="AE8" s="36" t="str">
        <x:f>IF(AND(AE$5&gt;=$G8,AE$5&lt;=$H8),"■","")</x:f>
      </x:c>
      <x:c r="AF8" s="36" t="str">
        <x:f>IF(AND(AF$5&gt;=$G8,AF$5&lt;=$H8),"■","")</x:f>
      </x:c>
      <x:c r="AG8" s="36" t="str">
        <x:f>IF(AND(AG$5&gt;=$G8,AG$5&lt;=$H8),"■","")</x:f>
      </x:c>
      <x:c r="AH8" s="36" t="str">
        <x:f>IF(AND(AH$5&gt;=$G8,AH$5&lt;=$H8),"■","")</x:f>
      </x:c>
      <x:c r="AI8" s="36" t="str">
        <x:f>IF(AND(AI$5&gt;=$G8,AI$5&lt;=$H8),"■","")</x:f>
      </x:c>
      <x:c r="AJ8" s="36" t="str">
        <x:f>IF(AND(AJ$5&gt;=$G8,AJ$5&lt;=$H8),"■","")</x:f>
      </x:c>
      <x:c r="AK8" s="36" t="str">
        <x:f>IF(AND(AK$5&gt;=$G8,AK$5&lt;=$H8),"■","")</x:f>
      </x:c>
      <x:c r="AL8" s="36" t="str">
        <x:f>IF(AND(AL$5&gt;=$G8,AL$5&lt;=$H8),"■","")</x:f>
      </x:c>
      <x:c r="AM8" s="36" t="str">
        <x:f>IF(AND(AM$5&gt;=$G8,AM$5&lt;=$H8),"■","")</x:f>
      </x:c>
      <x:c r="AN8" s="36" t="str">
        <x:f>IF(AND(AN$5&gt;=$G8,AN$5&lt;=$H8),"■","")</x:f>
      </x:c>
      <x:c r="AO8" s="36" t="str">
        <x:f>IF(AND(AO$5&gt;=$G8,AO$5&lt;=$H8),"■","")</x:f>
      </x:c>
      <x:c r="AP8" s="36" t="str">
        <x:f>IF(AND(AP$5&gt;=$G8,AP$5&lt;=$H8),"■","")</x:f>
      </x:c>
      <x:c r="AQ8" s="36" t="str">
        <x:f>IF(AND(AQ$5&gt;=$G8,AQ$5&lt;=$H8),"■","")</x:f>
      </x:c>
      <x:c r="AR8" s="36" t="str">
        <x:f>IF(AND(AR$5&gt;=$G8,AR$5&lt;=$H8),"■","")</x:f>
      </x:c>
      <x:c r="AS8" s="36" t="str">
        <x:f>IF(AND(AS$5&gt;=$G8,AS$5&lt;=$H8),"■","")</x:f>
      </x:c>
      <x:c r="AT8" s="36" t="str">
        <x:f>IF(AND(AT$5&gt;=$G8,AT$5&lt;=$H8),"■","")</x:f>
      </x:c>
      <x:c r="AU8" s="36" t="str">
        <x:f>IF(AND(AU$5&gt;=$G8,AU$5&lt;=$H8),"■","")</x:f>
      </x:c>
      <x:c r="AV8" s="36" t="str">
        <x:f>IF(AND(AV$5&gt;=$G8,AV$5&lt;=$H8),"■","")</x:f>
      </x:c>
    </x:row>
    <x:row r="9" ht="31" customHeight="1">
      <x:c r="A9" s="37" t="str">
        <x:v>기획 및 설계</x:v>
      </x:c>
      <x:c r="B9" s="37" t="str">
        <x:v>1.4</x:v>
      </x:c>
      <x:c r="C9" s="38" t="str">
        <x:v>WBS 수립·제출</x:v>
      </x:c>
      <x:c r="D9" s="38" t="str">
        <x:v>WBS</x:v>
      </x:c>
      <x:c r="E9" s="37" t="str">
        <x:v>송민지</x:v>
      </x:c>
      <x:c r="F9" s="37" t="str">
        <x:v>완료</x:v>
      </x:c>
      <x:c r="G9" s="39" t="n">
        <x:v>46213.5</x:v>
      </x:c>
      <x:c r="H9" s="39" t="n">
        <x:v>46219.5</x:v>
      </x:c>
      <x:c r="I9" s="39" t="n">
        <x:v>46219.5</x:v>
      </x:c>
      <x:c r="J9" s="40" t="n">
        <x:f>IF(F9="완료",100%,IF(F9="검토",90%,IF(F9="진행",60%,IF(F9="진행중",60%,IF(F9="차단",25%,0%)))))</x:f>
        <x:v>1</x:v>
      </x:c>
      <x:c r="K9" s="36" t="str">
        <x:f>IF(AND(K$5&gt;=$G9,K$5&lt;=$H9),"■","")</x:f>
        <x:v>■</x:v>
      </x:c>
      <x:c r="L9" s="36" t="str">
        <x:f>IF(AND(L$5&gt;=$G9,L$5&lt;=$H9),"■","")</x:f>
        <x:v>■</x:v>
      </x:c>
      <x:c r="M9" s="36" t="str">
        <x:f>IF(AND(M$5&gt;=$G9,M$5&lt;=$H9),"■","")</x:f>
        <x:v>■</x:v>
      </x:c>
      <x:c r="N9" s="36" t="str">
        <x:f>IF(AND(N$5&gt;=$G9,N$5&lt;=$H9),"■","")</x:f>
        <x:v>■</x:v>
      </x:c>
      <x:c r="O9" s="36" t="str">
        <x:f>IF(AND(O$5&gt;=$G9,O$5&lt;=$H9),"■","")</x:f>
        <x:v>■</x:v>
      </x:c>
      <x:c r="P9" s="36" t="str">
        <x:f>IF(AND(P$5&gt;=$G9,P$5&lt;=$H9),"■","")</x:f>
      </x:c>
      <x:c r="Q9" s="36" t="str">
        <x:f>IF(AND(Q$5&gt;=$G9,Q$5&lt;=$H9),"■","")</x:f>
      </x:c>
      <x:c r="R9" s="36" t="str">
        <x:f>IF(AND(R$5&gt;=$G9,R$5&lt;=$H9),"■","")</x:f>
      </x:c>
      <x:c r="S9" s="36" t="str">
        <x:f>IF(AND(S$5&gt;=$G9,S$5&lt;=$H9),"■","")</x:f>
      </x:c>
      <x:c r="T9" s="36" t="str">
        <x:f>IF(AND(T$5&gt;=$G9,T$5&lt;=$H9),"■","")</x:f>
      </x:c>
      <x:c r="U9" s="36" t="str">
        <x:f>IF(AND(U$5&gt;=$G9,U$5&lt;=$H9),"■","")</x:f>
      </x:c>
      <x:c r="V9" s="36" t="str">
        <x:f>IF(AND(V$5&gt;=$G9,V$5&lt;=$H9),"■","")</x:f>
      </x:c>
      <x:c r="W9" s="36" t="str">
        <x:f>IF(AND(W$5&gt;=$G9,W$5&lt;=$H9),"■","")</x:f>
      </x:c>
      <x:c r="X9" s="36" t="str">
        <x:f>IF(AND(X$5&gt;=$G9,X$5&lt;=$H9),"■","")</x:f>
      </x:c>
      <x:c r="Y9" s="36" t="str">
        <x:f>IF(AND(Y$5&gt;=$G9,Y$5&lt;=$H9),"■","")</x:f>
      </x:c>
      <x:c r="Z9" s="36" t="str">
        <x:f>IF(AND(Z$5&gt;=$G9,Z$5&lt;=$H9),"■","")</x:f>
      </x:c>
      <x:c r="AA9" s="36" t="str">
        <x:f>IF(AND(AA$5&gt;=$G9,AA$5&lt;=$H9),"■","")</x:f>
      </x:c>
      <x:c r="AB9" s="36" t="str">
        <x:f>IF(AND(AB$5&gt;=$G9,AB$5&lt;=$H9),"■","")</x:f>
      </x:c>
      <x:c r="AC9" s="36" t="str">
        <x:f>IF(AND(AC$5&gt;=$G9,AC$5&lt;=$H9),"■","")</x:f>
      </x:c>
      <x:c r="AD9" s="36" t="str">
        <x:f>IF(AND(AD$5&gt;=$G9,AD$5&lt;=$H9),"■","")</x:f>
      </x:c>
      <x:c r="AE9" s="36" t="str">
        <x:f>IF(AND(AE$5&gt;=$G9,AE$5&lt;=$H9),"■","")</x:f>
      </x:c>
      <x:c r="AF9" s="36" t="str">
        <x:f>IF(AND(AF$5&gt;=$G9,AF$5&lt;=$H9),"■","")</x:f>
      </x:c>
      <x:c r="AG9" s="36" t="str">
        <x:f>IF(AND(AG$5&gt;=$G9,AG$5&lt;=$H9),"■","")</x:f>
      </x:c>
      <x:c r="AH9" s="36" t="str">
        <x:f>IF(AND(AH$5&gt;=$G9,AH$5&lt;=$H9),"■","")</x:f>
      </x:c>
      <x:c r="AI9" s="36" t="str">
        <x:f>IF(AND(AI$5&gt;=$G9,AI$5&lt;=$H9),"■","")</x:f>
      </x:c>
      <x:c r="AJ9" s="36" t="str">
        <x:f>IF(AND(AJ$5&gt;=$G9,AJ$5&lt;=$H9),"■","")</x:f>
      </x:c>
      <x:c r="AK9" s="36" t="str">
        <x:f>IF(AND(AK$5&gt;=$G9,AK$5&lt;=$H9),"■","")</x:f>
      </x:c>
      <x:c r="AL9" s="36" t="str">
        <x:f>IF(AND(AL$5&gt;=$G9,AL$5&lt;=$H9),"■","")</x:f>
      </x:c>
      <x:c r="AM9" s="36" t="str">
        <x:f>IF(AND(AM$5&gt;=$G9,AM$5&lt;=$H9),"■","")</x:f>
      </x:c>
      <x:c r="AN9" s="36" t="str">
        <x:f>IF(AND(AN$5&gt;=$G9,AN$5&lt;=$H9),"■","")</x:f>
      </x:c>
      <x:c r="AO9" s="36" t="str">
        <x:f>IF(AND(AO$5&gt;=$G9,AO$5&lt;=$H9),"■","")</x:f>
      </x:c>
      <x:c r="AP9" s="36" t="str">
        <x:f>IF(AND(AP$5&gt;=$G9,AP$5&lt;=$H9),"■","")</x:f>
      </x:c>
      <x:c r="AQ9" s="36" t="str">
        <x:f>IF(AND(AQ$5&gt;=$G9,AQ$5&lt;=$H9),"■","")</x:f>
      </x:c>
      <x:c r="AR9" s="36" t="str">
        <x:f>IF(AND(AR$5&gt;=$G9,AR$5&lt;=$H9),"■","")</x:f>
      </x:c>
      <x:c r="AS9" s="36" t="str">
        <x:f>IF(AND(AS$5&gt;=$G9,AS$5&lt;=$H9),"■","")</x:f>
      </x:c>
      <x:c r="AT9" s="36" t="str">
        <x:f>IF(AND(AT$5&gt;=$G9,AT$5&lt;=$H9),"■","")</x:f>
      </x:c>
      <x:c r="AU9" s="36" t="str">
        <x:f>IF(AND(AU$5&gt;=$G9,AU$5&lt;=$H9),"■","")</x:f>
      </x:c>
      <x:c r="AV9" s="36" t="str">
        <x:f>IF(AND(AV$5&gt;=$G9,AV$5&lt;=$H9),"■","")</x:f>
      </x:c>
    </x:row>
    <x:row r="10" ht="31" customHeight="1">
      <x:c r="A10" s="37" t="str">
        <x:v>기획 및 설계</x:v>
      </x:c>
      <x:c r="B10" s="37" t="str">
        <x:v>1.5</x:v>
      </x:c>
      <x:c r="C10" s="38" t="str">
        <x:v>프로젝트 기획서 작성·검토</x:v>
      </x:c>
      <x:c r="D10" s="38" t="str">
        <x:v>프로젝트 기획서</x:v>
      </x:c>
      <x:c r="E10" s="37" t="str">
        <x:v>박준희·송민지</x:v>
      </x:c>
      <x:c r="F10" s="37" t="str">
        <x:v>검토</x:v>
      </x:c>
      <x:c r="G10" s="39" t="n">
        <x:v>46216.5</x:v>
      </x:c>
      <x:c r="H10" s="39" t="n">
        <x:v>46227.5</x:v>
      </x:c>
      <x:c r="I10" s="39" t="n">
        <x:v>46227.5</x:v>
      </x:c>
      <x:c r="J10" s="40" t="n">
        <x:f>IF(F10="완료",100%,IF(F10="검토",90%,IF(F10="진행",60%,IF(F10="진행중",60%,IF(F10="차단",25%,0%)))))</x:f>
        <x:v>0.9</x:v>
      </x:c>
      <x:c r="K10" s="36" t="str">
        <x:f>IF(AND(K$5&gt;=$G10,K$5&lt;=$H10),"■","")</x:f>
      </x:c>
      <x:c r="L10" s="36" t="str">
        <x:f>IF(AND(L$5&gt;=$G10,L$5&lt;=$H10),"■","")</x:f>
        <x:v>■</x:v>
      </x:c>
      <x:c r="M10" s="36" t="str">
        <x:f>IF(AND(M$5&gt;=$G10,M$5&lt;=$H10),"■","")</x:f>
        <x:v>■</x:v>
      </x:c>
      <x:c r="N10" s="36" t="str">
        <x:f>IF(AND(N$5&gt;=$G10,N$5&lt;=$H10),"■","")</x:f>
        <x:v>■</x:v>
      </x:c>
      <x:c r="O10" s="36" t="str">
        <x:f>IF(AND(O$5&gt;=$G10,O$5&lt;=$H10),"■","")</x:f>
        <x:v>■</x:v>
      </x:c>
      <x:c r="P10" s="36" t="str">
        <x:f>IF(AND(P$5&gt;=$G10,P$5&lt;=$H10),"■","")</x:f>
        <x:v>■</x:v>
      </x:c>
      <x:c r="Q10" s="36" t="str">
        <x:f>IF(AND(Q$5&gt;=$G10,Q$5&lt;=$H10),"■","")</x:f>
        <x:v>■</x:v>
      </x:c>
      <x:c r="R10" s="36" t="str">
        <x:f>IF(AND(R$5&gt;=$G10,R$5&lt;=$H10),"■","")</x:f>
        <x:v>■</x:v>
      </x:c>
      <x:c r="S10" s="36" t="str">
        <x:f>IF(AND(S$5&gt;=$G10,S$5&lt;=$H10),"■","")</x:f>
        <x:v>■</x:v>
      </x:c>
      <x:c r="T10" s="36" t="str">
        <x:f>IF(AND(T$5&gt;=$G10,T$5&lt;=$H10),"■","")</x:f>
        <x:v>■</x:v>
      </x:c>
      <x:c r="U10" s="36" t="str">
        <x:f>IF(AND(U$5&gt;=$G10,U$5&lt;=$H10),"■","")</x:f>
      </x:c>
      <x:c r="V10" s="36" t="str">
        <x:f>IF(AND(V$5&gt;=$G10,V$5&lt;=$H10),"■","")</x:f>
      </x:c>
      <x:c r="W10" s="36" t="str">
        <x:f>IF(AND(W$5&gt;=$G10,W$5&lt;=$H10),"■","")</x:f>
      </x:c>
      <x:c r="X10" s="36" t="str">
        <x:f>IF(AND(X$5&gt;=$G10,X$5&lt;=$H10),"■","")</x:f>
      </x:c>
      <x:c r="Y10" s="36" t="str">
        <x:f>IF(AND(Y$5&gt;=$G10,Y$5&lt;=$H10),"■","")</x:f>
      </x:c>
      <x:c r="Z10" s="36" t="str">
        <x:f>IF(AND(Z$5&gt;=$G10,Z$5&lt;=$H10),"■","")</x:f>
      </x:c>
      <x:c r="AA10" s="36" t="str">
        <x:f>IF(AND(AA$5&gt;=$G10,AA$5&lt;=$H10),"■","")</x:f>
      </x:c>
      <x:c r="AB10" s="36" t="str">
        <x:f>IF(AND(AB$5&gt;=$G10,AB$5&lt;=$H10),"■","")</x:f>
      </x:c>
      <x:c r="AC10" s="36" t="str">
        <x:f>IF(AND(AC$5&gt;=$G10,AC$5&lt;=$H10),"■","")</x:f>
      </x:c>
      <x:c r="AD10" s="36" t="str">
        <x:f>IF(AND(AD$5&gt;=$G10,AD$5&lt;=$H10),"■","")</x:f>
      </x:c>
      <x:c r="AE10" s="36" t="str">
        <x:f>IF(AND(AE$5&gt;=$G10,AE$5&lt;=$H10),"■","")</x:f>
      </x:c>
      <x:c r="AF10" s="36" t="str">
        <x:f>IF(AND(AF$5&gt;=$G10,AF$5&lt;=$H10),"■","")</x:f>
      </x:c>
      <x:c r="AG10" s="36" t="str">
        <x:f>IF(AND(AG$5&gt;=$G10,AG$5&lt;=$H10),"■","")</x:f>
      </x:c>
      <x:c r="AH10" s="36" t="str">
        <x:f>IF(AND(AH$5&gt;=$G10,AH$5&lt;=$H10),"■","")</x:f>
      </x:c>
      <x:c r="AI10" s="36" t="str">
        <x:f>IF(AND(AI$5&gt;=$G10,AI$5&lt;=$H10),"■","")</x:f>
      </x:c>
      <x:c r="AJ10" s="36" t="str">
        <x:f>IF(AND(AJ$5&gt;=$G10,AJ$5&lt;=$H10),"■","")</x:f>
      </x:c>
      <x:c r="AK10" s="36" t="str">
        <x:f>IF(AND(AK$5&gt;=$G10,AK$5&lt;=$H10),"■","")</x:f>
      </x:c>
      <x:c r="AL10" s="36" t="str">
        <x:f>IF(AND(AL$5&gt;=$G10,AL$5&lt;=$H10),"■","")</x:f>
      </x:c>
      <x:c r="AM10" s="36" t="str">
        <x:f>IF(AND(AM$5&gt;=$G10,AM$5&lt;=$H10),"■","")</x:f>
      </x:c>
      <x:c r="AN10" s="36" t="str">
        <x:f>IF(AND(AN$5&gt;=$G10,AN$5&lt;=$H10),"■","")</x:f>
      </x:c>
      <x:c r="AO10" s="36" t="str">
        <x:f>IF(AND(AO$5&gt;=$G10,AO$5&lt;=$H10),"■","")</x:f>
      </x:c>
      <x:c r="AP10" s="36" t="str">
        <x:f>IF(AND(AP$5&gt;=$G10,AP$5&lt;=$H10),"■","")</x:f>
      </x:c>
      <x:c r="AQ10" s="36" t="str">
        <x:f>IF(AND(AQ$5&gt;=$G10,AQ$5&lt;=$H10),"■","")</x:f>
      </x:c>
      <x:c r="AR10" s="36" t="str">
        <x:f>IF(AND(AR$5&gt;=$G10,AR$5&lt;=$H10),"■","")</x:f>
      </x:c>
      <x:c r="AS10" s="36" t="str">
        <x:f>IF(AND(AS$5&gt;=$G10,AS$5&lt;=$H10),"■","")</x:f>
      </x:c>
      <x:c r="AT10" s="36" t="str">
        <x:f>IF(AND(AT$5&gt;=$G10,AT$5&lt;=$H10),"■","")</x:f>
      </x:c>
      <x:c r="AU10" s="36" t="str">
        <x:f>IF(AND(AU$5&gt;=$G10,AU$5&lt;=$H10),"■","")</x:f>
      </x:c>
      <x:c r="AV10" s="36" t="str">
        <x:f>IF(AND(AV$5&gt;=$G10,AV$5&lt;=$H10),"■","")</x:f>
      </x:c>
    </x:row>
    <x:row r="11" ht="31" customHeight="1">
      <x:c r="A11" s="37" t="str">
        <x:v>기획 및 설계</x:v>
      </x:c>
      <x:c r="B11" s="37" t="str">
        <x:v>1.6</x:v>
      </x:c>
      <x:c r="C11" s="38" t="str">
        <x:v>화면설계서 작성·제출(후속 동기화 보류)</x:v>
      </x:c>
      <x:c r="D11" s="38" t="str">
        <x:v>화면설계서</x:v>
      </x:c>
      <x:c r="E11" s="37" t="str">
        <x:v>송민지</x:v>
      </x:c>
      <x:c r="F11" s="37" t="str">
        <x:v>진행</x:v>
      </x:c>
      <x:c r="G11" s="39" t="n">
        <x:v>46216.5</x:v>
      </x:c>
      <x:c r="H11" s="39" t="n">
        <x:v>46227.5</x:v>
      </x:c>
      <x:c r="I11" s="39" t="n">
        <x:v>46227.5</x:v>
      </x:c>
      <x:c r="J11" s="40" t="n">
        <x:f>IF(F11="완료",100%,IF(F11="검토",90%,IF(F11="진행",60%,IF(F11="진행중",60%,IF(F11="차단",25%,0%)))))</x:f>
        <x:v>0.6</x:v>
      </x:c>
      <x:c r="K11" s="36" t="str">
        <x:f>IF(AND(K$5&gt;=$G11,K$5&lt;=$H11),"■","")</x:f>
      </x:c>
      <x:c r="L11" s="36" t="str">
        <x:f>IF(AND(L$5&gt;=$G11,L$5&lt;=$H11),"■","")</x:f>
        <x:v>■</x:v>
      </x:c>
      <x:c r="M11" s="36" t="str">
        <x:f>IF(AND(M$5&gt;=$G11,M$5&lt;=$H11),"■","")</x:f>
        <x:v>■</x:v>
      </x:c>
      <x:c r="N11" s="36" t="str">
        <x:f>IF(AND(N$5&gt;=$G11,N$5&lt;=$H11),"■","")</x:f>
        <x:v>■</x:v>
      </x:c>
      <x:c r="O11" s="36" t="str">
        <x:f>IF(AND(O$5&gt;=$G11,O$5&lt;=$H11),"■","")</x:f>
        <x:v>■</x:v>
      </x:c>
      <x:c r="P11" s="36" t="str">
        <x:f>IF(AND(P$5&gt;=$G11,P$5&lt;=$H11),"■","")</x:f>
        <x:v>■</x:v>
      </x:c>
      <x:c r="Q11" s="36" t="str">
        <x:f>IF(AND(Q$5&gt;=$G11,Q$5&lt;=$H11),"■","")</x:f>
        <x:v>■</x:v>
      </x:c>
      <x:c r="R11" s="36" t="str">
        <x:f>IF(AND(R$5&gt;=$G11,R$5&lt;=$H11),"■","")</x:f>
        <x:v>■</x:v>
      </x:c>
      <x:c r="S11" s="36" t="str">
        <x:f>IF(AND(S$5&gt;=$G11,S$5&lt;=$H11),"■","")</x:f>
        <x:v>■</x:v>
      </x:c>
      <x:c r="T11" s="36" t="str">
        <x:f>IF(AND(T$5&gt;=$G11,T$5&lt;=$H11),"■","")</x:f>
        <x:v>■</x:v>
      </x:c>
      <x:c r="U11" s="36" t="str">
        <x:f>IF(AND(U$5&gt;=$G11,U$5&lt;=$H11),"■","")</x:f>
      </x:c>
      <x:c r="V11" s="36" t="str">
        <x:f>IF(AND(V$5&gt;=$G11,V$5&lt;=$H11),"■","")</x:f>
      </x:c>
      <x:c r="W11" s="36" t="str">
        <x:f>IF(AND(W$5&gt;=$G11,W$5&lt;=$H11),"■","")</x:f>
      </x:c>
      <x:c r="X11" s="36" t="str">
        <x:f>IF(AND(X$5&gt;=$G11,X$5&lt;=$H11),"■","")</x:f>
      </x:c>
      <x:c r="Y11" s="36" t="str">
        <x:f>IF(AND(Y$5&gt;=$G11,Y$5&lt;=$H11),"■","")</x:f>
      </x:c>
      <x:c r="Z11" s="36" t="str">
        <x:f>IF(AND(Z$5&gt;=$G11,Z$5&lt;=$H11),"■","")</x:f>
      </x:c>
      <x:c r="AA11" s="36" t="str">
        <x:f>IF(AND(AA$5&gt;=$G11,AA$5&lt;=$H11),"■","")</x:f>
      </x:c>
      <x:c r="AB11" s="36" t="str">
        <x:f>IF(AND(AB$5&gt;=$G11,AB$5&lt;=$H11),"■","")</x:f>
      </x:c>
      <x:c r="AC11" s="36" t="str">
        <x:f>IF(AND(AC$5&gt;=$G11,AC$5&lt;=$H11),"■","")</x:f>
      </x:c>
      <x:c r="AD11" s="36" t="str">
        <x:f>IF(AND(AD$5&gt;=$G11,AD$5&lt;=$H11),"■","")</x:f>
      </x:c>
      <x:c r="AE11" s="36" t="str">
        <x:f>IF(AND(AE$5&gt;=$G11,AE$5&lt;=$H11),"■","")</x:f>
      </x:c>
      <x:c r="AF11" s="36" t="str">
        <x:f>IF(AND(AF$5&gt;=$G11,AF$5&lt;=$H11),"■","")</x:f>
      </x:c>
      <x:c r="AG11" s="36" t="str">
        <x:f>IF(AND(AG$5&gt;=$G11,AG$5&lt;=$H11),"■","")</x:f>
      </x:c>
      <x:c r="AH11" s="36" t="str">
        <x:f>IF(AND(AH$5&gt;=$G11,AH$5&lt;=$H11),"■","")</x:f>
      </x:c>
      <x:c r="AI11" s="36" t="str">
        <x:f>IF(AND(AI$5&gt;=$G11,AI$5&lt;=$H11),"■","")</x:f>
      </x:c>
      <x:c r="AJ11" s="36" t="str">
        <x:f>IF(AND(AJ$5&gt;=$G11,AJ$5&lt;=$H11),"■","")</x:f>
      </x:c>
      <x:c r="AK11" s="36" t="str">
        <x:f>IF(AND(AK$5&gt;=$G11,AK$5&lt;=$H11),"■","")</x:f>
      </x:c>
      <x:c r="AL11" s="36" t="str">
        <x:f>IF(AND(AL$5&gt;=$G11,AL$5&lt;=$H11),"■","")</x:f>
      </x:c>
      <x:c r="AM11" s="36" t="str">
        <x:f>IF(AND(AM$5&gt;=$G11,AM$5&lt;=$H11),"■","")</x:f>
      </x:c>
      <x:c r="AN11" s="36" t="str">
        <x:f>IF(AND(AN$5&gt;=$G11,AN$5&lt;=$H11),"■","")</x:f>
      </x:c>
      <x:c r="AO11" s="36" t="str">
        <x:f>IF(AND(AO$5&gt;=$G11,AO$5&lt;=$H11),"■","")</x:f>
      </x:c>
      <x:c r="AP11" s="36" t="str">
        <x:f>IF(AND(AP$5&gt;=$G11,AP$5&lt;=$H11),"■","")</x:f>
      </x:c>
      <x:c r="AQ11" s="36" t="str">
        <x:f>IF(AND(AQ$5&gt;=$G11,AQ$5&lt;=$H11),"■","")</x:f>
      </x:c>
      <x:c r="AR11" s="36" t="str">
        <x:f>IF(AND(AR$5&gt;=$G11,AR$5&lt;=$H11),"■","")</x:f>
      </x:c>
      <x:c r="AS11" s="36" t="str">
        <x:f>IF(AND(AS$5&gt;=$G11,AS$5&lt;=$H11),"■","")</x:f>
      </x:c>
      <x:c r="AT11" s="36" t="str">
        <x:f>IF(AND(AT$5&gt;=$G11,AT$5&lt;=$H11),"■","")</x:f>
      </x:c>
      <x:c r="AU11" s="36" t="str">
        <x:f>IF(AND(AU$5&gt;=$G11,AU$5&lt;=$H11),"■","")</x:f>
      </x:c>
      <x:c r="AV11" s="36" t="str">
        <x:f>IF(AND(AV$5&gt;=$G11,AV$5&lt;=$H11),"■","")</x:f>
      </x:c>
    </x:row>
    <x:row r="12" ht="31" customHeight="1">
      <x:c r="A12" s="37" t="str">
        <x:v>기획 및 설계</x:v>
      </x:c>
      <x:c r="B12" s="37" t="str">
        <x:v>1.7</x:v>
      </x:c>
      <x:c r="C12" s="38" t="str">
        <x:v>데이터 항목·시간/grain·권한·8 intent(핵심 4종 P0 우선 E2E)·평가 분리·LLM 모델 최소 합의</x:v>
      </x:c>
      <x:c r="D12" s="38" t="str">
        <x:v>요구사항·연동 기준·백엔드 경계 합의 기록</x:v>
      </x:c>
      <x:c r="E12" s="37" t="str">
        <x:v>박준희·김재홍·정승·윤대성</x:v>
      </x:c>
      <x:c r="F12" s="37" t="str">
        <x:v>검토</x:v>
      </x:c>
      <x:c r="G12" s="39" t="n">
        <x:v>46230.5</x:v>
      </x:c>
      <x:c r="H12" s="39" t="n">
        <x:v>46231.5</x:v>
      </x:c>
      <x:c r="I12" s="39"/>
      <x:c r="J12" s="40" t="n">
        <x:f>IF(F12="완료",100%,IF(F12="검토",90%,IF(F12="진행",60%,IF(F12="진행중",60%,IF(F12="차단",25%,0%)))))</x:f>
        <x:v>0.9</x:v>
      </x:c>
      <x:c r="K12" s="36" t="str">
        <x:f>IF(AND(K$5&gt;=$G12,K$5&lt;=$H12),"■","")</x:f>
      </x:c>
      <x:c r="L12" s="36" t="str">
        <x:f>IF(AND(L$5&gt;=$G12,L$5&lt;=$H12),"■","")</x:f>
      </x:c>
      <x:c r="M12" s="36" t="str">
        <x:f>IF(AND(M$5&gt;=$G12,M$5&lt;=$H12),"■","")</x:f>
      </x:c>
      <x:c r="N12" s="36" t="str">
        <x:f>IF(AND(N$5&gt;=$G12,N$5&lt;=$H12),"■","")</x:f>
      </x:c>
      <x:c r="O12" s="36" t="str">
        <x:f>IF(AND(O$5&gt;=$G12,O$5&lt;=$H12),"■","")</x:f>
      </x:c>
      <x:c r="P12" s="36" t="str">
        <x:f>IF(AND(P$5&gt;=$G12,P$5&lt;=$H12),"■","")</x:f>
      </x:c>
      <x:c r="Q12" s="36" t="str">
        <x:f>IF(AND(Q$5&gt;=$G12,Q$5&lt;=$H12),"■","")</x:f>
      </x:c>
      <x:c r="R12" s="36" t="str">
        <x:f>IF(AND(R$5&gt;=$G12,R$5&lt;=$H12),"■","")</x:f>
      </x:c>
      <x:c r="S12" s="36" t="str">
        <x:f>IF(AND(S$5&gt;=$G12,S$5&lt;=$H12),"■","")</x:f>
      </x:c>
      <x:c r="T12" s="36" t="str">
        <x:f>IF(AND(T$5&gt;=$G12,T$5&lt;=$H12),"■","")</x:f>
      </x:c>
      <x:c r="U12" s="36" t="str">
        <x:f>IF(AND(U$5&gt;=$G12,U$5&lt;=$H12),"■","")</x:f>
        <x:v>■</x:v>
      </x:c>
      <x:c r="V12" s="36" t="str">
        <x:f>IF(AND(V$5&gt;=$G12,V$5&lt;=$H12),"■","")</x:f>
        <x:v>■</x:v>
      </x:c>
      <x:c r="W12" s="36" t="str">
        <x:f>IF(AND(W$5&gt;=$G12,W$5&lt;=$H12),"■","")</x:f>
      </x:c>
      <x:c r="X12" s="36" t="str">
        <x:f>IF(AND(X$5&gt;=$G12,X$5&lt;=$H12),"■","")</x:f>
      </x:c>
      <x:c r="Y12" s="36" t="str">
        <x:f>IF(AND(Y$5&gt;=$G12,Y$5&lt;=$H12),"■","")</x:f>
      </x:c>
      <x:c r="Z12" s="36" t="str">
        <x:f>IF(AND(Z$5&gt;=$G12,Z$5&lt;=$H12),"■","")</x:f>
      </x:c>
      <x:c r="AA12" s="36" t="str">
        <x:f>IF(AND(AA$5&gt;=$G12,AA$5&lt;=$H12),"■","")</x:f>
      </x:c>
      <x:c r="AB12" s="36" t="str">
        <x:f>IF(AND(AB$5&gt;=$G12,AB$5&lt;=$H12),"■","")</x:f>
      </x:c>
      <x:c r="AC12" s="36" t="str">
        <x:f>IF(AND(AC$5&gt;=$G12,AC$5&lt;=$H12),"■","")</x:f>
      </x:c>
      <x:c r="AD12" s="36" t="str">
        <x:f>IF(AND(AD$5&gt;=$G12,AD$5&lt;=$H12),"■","")</x:f>
      </x:c>
      <x:c r="AE12" s="36" t="str">
        <x:f>IF(AND(AE$5&gt;=$G12,AE$5&lt;=$H12),"■","")</x:f>
      </x:c>
      <x:c r="AF12" s="36" t="str">
        <x:f>IF(AND(AF$5&gt;=$G12,AF$5&lt;=$H12),"■","")</x:f>
      </x:c>
      <x:c r="AG12" s="36" t="str">
        <x:f>IF(AND(AG$5&gt;=$G12,AG$5&lt;=$H12),"■","")</x:f>
      </x:c>
      <x:c r="AH12" s="36" t="str">
        <x:f>IF(AND(AH$5&gt;=$G12,AH$5&lt;=$H12),"■","")</x:f>
      </x:c>
      <x:c r="AI12" s="36" t="str">
        <x:f>IF(AND(AI$5&gt;=$G12,AI$5&lt;=$H12),"■","")</x:f>
      </x:c>
      <x:c r="AJ12" s="36" t="str">
        <x:f>IF(AND(AJ$5&gt;=$G12,AJ$5&lt;=$H12),"■","")</x:f>
      </x:c>
      <x:c r="AK12" s="36" t="str">
        <x:f>IF(AND(AK$5&gt;=$G12,AK$5&lt;=$H12),"■","")</x:f>
      </x:c>
      <x:c r="AL12" s="36" t="str">
        <x:f>IF(AND(AL$5&gt;=$G12,AL$5&lt;=$H12),"■","")</x:f>
      </x:c>
      <x:c r="AM12" s="36" t="str">
        <x:f>IF(AND(AM$5&gt;=$G12,AM$5&lt;=$H12),"■","")</x:f>
      </x:c>
      <x:c r="AN12" s="36" t="str">
        <x:f>IF(AND(AN$5&gt;=$G12,AN$5&lt;=$H12),"■","")</x:f>
      </x:c>
      <x:c r="AO12" s="36" t="str">
        <x:f>IF(AND(AO$5&gt;=$G12,AO$5&lt;=$H12),"■","")</x:f>
      </x:c>
      <x:c r="AP12" s="36" t="str">
        <x:f>IF(AND(AP$5&gt;=$G12,AP$5&lt;=$H12),"■","")</x:f>
      </x:c>
      <x:c r="AQ12" s="36" t="str">
        <x:f>IF(AND(AQ$5&gt;=$G12,AQ$5&lt;=$H12),"■","")</x:f>
      </x:c>
      <x:c r="AR12" s="36" t="str">
        <x:f>IF(AND(AR$5&gt;=$G12,AR$5&lt;=$H12),"■","")</x:f>
      </x:c>
      <x:c r="AS12" s="36" t="str">
        <x:f>IF(AND(AS$5&gt;=$G12,AS$5&lt;=$H12),"■","")</x:f>
      </x:c>
      <x:c r="AT12" s="36" t="str">
        <x:f>IF(AND(AT$5&gt;=$G12,AT$5&lt;=$H12),"■","")</x:f>
      </x:c>
      <x:c r="AU12" s="36" t="str">
        <x:f>IF(AND(AU$5&gt;=$G12,AU$5&lt;=$H12),"■","")</x:f>
      </x:c>
      <x:c r="AV12" s="36" t="str">
        <x:f>IF(AND(AV$5&gt;=$G12,AV$5&lt;=$H12),"■","")</x:f>
      </x:c>
    </x:row>
    <x:row r="13" ht="31" customHeight="1">
      <x:c r="A13" s="37" t="str">
        <x:v>데이터 수집·전처리·DB</x:v>
      </x:c>
      <x:c r="B13" s="37" t="str">
        <x:v>2.1</x:v>
      </x:c>
      <x:c r="C13" s="38" t="str">
        <x:v>합성 VOC schema·label·template 설계안</x:v>
      </x:c>
      <x:c r="D13" s="38" t="str">
        <x:v>합성 VOC 생성 기준안</x:v>
      </x:c>
      <x:c r="E13" s="37" t="str">
        <x:v>정승·윤대성</x:v>
      </x:c>
      <x:c r="F13" s="37" t="str">
        <x:v>대기</x:v>
      </x:c>
      <x:c r="G13" s="39" t="n">
        <x:v>46224.5</x:v>
      </x:c>
      <x:c r="H13" s="39" t="n">
        <x:v>46227.5</x:v>
      </x:c>
      <x:c r="I13" s="39"/>
      <x:c r="J13" s="40" t="n">
        <x:f>IF(F13="완료",100%,IF(F13="검토",90%,IF(F13="진행",60%,IF(F13="진행중",60%,IF(F13="차단",25%,0%)))))</x:f>
        <x:v>0</x:v>
      </x:c>
      <x:c r="K13" s="36" t="str">
        <x:f>IF(AND(K$5&gt;=$G13,K$5&lt;=$H13),"■","")</x:f>
      </x:c>
      <x:c r="L13" s="36" t="str">
        <x:f>IF(AND(L$5&gt;=$G13,L$5&lt;=$H13),"■","")</x:f>
      </x:c>
      <x:c r="M13" s="36" t="str">
        <x:f>IF(AND(M$5&gt;=$G13,M$5&lt;=$H13),"■","")</x:f>
      </x:c>
      <x:c r="N13" s="36" t="str">
        <x:f>IF(AND(N$5&gt;=$G13,N$5&lt;=$H13),"■","")</x:f>
      </x:c>
      <x:c r="O13" s="36" t="str">
        <x:f>IF(AND(O$5&gt;=$G13,O$5&lt;=$H13),"■","")</x:f>
      </x:c>
      <x:c r="P13" s="36" t="str">
        <x:f>IF(AND(P$5&gt;=$G13,P$5&lt;=$H13),"■","")</x:f>
      </x:c>
      <x:c r="Q13" s="36" t="str">
        <x:f>IF(AND(Q$5&gt;=$G13,Q$5&lt;=$H13),"■","")</x:f>
        <x:v>■</x:v>
      </x:c>
      <x:c r="R13" s="36" t="str">
        <x:f>IF(AND(R$5&gt;=$G13,R$5&lt;=$H13),"■","")</x:f>
        <x:v>■</x:v>
      </x:c>
      <x:c r="S13" s="36" t="str">
        <x:f>IF(AND(S$5&gt;=$G13,S$5&lt;=$H13),"■","")</x:f>
        <x:v>■</x:v>
      </x:c>
      <x:c r="T13" s="36" t="str">
        <x:f>IF(AND(T$5&gt;=$G13,T$5&lt;=$H13),"■","")</x:f>
        <x:v>■</x:v>
      </x:c>
      <x:c r="U13" s="36" t="str">
        <x:f>IF(AND(U$5&gt;=$G13,U$5&lt;=$H13),"■","")</x:f>
      </x:c>
      <x:c r="V13" s="36" t="str">
        <x:f>IF(AND(V$5&gt;=$G13,V$5&lt;=$H13),"■","")</x:f>
      </x:c>
      <x:c r="W13" s="36" t="str">
        <x:f>IF(AND(W$5&gt;=$G13,W$5&lt;=$H13),"■","")</x:f>
      </x:c>
      <x:c r="X13" s="36" t="str">
        <x:f>IF(AND(X$5&gt;=$G13,X$5&lt;=$H13),"■","")</x:f>
      </x:c>
      <x:c r="Y13" s="36" t="str">
        <x:f>IF(AND(Y$5&gt;=$G13,Y$5&lt;=$H13),"■","")</x:f>
      </x:c>
      <x:c r="Z13" s="36" t="str">
        <x:f>IF(AND(Z$5&gt;=$G13,Z$5&lt;=$H13),"■","")</x:f>
      </x:c>
      <x:c r="AA13" s="36" t="str">
        <x:f>IF(AND(AA$5&gt;=$G13,AA$5&lt;=$H13),"■","")</x:f>
      </x:c>
      <x:c r="AB13" s="36" t="str">
        <x:f>IF(AND(AB$5&gt;=$G13,AB$5&lt;=$H13),"■","")</x:f>
      </x:c>
      <x:c r="AC13" s="36" t="str">
        <x:f>IF(AND(AC$5&gt;=$G13,AC$5&lt;=$H13),"■","")</x:f>
      </x:c>
      <x:c r="AD13" s="36" t="str">
        <x:f>IF(AND(AD$5&gt;=$G13,AD$5&lt;=$H13),"■","")</x:f>
      </x:c>
      <x:c r="AE13" s="36" t="str">
        <x:f>IF(AND(AE$5&gt;=$G13,AE$5&lt;=$H13),"■","")</x:f>
      </x:c>
      <x:c r="AF13" s="36" t="str">
        <x:f>IF(AND(AF$5&gt;=$G13,AF$5&lt;=$H13),"■","")</x:f>
      </x:c>
      <x:c r="AG13" s="36" t="str">
        <x:f>IF(AND(AG$5&gt;=$G13,AG$5&lt;=$H13),"■","")</x:f>
      </x:c>
      <x:c r="AH13" s="36" t="str">
        <x:f>IF(AND(AH$5&gt;=$G13,AH$5&lt;=$H13),"■","")</x:f>
      </x:c>
      <x:c r="AI13" s="36" t="str">
        <x:f>IF(AND(AI$5&gt;=$G13,AI$5&lt;=$H13),"■","")</x:f>
      </x:c>
      <x:c r="AJ13" s="36" t="str">
        <x:f>IF(AND(AJ$5&gt;=$G13,AJ$5&lt;=$H13),"■","")</x:f>
      </x:c>
      <x:c r="AK13" s="36" t="str">
        <x:f>IF(AND(AK$5&gt;=$G13,AK$5&lt;=$H13),"■","")</x:f>
      </x:c>
      <x:c r="AL13" s="36" t="str">
        <x:f>IF(AND(AL$5&gt;=$G13,AL$5&lt;=$H13),"■","")</x:f>
      </x:c>
      <x:c r="AM13" s="36" t="str">
        <x:f>IF(AND(AM$5&gt;=$G13,AM$5&lt;=$H13),"■","")</x:f>
      </x:c>
      <x:c r="AN13" s="36" t="str">
        <x:f>IF(AND(AN$5&gt;=$G13,AN$5&lt;=$H13),"■","")</x:f>
      </x:c>
      <x:c r="AO13" s="36" t="str">
        <x:f>IF(AND(AO$5&gt;=$G13,AO$5&lt;=$H13),"■","")</x:f>
      </x:c>
      <x:c r="AP13" s="36" t="str">
        <x:f>IF(AND(AP$5&gt;=$G13,AP$5&lt;=$H13),"■","")</x:f>
      </x:c>
      <x:c r="AQ13" s="36" t="str">
        <x:f>IF(AND(AQ$5&gt;=$G13,AQ$5&lt;=$H13),"■","")</x:f>
      </x:c>
      <x:c r="AR13" s="36" t="str">
        <x:f>IF(AND(AR$5&gt;=$G13,AR$5&lt;=$H13),"■","")</x:f>
      </x:c>
      <x:c r="AS13" s="36" t="str">
        <x:f>IF(AND(AS$5&gt;=$G13,AS$5&lt;=$H13),"■","")</x:f>
      </x:c>
      <x:c r="AT13" s="36" t="str">
        <x:f>IF(AND(AT$5&gt;=$G13,AT$5&lt;=$H13),"■","")</x:f>
      </x:c>
      <x:c r="AU13" s="36" t="str">
        <x:f>IF(AND(AU$5&gt;=$G13,AU$5&lt;=$H13),"■","")</x:f>
      </x:c>
      <x:c r="AV13" s="36" t="str">
        <x:f>IF(AND(AV$5&gt;=$G13,AV$5&lt;=$H13),"■","")</x:f>
      </x:c>
    </x:row>
    <x:row r="14" ht="31" customHeight="1">
      <x:c r="A14" s="37" t="str">
        <x:v>데이터 수집·전처리·DB</x:v>
      </x:c>
      <x:c r="B14" s="37" t="str">
        <x:v>2.2</x:v>
      </x:c>
      <x:c r="C14" s="38" t="str">
        <x:v>규칙 label+승인 모델 문장 다양화 합성 VOC v0 생성</x:v>
      </x:c>
      <x:c r="D14" s="38" t="str">
        <x:v>합성 VOC</x:v>
      </x:c>
      <x:c r="E14" s="37" t="str">
        <x:v>정승</x:v>
      </x:c>
      <x:c r="F14" s="37" t="str">
        <x:v>대기</x:v>
      </x:c>
      <x:c r="G14" s="39" t="n">
        <x:v>46232.5</x:v>
      </x:c>
      <x:c r="H14" s="39" t="n">
        <x:v>46232.5</x:v>
      </x:c>
      <x:c r="I14" s="39"/>
      <x:c r="J14" s="40" t="n">
        <x:f>IF(F14="완료",100%,IF(F14="검토",90%,IF(F14="진행",60%,IF(F14="진행중",60%,IF(F14="차단",25%,0%)))))</x:f>
        <x:v>0</x:v>
      </x:c>
      <x:c r="K14" s="36" t="str">
        <x:f>IF(AND(K$5&gt;=$G14,K$5&lt;=$H14),"■","")</x:f>
      </x:c>
      <x:c r="L14" s="36" t="str">
        <x:f>IF(AND(L$5&gt;=$G14,L$5&lt;=$H14),"■","")</x:f>
      </x:c>
      <x:c r="M14" s="36" t="str">
        <x:f>IF(AND(M$5&gt;=$G14,M$5&lt;=$H14),"■","")</x:f>
      </x:c>
      <x:c r="N14" s="36" t="str">
        <x:f>IF(AND(N$5&gt;=$G14,N$5&lt;=$H14),"■","")</x:f>
      </x:c>
      <x:c r="O14" s="36" t="str">
        <x:f>IF(AND(O$5&gt;=$G14,O$5&lt;=$H14),"■","")</x:f>
      </x:c>
      <x:c r="P14" s="36" t="str">
        <x:f>IF(AND(P$5&gt;=$G14,P$5&lt;=$H14),"■","")</x:f>
      </x:c>
      <x:c r="Q14" s="36" t="str">
        <x:f>IF(AND(Q$5&gt;=$G14,Q$5&lt;=$H14),"■","")</x:f>
      </x:c>
      <x:c r="R14" s="36" t="str">
        <x:f>IF(AND(R$5&gt;=$G14,R$5&lt;=$H14),"■","")</x:f>
      </x:c>
      <x:c r="S14" s="36" t="str">
        <x:f>IF(AND(S$5&gt;=$G14,S$5&lt;=$H14),"■","")</x:f>
      </x:c>
      <x:c r="T14" s="36" t="str">
        <x:f>IF(AND(T$5&gt;=$G14,T$5&lt;=$H14),"■","")</x:f>
      </x:c>
      <x:c r="U14" s="36" t="str">
        <x:f>IF(AND(U$5&gt;=$G14,U$5&lt;=$H14),"■","")</x:f>
      </x:c>
      <x:c r="V14" s="36" t="str">
        <x:f>IF(AND(V$5&gt;=$G14,V$5&lt;=$H14),"■","")</x:f>
      </x:c>
      <x:c r="W14" s="36" t="str">
        <x:f>IF(AND(W$5&gt;=$G14,W$5&lt;=$H14),"■","")</x:f>
        <x:v>■</x:v>
      </x:c>
      <x:c r="X14" s="36" t="str">
        <x:f>IF(AND(X$5&gt;=$G14,X$5&lt;=$H14),"■","")</x:f>
      </x:c>
      <x:c r="Y14" s="36" t="str">
        <x:f>IF(AND(Y$5&gt;=$G14,Y$5&lt;=$H14),"■","")</x:f>
      </x:c>
      <x:c r="Z14" s="36" t="str">
        <x:f>IF(AND(Z$5&gt;=$G14,Z$5&lt;=$H14),"■","")</x:f>
      </x:c>
      <x:c r="AA14" s="36" t="str">
        <x:f>IF(AND(AA$5&gt;=$G14,AA$5&lt;=$H14),"■","")</x:f>
      </x:c>
      <x:c r="AB14" s="36" t="str">
        <x:f>IF(AND(AB$5&gt;=$G14,AB$5&lt;=$H14),"■","")</x:f>
      </x:c>
      <x:c r="AC14" s="36" t="str">
        <x:f>IF(AND(AC$5&gt;=$G14,AC$5&lt;=$H14),"■","")</x:f>
      </x:c>
      <x:c r="AD14" s="36" t="str">
        <x:f>IF(AND(AD$5&gt;=$G14,AD$5&lt;=$H14),"■","")</x:f>
      </x:c>
      <x:c r="AE14" s="36" t="str">
        <x:f>IF(AND(AE$5&gt;=$G14,AE$5&lt;=$H14),"■","")</x:f>
      </x:c>
      <x:c r="AF14" s="36" t="str">
        <x:f>IF(AND(AF$5&gt;=$G14,AF$5&lt;=$H14),"■","")</x:f>
      </x:c>
      <x:c r="AG14" s="36" t="str">
        <x:f>IF(AND(AG$5&gt;=$G14,AG$5&lt;=$H14),"■","")</x:f>
      </x:c>
      <x:c r="AH14" s="36" t="str">
        <x:f>IF(AND(AH$5&gt;=$G14,AH$5&lt;=$H14),"■","")</x:f>
      </x:c>
      <x:c r="AI14" s="36" t="str">
        <x:f>IF(AND(AI$5&gt;=$G14,AI$5&lt;=$H14),"■","")</x:f>
      </x:c>
      <x:c r="AJ14" s="36" t="str">
        <x:f>IF(AND(AJ$5&gt;=$G14,AJ$5&lt;=$H14),"■","")</x:f>
      </x:c>
      <x:c r="AK14" s="36" t="str">
        <x:f>IF(AND(AK$5&gt;=$G14,AK$5&lt;=$H14),"■","")</x:f>
      </x:c>
      <x:c r="AL14" s="36" t="str">
        <x:f>IF(AND(AL$5&gt;=$G14,AL$5&lt;=$H14),"■","")</x:f>
      </x:c>
      <x:c r="AM14" s="36" t="str">
        <x:f>IF(AND(AM$5&gt;=$G14,AM$5&lt;=$H14),"■","")</x:f>
      </x:c>
      <x:c r="AN14" s="36" t="str">
        <x:f>IF(AND(AN$5&gt;=$G14,AN$5&lt;=$H14),"■","")</x:f>
      </x:c>
      <x:c r="AO14" s="36" t="str">
        <x:f>IF(AND(AO$5&gt;=$G14,AO$5&lt;=$H14),"■","")</x:f>
      </x:c>
      <x:c r="AP14" s="36" t="str">
        <x:f>IF(AND(AP$5&gt;=$G14,AP$5&lt;=$H14),"■","")</x:f>
      </x:c>
      <x:c r="AQ14" s="36" t="str">
        <x:f>IF(AND(AQ$5&gt;=$G14,AQ$5&lt;=$H14),"■","")</x:f>
      </x:c>
      <x:c r="AR14" s="36" t="str">
        <x:f>IF(AND(AR$5&gt;=$G14,AR$5&lt;=$H14),"■","")</x:f>
      </x:c>
      <x:c r="AS14" s="36" t="str">
        <x:f>IF(AND(AS$5&gt;=$G14,AS$5&lt;=$H14),"■","")</x:f>
      </x:c>
      <x:c r="AT14" s="36" t="str">
        <x:f>IF(AND(AT$5&gt;=$G14,AT$5&lt;=$H14),"■","")</x:f>
      </x:c>
      <x:c r="AU14" s="36" t="str">
        <x:f>IF(AND(AU$5&gt;=$G14,AU$5&lt;=$H14),"■","")</x:f>
      </x:c>
      <x:c r="AV14" s="36" t="str">
        <x:f>IF(AND(AV$5&gt;=$G14,AV$5&lt;=$H14),"■","")</x:f>
      </x:c>
    </x:row>
    <x:row r="15" ht="31" customHeight="1">
      <x:c r="A15" s="37" t="str">
        <x:v>데이터 수집·전처리·DB</x:v>
      </x:c>
      <x:c r="B15" s="37" t="str">
        <x:v>2.3</x:v>
      </x:c>
      <x:c r="C15" s="38" t="str">
        <x:v>객실·조식·인력 합성 운영 데이터 v0 생성</x:v>
      </x:c>
      <x:c r="D15" s="38" t="str">
        <x:v>합성 운영 데이터</x:v>
      </x:c>
      <x:c r="E15" s="37" t="str">
        <x:v>정승</x:v>
      </x:c>
      <x:c r="F15" s="37" t="str">
        <x:v>대기</x:v>
      </x:c>
      <x:c r="G15" s="39" t="n">
        <x:v>46232.5</x:v>
      </x:c>
      <x:c r="H15" s="39" t="n">
        <x:v>46232.5</x:v>
      </x:c>
      <x:c r="I15" s="39"/>
      <x:c r="J15" s="40" t="n">
        <x:f>IF(F15="완료",100%,IF(F15="검토",90%,IF(F15="진행",60%,IF(F15="진행중",60%,IF(F15="차단",25%,0%)))))</x:f>
        <x:v>0</x:v>
      </x:c>
      <x:c r="K15" s="36" t="str">
        <x:f>IF(AND(K$5&gt;=$G15,K$5&lt;=$H15),"■","")</x:f>
      </x:c>
      <x:c r="L15" s="36" t="str">
        <x:f>IF(AND(L$5&gt;=$G15,L$5&lt;=$H15),"■","")</x:f>
      </x:c>
      <x:c r="M15" s="36" t="str">
        <x:f>IF(AND(M$5&gt;=$G15,M$5&lt;=$H15),"■","")</x:f>
      </x:c>
      <x:c r="N15" s="36" t="str">
        <x:f>IF(AND(N$5&gt;=$G15,N$5&lt;=$H15),"■","")</x:f>
      </x:c>
      <x:c r="O15" s="36" t="str">
        <x:f>IF(AND(O$5&gt;=$G15,O$5&lt;=$H15),"■","")</x:f>
      </x:c>
      <x:c r="P15" s="36" t="str">
        <x:f>IF(AND(P$5&gt;=$G15,P$5&lt;=$H15),"■","")</x:f>
      </x:c>
      <x:c r="Q15" s="36" t="str">
        <x:f>IF(AND(Q$5&gt;=$G15,Q$5&lt;=$H15),"■","")</x:f>
      </x:c>
      <x:c r="R15" s="36" t="str">
        <x:f>IF(AND(R$5&gt;=$G15,R$5&lt;=$H15),"■","")</x:f>
      </x:c>
      <x:c r="S15" s="36" t="str">
        <x:f>IF(AND(S$5&gt;=$G15,S$5&lt;=$H15),"■","")</x:f>
      </x:c>
      <x:c r="T15" s="36" t="str">
        <x:f>IF(AND(T$5&gt;=$G15,T$5&lt;=$H15),"■","")</x:f>
      </x:c>
      <x:c r="U15" s="36" t="str">
        <x:f>IF(AND(U$5&gt;=$G15,U$5&lt;=$H15),"■","")</x:f>
      </x:c>
      <x:c r="V15" s="36" t="str">
        <x:f>IF(AND(V$5&gt;=$G15,V$5&lt;=$H15),"■","")</x:f>
      </x:c>
      <x:c r="W15" s="36" t="str">
        <x:f>IF(AND(W$5&gt;=$G15,W$5&lt;=$H15),"■","")</x:f>
        <x:v>■</x:v>
      </x:c>
      <x:c r="X15" s="36" t="str">
        <x:f>IF(AND(X$5&gt;=$G15,X$5&lt;=$H15),"■","")</x:f>
      </x:c>
      <x:c r="Y15" s="36" t="str">
        <x:f>IF(AND(Y$5&gt;=$G15,Y$5&lt;=$H15),"■","")</x:f>
      </x:c>
      <x:c r="Z15" s="36" t="str">
        <x:f>IF(AND(Z$5&gt;=$G15,Z$5&lt;=$H15),"■","")</x:f>
      </x:c>
      <x:c r="AA15" s="36" t="str">
        <x:f>IF(AND(AA$5&gt;=$G15,AA$5&lt;=$H15),"■","")</x:f>
      </x:c>
      <x:c r="AB15" s="36" t="str">
        <x:f>IF(AND(AB$5&gt;=$G15,AB$5&lt;=$H15),"■","")</x:f>
      </x:c>
      <x:c r="AC15" s="36" t="str">
        <x:f>IF(AND(AC$5&gt;=$G15,AC$5&lt;=$H15),"■","")</x:f>
      </x:c>
      <x:c r="AD15" s="36" t="str">
        <x:f>IF(AND(AD$5&gt;=$G15,AD$5&lt;=$H15),"■","")</x:f>
      </x:c>
      <x:c r="AE15" s="36" t="str">
        <x:f>IF(AND(AE$5&gt;=$G15,AE$5&lt;=$H15),"■","")</x:f>
      </x:c>
      <x:c r="AF15" s="36" t="str">
        <x:f>IF(AND(AF$5&gt;=$G15,AF$5&lt;=$H15),"■","")</x:f>
      </x:c>
      <x:c r="AG15" s="36" t="str">
        <x:f>IF(AND(AG$5&gt;=$G15,AG$5&lt;=$H15),"■","")</x:f>
      </x:c>
      <x:c r="AH15" s="36" t="str">
        <x:f>IF(AND(AH$5&gt;=$G15,AH$5&lt;=$H15),"■","")</x:f>
      </x:c>
      <x:c r="AI15" s="36" t="str">
        <x:f>IF(AND(AI$5&gt;=$G15,AI$5&lt;=$H15),"■","")</x:f>
      </x:c>
      <x:c r="AJ15" s="36" t="str">
        <x:f>IF(AND(AJ$5&gt;=$G15,AJ$5&lt;=$H15),"■","")</x:f>
      </x:c>
      <x:c r="AK15" s="36" t="str">
        <x:f>IF(AND(AK$5&gt;=$G15,AK$5&lt;=$H15),"■","")</x:f>
      </x:c>
      <x:c r="AL15" s="36" t="str">
        <x:f>IF(AND(AL$5&gt;=$G15,AL$5&lt;=$H15),"■","")</x:f>
      </x:c>
      <x:c r="AM15" s="36" t="str">
        <x:f>IF(AND(AM$5&gt;=$G15,AM$5&lt;=$H15),"■","")</x:f>
      </x:c>
      <x:c r="AN15" s="36" t="str">
        <x:f>IF(AND(AN$5&gt;=$G15,AN$5&lt;=$H15),"■","")</x:f>
      </x:c>
      <x:c r="AO15" s="36" t="str">
        <x:f>IF(AND(AO$5&gt;=$G15,AO$5&lt;=$H15),"■","")</x:f>
      </x:c>
      <x:c r="AP15" s="36" t="str">
        <x:f>IF(AND(AP$5&gt;=$G15,AP$5&lt;=$H15),"■","")</x:f>
      </x:c>
      <x:c r="AQ15" s="36" t="str">
        <x:f>IF(AND(AQ$5&gt;=$G15,AQ$5&lt;=$H15),"■","")</x:f>
      </x:c>
      <x:c r="AR15" s="36" t="str">
        <x:f>IF(AND(AR$5&gt;=$G15,AR$5&lt;=$H15),"■","")</x:f>
      </x:c>
      <x:c r="AS15" s="36" t="str">
        <x:f>IF(AND(AS$5&gt;=$G15,AS$5&lt;=$H15),"■","")</x:f>
      </x:c>
      <x:c r="AT15" s="36" t="str">
        <x:f>IF(AND(AT$5&gt;=$G15,AT$5&lt;=$H15),"■","")</x:f>
      </x:c>
      <x:c r="AU15" s="36" t="str">
        <x:f>IF(AND(AU$5&gt;=$G15,AU$5&lt;=$H15),"■","")</x:f>
      </x:c>
      <x:c r="AV15" s="36" t="str">
        <x:f>IF(AND(AV$5&gt;=$G15,AV$5&lt;=$H15),"■","")</x:f>
      </x:c>
    </x:row>
    <x:row r="16" ht="31" customHeight="1">
      <x:c r="A16" s="37" t="str">
        <x:v>데이터 수집·전처리·DB</x:v>
      </x:c>
      <x:c r="B16" s="37" t="str">
        <x:v>2.4</x:v>
      </x:c>
      <x:c r="C16" s="38" t="str">
        <x:v>수집 데이터 현황·출처·품질 문서화</x:v>
      </x:c>
      <x:c r="D16" s="38" t="str">
        <x:v>수집 데이터 보고서</x:v>
      </x:c>
      <x:c r="E16" s="37" t="str">
        <x:v>정승</x:v>
      </x:c>
      <x:c r="F16" s="37" t="str">
        <x:v>대기</x:v>
      </x:c>
      <x:c r="G16" s="39" t="n">
        <x:v>46223.5</x:v>
      </x:c>
      <x:c r="H16" s="39" t="n">
        <x:v>46227.5</x:v>
      </x:c>
      <x:c r="I16" s="39" t="n">
        <x:v>46227.5</x:v>
      </x:c>
      <x:c r="J16" s="40" t="n">
        <x:f>IF(F16="완료",100%,IF(F16="검토",90%,IF(F16="진행",60%,IF(F16="진행중",60%,IF(F16="차단",25%,0%)))))</x:f>
        <x:v>0</x:v>
      </x:c>
      <x:c r="K16" s="36" t="str">
        <x:f>IF(AND(K$5&gt;=$G16,K$5&lt;=$H16),"■","")</x:f>
      </x:c>
      <x:c r="L16" s="36" t="str">
        <x:f>IF(AND(L$5&gt;=$G16,L$5&lt;=$H16),"■","")</x:f>
      </x:c>
      <x:c r="M16" s="36" t="str">
        <x:f>IF(AND(M$5&gt;=$G16,M$5&lt;=$H16),"■","")</x:f>
      </x:c>
      <x:c r="N16" s="36" t="str">
        <x:f>IF(AND(N$5&gt;=$G16,N$5&lt;=$H16),"■","")</x:f>
      </x:c>
      <x:c r="O16" s="36" t="str">
        <x:f>IF(AND(O$5&gt;=$G16,O$5&lt;=$H16),"■","")</x:f>
      </x:c>
      <x:c r="P16" s="36" t="str">
        <x:f>IF(AND(P$5&gt;=$G16,P$5&lt;=$H16),"■","")</x:f>
        <x:v>■</x:v>
      </x:c>
      <x:c r="Q16" s="36" t="str">
        <x:f>IF(AND(Q$5&gt;=$G16,Q$5&lt;=$H16),"■","")</x:f>
        <x:v>■</x:v>
      </x:c>
      <x:c r="R16" s="36" t="str">
        <x:f>IF(AND(R$5&gt;=$G16,R$5&lt;=$H16),"■","")</x:f>
        <x:v>■</x:v>
      </x:c>
      <x:c r="S16" s="36" t="str">
        <x:f>IF(AND(S$5&gt;=$G16,S$5&lt;=$H16),"■","")</x:f>
        <x:v>■</x:v>
      </x:c>
      <x:c r="T16" s="36" t="str">
        <x:f>IF(AND(T$5&gt;=$G16,T$5&lt;=$H16),"■","")</x:f>
        <x:v>■</x:v>
      </x:c>
      <x:c r="U16" s="36" t="str">
        <x:f>IF(AND(U$5&gt;=$G16,U$5&lt;=$H16),"■","")</x:f>
      </x:c>
      <x:c r="V16" s="36" t="str">
        <x:f>IF(AND(V$5&gt;=$G16,V$5&lt;=$H16),"■","")</x:f>
      </x:c>
      <x:c r="W16" s="36" t="str">
        <x:f>IF(AND(W$5&gt;=$G16,W$5&lt;=$H16),"■","")</x:f>
      </x:c>
      <x:c r="X16" s="36" t="str">
        <x:f>IF(AND(X$5&gt;=$G16,X$5&lt;=$H16),"■","")</x:f>
      </x:c>
      <x:c r="Y16" s="36" t="str">
        <x:f>IF(AND(Y$5&gt;=$G16,Y$5&lt;=$H16),"■","")</x:f>
      </x:c>
      <x:c r="Z16" s="36" t="str">
        <x:f>IF(AND(Z$5&gt;=$G16,Z$5&lt;=$H16),"■","")</x:f>
      </x:c>
      <x:c r="AA16" s="36" t="str">
        <x:f>IF(AND(AA$5&gt;=$G16,AA$5&lt;=$H16),"■","")</x:f>
      </x:c>
      <x:c r="AB16" s="36" t="str">
        <x:f>IF(AND(AB$5&gt;=$G16,AB$5&lt;=$H16),"■","")</x:f>
      </x:c>
      <x:c r="AC16" s="36" t="str">
        <x:f>IF(AND(AC$5&gt;=$G16,AC$5&lt;=$H16),"■","")</x:f>
      </x:c>
      <x:c r="AD16" s="36" t="str">
        <x:f>IF(AND(AD$5&gt;=$G16,AD$5&lt;=$H16),"■","")</x:f>
      </x:c>
      <x:c r="AE16" s="36" t="str">
        <x:f>IF(AND(AE$5&gt;=$G16,AE$5&lt;=$H16),"■","")</x:f>
      </x:c>
      <x:c r="AF16" s="36" t="str">
        <x:f>IF(AND(AF$5&gt;=$G16,AF$5&lt;=$H16),"■","")</x:f>
      </x:c>
      <x:c r="AG16" s="36" t="str">
        <x:f>IF(AND(AG$5&gt;=$G16,AG$5&lt;=$H16),"■","")</x:f>
      </x:c>
      <x:c r="AH16" s="36" t="str">
        <x:f>IF(AND(AH$5&gt;=$G16,AH$5&lt;=$H16),"■","")</x:f>
      </x:c>
      <x:c r="AI16" s="36" t="str">
        <x:f>IF(AND(AI$5&gt;=$G16,AI$5&lt;=$H16),"■","")</x:f>
      </x:c>
      <x:c r="AJ16" s="36" t="str">
        <x:f>IF(AND(AJ$5&gt;=$G16,AJ$5&lt;=$H16),"■","")</x:f>
      </x:c>
      <x:c r="AK16" s="36" t="str">
        <x:f>IF(AND(AK$5&gt;=$G16,AK$5&lt;=$H16),"■","")</x:f>
      </x:c>
      <x:c r="AL16" s="36" t="str">
        <x:f>IF(AND(AL$5&gt;=$G16,AL$5&lt;=$H16),"■","")</x:f>
      </x:c>
      <x:c r="AM16" s="36" t="str">
        <x:f>IF(AND(AM$5&gt;=$G16,AM$5&lt;=$H16),"■","")</x:f>
      </x:c>
      <x:c r="AN16" s="36" t="str">
        <x:f>IF(AND(AN$5&gt;=$G16,AN$5&lt;=$H16),"■","")</x:f>
      </x:c>
      <x:c r="AO16" s="36" t="str">
        <x:f>IF(AND(AO$5&gt;=$G16,AO$5&lt;=$H16),"■","")</x:f>
      </x:c>
      <x:c r="AP16" s="36" t="str">
        <x:f>IF(AND(AP$5&gt;=$G16,AP$5&lt;=$H16),"■","")</x:f>
      </x:c>
      <x:c r="AQ16" s="36" t="str">
        <x:f>IF(AND(AQ$5&gt;=$G16,AQ$5&lt;=$H16),"■","")</x:f>
      </x:c>
      <x:c r="AR16" s="36" t="str">
        <x:f>IF(AND(AR$5&gt;=$G16,AR$5&lt;=$H16),"■","")</x:f>
      </x:c>
      <x:c r="AS16" s="36" t="str">
        <x:f>IF(AND(AS$5&gt;=$G16,AS$5&lt;=$H16),"■","")</x:f>
      </x:c>
      <x:c r="AT16" s="36" t="str">
        <x:f>IF(AND(AT$5&gt;=$G16,AT$5&lt;=$H16),"■","")</x:f>
      </x:c>
      <x:c r="AU16" s="36" t="str">
        <x:f>IF(AND(AU$5&gt;=$G16,AU$5&lt;=$H16),"■","")</x:f>
      </x:c>
      <x:c r="AV16" s="36" t="str">
        <x:f>IF(AND(AV$5&gt;=$G16,AV$5&lt;=$H16),"■","")</x:f>
      </x:c>
    </x:row>
    <x:row r="17" ht="31" customHeight="1">
      <x:c r="A17" s="37" t="str">
        <x:v>데이터 수집·전처리·DB</x:v>
      </x:c>
      <x:c r="B17" s="37" t="str">
        <x:v>2.5</x:v>
      </x:c>
      <x:c r="C17" s="38" t="str">
        <x:v>합성 데이터 적재 전 validation 구현(schema·PII·정합)</x:v>
      </x:c>
      <x:c r="D17" s="38" t="str">
        <x:v>전처리 데이터·validation 결과</x:v>
      </x:c>
      <x:c r="E17" s="37" t="str">
        <x:v>정승·김재홍</x:v>
      </x:c>
      <x:c r="F17" s="37" t="str">
        <x:v>대기</x:v>
      </x:c>
      <x:c r="G17" s="39" t="n">
        <x:v>46233.5</x:v>
      </x:c>
      <x:c r="H17" s="39" t="n">
        <x:v>46233.5</x:v>
      </x:c>
      <x:c r="I17" s="39"/>
      <x:c r="J17" s="40" t="n">
        <x:f>IF(F17="완료",100%,IF(F17="검토",90%,IF(F17="진행",60%,IF(F17="진행중",60%,IF(F17="차단",25%,0%)))))</x:f>
        <x:v>0</x:v>
      </x:c>
      <x:c r="K17" s="36" t="str">
        <x:f>IF(AND(K$5&gt;=$G17,K$5&lt;=$H17),"■","")</x:f>
      </x:c>
      <x:c r="L17" s="36" t="str">
        <x:f>IF(AND(L$5&gt;=$G17,L$5&lt;=$H17),"■","")</x:f>
      </x:c>
      <x:c r="M17" s="36" t="str">
        <x:f>IF(AND(M$5&gt;=$G17,M$5&lt;=$H17),"■","")</x:f>
      </x:c>
      <x:c r="N17" s="36" t="str">
        <x:f>IF(AND(N$5&gt;=$G17,N$5&lt;=$H17),"■","")</x:f>
      </x:c>
      <x:c r="O17" s="36" t="str">
        <x:f>IF(AND(O$5&gt;=$G17,O$5&lt;=$H17),"■","")</x:f>
      </x:c>
      <x:c r="P17" s="36" t="str">
        <x:f>IF(AND(P$5&gt;=$G17,P$5&lt;=$H17),"■","")</x:f>
      </x:c>
      <x:c r="Q17" s="36" t="str">
        <x:f>IF(AND(Q$5&gt;=$G17,Q$5&lt;=$H17),"■","")</x:f>
      </x:c>
      <x:c r="R17" s="36" t="str">
        <x:f>IF(AND(R$5&gt;=$G17,R$5&lt;=$H17),"■","")</x:f>
      </x:c>
      <x:c r="S17" s="36" t="str">
        <x:f>IF(AND(S$5&gt;=$G17,S$5&lt;=$H17),"■","")</x:f>
      </x:c>
      <x:c r="T17" s="36" t="str">
        <x:f>IF(AND(T$5&gt;=$G17,T$5&lt;=$H17),"■","")</x:f>
      </x:c>
      <x:c r="U17" s="36" t="str">
        <x:f>IF(AND(U$5&gt;=$G17,U$5&lt;=$H17),"■","")</x:f>
      </x:c>
      <x:c r="V17" s="36" t="str">
        <x:f>IF(AND(V$5&gt;=$G17,V$5&lt;=$H17),"■","")</x:f>
      </x:c>
      <x:c r="W17" s="36" t="str">
        <x:f>IF(AND(W$5&gt;=$G17,W$5&lt;=$H17),"■","")</x:f>
      </x:c>
      <x:c r="X17" s="36" t="str">
        <x:f>IF(AND(X$5&gt;=$G17,X$5&lt;=$H17),"■","")</x:f>
        <x:v>■</x:v>
      </x:c>
      <x:c r="Y17" s="36" t="str">
        <x:f>IF(AND(Y$5&gt;=$G17,Y$5&lt;=$H17),"■","")</x:f>
      </x:c>
      <x:c r="Z17" s="36" t="str">
        <x:f>IF(AND(Z$5&gt;=$G17,Z$5&lt;=$H17),"■","")</x:f>
      </x:c>
      <x:c r="AA17" s="36" t="str">
        <x:f>IF(AND(AA$5&gt;=$G17,AA$5&lt;=$H17),"■","")</x:f>
      </x:c>
      <x:c r="AB17" s="36" t="str">
        <x:f>IF(AND(AB$5&gt;=$G17,AB$5&lt;=$H17),"■","")</x:f>
      </x:c>
      <x:c r="AC17" s="36" t="str">
        <x:f>IF(AND(AC$5&gt;=$G17,AC$5&lt;=$H17),"■","")</x:f>
      </x:c>
      <x:c r="AD17" s="36" t="str">
        <x:f>IF(AND(AD$5&gt;=$G17,AD$5&lt;=$H17),"■","")</x:f>
      </x:c>
      <x:c r="AE17" s="36" t="str">
        <x:f>IF(AND(AE$5&gt;=$G17,AE$5&lt;=$H17),"■","")</x:f>
      </x:c>
      <x:c r="AF17" s="36" t="str">
        <x:f>IF(AND(AF$5&gt;=$G17,AF$5&lt;=$H17),"■","")</x:f>
      </x:c>
      <x:c r="AG17" s="36" t="str">
        <x:f>IF(AND(AG$5&gt;=$G17,AG$5&lt;=$H17),"■","")</x:f>
      </x:c>
      <x:c r="AH17" s="36" t="str">
        <x:f>IF(AND(AH$5&gt;=$G17,AH$5&lt;=$H17),"■","")</x:f>
      </x:c>
      <x:c r="AI17" s="36" t="str">
        <x:f>IF(AND(AI$5&gt;=$G17,AI$5&lt;=$H17),"■","")</x:f>
      </x:c>
      <x:c r="AJ17" s="36" t="str">
        <x:f>IF(AND(AJ$5&gt;=$G17,AJ$5&lt;=$H17),"■","")</x:f>
      </x:c>
      <x:c r="AK17" s="36" t="str">
        <x:f>IF(AND(AK$5&gt;=$G17,AK$5&lt;=$H17),"■","")</x:f>
      </x:c>
      <x:c r="AL17" s="36" t="str">
        <x:f>IF(AND(AL$5&gt;=$G17,AL$5&lt;=$H17),"■","")</x:f>
      </x:c>
      <x:c r="AM17" s="36" t="str">
        <x:f>IF(AND(AM$5&gt;=$G17,AM$5&lt;=$H17),"■","")</x:f>
      </x:c>
      <x:c r="AN17" s="36" t="str">
        <x:f>IF(AND(AN$5&gt;=$G17,AN$5&lt;=$H17),"■","")</x:f>
      </x:c>
      <x:c r="AO17" s="36" t="str">
        <x:f>IF(AND(AO$5&gt;=$G17,AO$5&lt;=$H17),"■","")</x:f>
      </x:c>
      <x:c r="AP17" s="36" t="str">
        <x:f>IF(AND(AP$5&gt;=$G17,AP$5&lt;=$H17),"■","")</x:f>
      </x:c>
      <x:c r="AQ17" s="36" t="str">
        <x:f>IF(AND(AQ$5&gt;=$G17,AQ$5&lt;=$H17),"■","")</x:f>
      </x:c>
      <x:c r="AR17" s="36" t="str">
        <x:f>IF(AND(AR$5&gt;=$G17,AR$5&lt;=$H17),"■","")</x:f>
      </x:c>
      <x:c r="AS17" s="36" t="str">
        <x:f>IF(AND(AS$5&gt;=$G17,AS$5&lt;=$H17),"■","")</x:f>
      </x:c>
      <x:c r="AT17" s="36" t="str">
        <x:f>IF(AND(AT$5&gt;=$G17,AT$5&lt;=$H17),"■","")</x:f>
      </x:c>
      <x:c r="AU17" s="36" t="str">
        <x:f>IF(AND(AU$5&gt;=$G17,AU$5&lt;=$H17),"■","")</x:f>
      </x:c>
      <x:c r="AV17" s="36" t="str">
        <x:f>IF(AND(AV$5&gt;=$G17,AV$5&lt;=$H17),"■","")</x:f>
      </x:c>
    </x:row>
    <x:row r="18" ht="31" customHeight="1">
      <x:c r="A18" s="37" t="str">
        <x:v>데이터 수집·전처리·DB</x:v>
      </x:c>
      <x:c r="B18" s="37" t="str">
        <x:v>2.6</x:v>
      </x:c>
      <x:c r="C18" s="38" t="str">
        <x:v>v0 데이터 전처리 기준·결과 문서화</x:v>
      </x:c>
      <x:c r="D18" s="38" t="str">
        <x:v>데이터 전처리 결과서</x:v>
      </x:c>
      <x:c r="E18" s="37" t="str">
        <x:v>정승</x:v>
      </x:c>
      <x:c r="F18" s="37" t="str">
        <x:v>대기</x:v>
      </x:c>
      <x:c r="G18" s="39" t="n">
        <x:v>46233.5</x:v>
      </x:c>
      <x:c r="H18" s="39" t="n">
        <x:v>46234.5</x:v>
      </x:c>
      <x:c r="I18" s="39" t="n">
        <x:v>46234.5</x:v>
      </x:c>
      <x:c r="J18" s="40" t="n">
        <x:f>IF(F18="완료",100%,IF(F18="검토",90%,IF(F18="진행",60%,IF(F18="진행중",60%,IF(F18="차단",25%,0%)))))</x:f>
        <x:v>0</x:v>
      </x:c>
      <x:c r="K18" s="36" t="str">
        <x:f>IF(AND(K$5&gt;=$G18,K$5&lt;=$H18),"■","")</x:f>
      </x:c>
      <x:c r="L18" s="36" t="str">
        <x:f>IF(AND(L$5&gt;=$G18,L$5&lt;=$H18),"■","")</x:f>
      </x:c>
      <x:c r="M18" s="36" t="str">
        <x:f>IF(AND(M$5&gt;=$G18,M$5&lt;=$H18),"■","")</x:f>
      </x:c>
      <x:c r="N18" s="36" t="str">
        <x:f>IF(AND(N$5&gt;=$G18,N$5&lt;=$H18),"■","")</x:f>
      </x:c>
      <x:c r="O18" s="36" t="str">
        <x:f>IF(AND(O$5&gt;=$G18,O$5&lt;=$H18),"■","")</x:f>
      </x:c>
      <x:c r="P18" s="36" t="str">
        <x:f>IF(AND(P$5&gt;=$G18,P$5&lt;=$H18),"■","")</x:f>
      </x:c>
      <x:c r="Q18" s="36" t="str">
        <x:f>IF(AND(Q$5&gt;=$G18,Q$5&lt;=$H18),"■","")</x:f>
      </x:c>
      <x:c r="R18" s="36" t="str">
        <x:f>IF(AND(R$5&gt;=$G18,R$5&lt;=$H18),"■","")</x:f>
      </x:c>
      <x:c r="S18" s="36" t="str">
        <x:f>IF(AND(S$5&gt;=$G18,S$5&lt;=$H18),"■","")</x:f>
      </x:c>
      <x:c r="T18" s="36" t="str">
        <x:f>IF(AND(T$5&gt;=$G18,T$5&lt;=$H18),"■","")</x:f>
      </x:c>
      <x:c r="U18" s="36" t="str">
        <x:f>IF(AND(U$5&gt;=$G18,U$5&lt;=$H18),"■","")</x:f>
      </x:c>
      <x:c r="V18" s="36" t="str">
        <x:f>IF(AND(V$5&gt;=$G18,V$5&lt;=$H18),"■","")</x:f>
      </x:c>
      <x:c r="W18" s="36" t="str">
        <x:f>IF(AND(W$5&gt;=$G18,W$5&lt;=$H18),"■","")</x:f>
      </x:c>
      <x:c r="X18" s="36" t="str">
        <x:f>IF(AND(X$5&gt;=$G18,X$5&lt;=$H18),"■","")</x:f>
        <x:v>■</x:v>
      </x:c>
      <x:c r="Y18" s="36" t="str">
        <x:f>IF(AND(Y$5&gt;=$G18,Y$5&lt;=$H18),"■","")</x:f>
        <x:v>■</x:v>
      </x:c>
      <x:c r="Z18" s="36" t="str">
        <x:f>IF(AND(Z$5&gt;=$G18,Z$5&lt;=$H18),"■","")</x:f>
      </x:c>
      <x:c r="AA18" s="36" t="str">
        <x:f>IF(AND(AA$5&gt;=$G18,AA$5&lt;=$H18),"■","")</x:f>
      </x:c>
      <x:c r="AB18" s="36" t="str">
        <x:f>IF(AND(AB$5&gt;=$G18,AB$5&lt;=$H18),"■","")</x:f>
      </x:c>
      <x:c r="AC18" s="36" t="str">
        <x:f>IF(AND(AC$5&gt;=$G18,AC$5&lt;=$H18),"■","")</x:f>
      </x:c>
      <x:c r="AD18" s="36" t="str">
        <x:f>IF(AND(AD$5&gt;=$G18,AD$5&lt;=$H18),"■","")</x:f>
      </x:c>
      <x:c r="AE18" s="36" t="str">
        <x:f>IF(AND(AE$5&gt;=$G18,AE$5&lt;=$H18),"■","")</x:f>
      </x:c>
      <x:c r="AF18" s="36" t="str">
        <x:f>IF(AND(AF$5&gt;=$G18,AF$5&lt;=$H18),"■","")</x:f>
      </x:c>
      <x:c r="AG18" s="36" t="str">
        <x:f>IF(AND(AG$5&gt;=$G18,AG$5&lt;=$H18),"■","")</x:f>
      </x:c>
      <x:c r="AH18" s="36" t="str">
        <x:f>IF(AND(AH$5&gt;=$G18,AH$5&lt;=$H18),"■","")</x:f>
      </x:c>
      <x:c r="AI18" s="36" t="str">
        <x:f>IF(AND(AI$5&gt;=$G18,AI$5&lt;=$H18),"■","")</x:f>
      </x:c>
      <x:c r="AJ18" s="36" t="str">
        <x:f>IF(AND(AJ$5&gt;=$G18,AJ$5&lt;=$H18),"■","")</x:f>
      </x:c>
      <x:c r="AK18" s="36" t="str">
        <x:f>IF(AND(AK$5&gt;=$G18,AK$5&lt;=$H18),"■","")</x:f>
      </x:c>
      <x:c r="AL18" s="36" t="str">
        <x:f>IF(AND(AL$5&gt;=$G18,AL$5&lt;=$H18),"■","")</x:f>
      </x:c>
      <x:c r="AM18" s="36" t="str">
        <x:f>IF(AND(AM$5&gt;=$G18,AM$5&lt;=$H18),"■","")</x:f>
      </x:c>
      <x:c r="AN18" s="36" t="str">
        <x:f>IF(AND(AN$5&gt;=$G18,AN$5&lt;=$H18),"■","")</x:f>
      </x:c>
      <x:c r="AO18" s="36" t="str">
        <x:f>IF(AND(AO$5&gt;=$G18,AO$5&lt;=$H18),"■","")</x:f>
      </x:c>
      <x:c r="AP18" s="36" t="str">
        <x:f>IF(AND(AP$5&gt;=$G18,AP$5&lt;=$H18),"■","")</x:f>
      </x:c>
      <x:c r="AQ18" s="36" t="str">
        <x:f>IF(AND(AQ$5&gt;=$G18,AQ$5&lt;=$H18),"■","")</x:f>
      </x:c>
      <x:c r="AR18" s="36" t="str">
        <x:f>IF(AND(AR$5&gt;=$G18,AR$5&lt;=$H18),"■","")</x:f>
      </x:c>
      <x:c r="AS18" s="36" t="str">
        <x:f>IF(AND(AS$5&gt;=$G18,AS$5&lt;=$H18),"■","")</x:f>
      </x:c>
      <x:c r="AT18" s="36" t="str">
        <x:f>IF(AND(AT$5&gt;=$G18,AT$5&lt;=$H18),"■","")</x:f>
      </x:c>
      <x:c r="AU18" s="36" t="str">
        <x:f>IF(AND(AU$5&gt;=$G18,AU$5&lt;=$H18),"■","")</x:f>
      </x:c>
      <x:c r="AV18" s="36" t="str">
        <x:f>IF(AND(AV$5&gt;=$G18,AV$5&lt;=$H18),"■","")</x:f>
      </x:c>
    </x:row>
    <x:row r="19" ht="31" customHeight="1">
      <x:c r="A19" s="37" t="str">
        <x:v>데이터 수집·전처리·DB</x:v>
      </x:c>
      <x:c r="B19" s="37" t="str">
        <x:v>2.7</x:v>
      </x:c>
      <x:c r="C19" s="38" t="str">
        <x:v>PostgreSQL 합성 analytics view 설계 후 validation 통과분 적재</x:v>
      </x:c>
      <x:c r="D19" s="38" t="str">
        <x:v>DB 스키마·적재본</x:v>
      </x:c>
      <x:c r="E19" s="37" t="str">
        <x:v>정승</x:v>
      </x:c>
      <x:c r="F19" s="37" t="str">
        <x:v>대기</x:v>
      </x:c>
      <x:c r="G19" s="39" t="n">
        <x:v>46234.5</x:v>
      </x:c>
      <x:c r="H19" s="39" t="n">
        <x:v>46239.5</x:v>
      </x:c>
      <x:c r="I19" s="39"/>
      <x:c r="J19" s="40" t="n">
        <x:f>IF(F19="완료",100%,IF(F19="검토",90%,IF(F19="진행",60%,IF(F19="진행중",60%,IF(F19="차단",25%,0%)))))</x:f>
        <x:v>0</x:v>
      </x:c>
      <x:c r="K19" s="36" t="str">
        <x:f>IF(AND(K$5&gt;=$G19,K$5&lt;=$H19),"■","")</x:f>
      </x:c>
      <x:c r="L19" s="36" t="str">
        <x:f>IF(AND(L$5&gt;=$G19,L$5&lt;=$H19),"■","")</x:f>
      </x:c>
      <x:c r="M19" s="36" t="str">
        <x:f>IF(AND(M$5&gt;=$G19,M$5&lt;=$H19),"■","")</x:f>
      </x:c>
      <x:c r="N19" s="36" t="str">
        <x:f>IF(AND(N$5&gt;=$G19,N$5&lt;=$H19),"■","")</x:f>
      </x:c>
      <x:c r="O19" s="36" t="str">
        <x:f>IF(AND(O$5&gt;=$G19,O$5&lt;=$H19),"■","")</x:f>
      </x:c>
      <x:c r="P19" s="36" t="str">
        <x:f>IF(AND(P$5&gt;=$G19,P$5&lt;=$H19),"■","")</x:f>
      </x:c>
      <x:c r="Q19" s="36" t="str">
        <x:f>IF(AND(Q$5&gt;=$G19,Q$5&lt;=$H19),"■","")</x:f>
      </x:c>
      <x:c r="R19" s="36" t="str">
        <x:f>IF(AND(R$5&gt;=$G19,R$5&lt;=$H19),"■","")</x:f>
      </x:c>
      <x:c r="S19" s="36" t="str">
        <x:f>IF(AND(S$5&gt;=$G19,S$5&lt;=$H19),"■","")</x:f>
      </x:c>
      <x:c r="T19" s="36" t="str">
        <x:f>IF(AND(T$5&gt;=$G19,T$5&lt;=$H19),"■","")</x:f>
      </x:c>
      <x:c r="U19" s="36" t="str">
        <x:f>IF(AND(U$5&gt;=$G19,U$5&lt;=$H19),"■","")</x:f>
      </x:c>
      <x:c r="V19" s="36" t="str">
        <x:f>IF(AND(V$5&gt;=$G19,V$5&lt;=$H19),"■","")</x:f>
      </x:c>
      <x:c r="W19" s="36" t="str">
        <x:f>IF(AND(W$5&gt;=$G19,W$5&lt;=$H19),"■","")</x:f>
      </x:c>
      <x:c r="X19" s="36" t="str">
        <x:f>IF(AND(X$5&gt;=$G19,X$5&lt;=$H19),"■","")</x:f>
      </x:c>
      <x:c r="Y19" s="36" t="str">
        <x:f>IF(AND(Y$5&gt;=$G19,Y$5&lt;=$H19),"■","")</x:f>
        <x:v>■</x:v>
      </x:c>
      <x:c r="Z19" s="36" t="str">
        <x:f>IF(AND(Z$5&gt;=$G19,Z$5&lt;=$H19),"■","")</x:f>
        <x:v>■</x:v>
      </x:c>
      <x:c r="AA19" s="36" t="str">
        <x:f>IF(AND(AA$5&gt;=$G19,AA$5&lt;=$H19),"■","")</x:f>
        <x:v>■</x:v>
      </x:c>
      <x:c r="AB19" s="36" t="str">
        <x:f>IF(AND(AB$5&gt;=$G19,AB$5&lt;=$H19),"■","")</x:f>
        <x:v>■</x:v>
      </x:c>
      <x:c r="AC19" s="36" t="str">
        <x:f>IF(AND(AC$5&gt;=$G19,AC$5&lt;=$H19),"■","")</x:f>
      </x:c>
      <x:c r="AD19" s="36" t="str">
        <x:f>IF(AND(AD$5&gt;=$G19,AD$5&lt;=$H19),"■","")</x:f>
      </x:c>
      <x:c r="AE19" s="36" t="str">
        <x:f>IF(AND(AE$5&gt;=$G19,AE$5&lt;=$H19),"■","")</x:f>
      </x:c>
      <x:c r="AF19" s="36" t="str">
        <x:f>IF(AND(AF$5&gt;=$G19,AF$5&lt;=$H19),"■","")</x:f>
      </x:c>
      <x:c r="AG19" s="36" t="str">
        <x:f>IF(AND(AG$5&gt;=$G19,AG$5&lt;=$H19),"■","")</x:f>
      </x:c>
      <x:c r="AH19" s="36" t="str">
        <x:f>IF(AND(AH$5&gt;=$G19,AH$5&lt;=$H19),"■","")</x:f>
      </x:c>
      <x:c r="AI19" s="36" t="str">
        <x:f>IF(AND(AI$5&gt;=$G19,AI$5&lt;=$H19),"■","")</x:f>
      </x:c>
      <x:c r="AJ19" s="36" t="str">
        <x:f>IF(AND(AJ$5&gt;=$G19,AJ$5&lt;=$H19),"■","")</x:f>
      </x:c>
      <x:c r="AK19" s="36" t="str">
        <x:f>IF(AND(AK$5&gt;=$G19,AK$5&lt;=$H19),"■","")</x:f>
      </x:c>
      <x:c r="AL19" s="36" t="str">
        <x:f>IF(AND(AL$5&gt;=$G19,AL$5&lt;=$H19),"■","")</x:f>
      </x:c>
      <x:c r="AM19" s="36" t="str">
        <x:f>IF(AND(AM$5&gt;=$G19,AM$5&lt;=$H19),"■","")</x:f>
      </x:c>
      <x:c r="AN19" s="36" t="str">
        <x:f>IF(AND(AN$5&gt;=$G19,AN$5&lt;=$H19),"■","")</x:f>
      </x:c>
      <x:c r="AO19" s="36" t="str">
        <x:f>IF(AND(AO$5&gt;=$G19,AO$5&lt;=$H19),"■","")</x:f>
      </x:c>
      <x:c r="AP19" s="36" t="str">
        <x:f>IF(AND(AP$5&gt;=$G19,AP$5&lt;=$H19),"■","")</x:f>
      </x:c>
      <x:c r="AQ19" s="36" t="str">
        <x:f>IF(AND(AQ$5&gt;=$G19,AQ$5&lt;=$H19),"■","")</x:f>
      </x:c>
      <x:c r="AR19" s="36" t="str">
        <x:f>IF(AND(AR$5&gt;=$G19,AR$5&lt;=$H19),"■","")</x:f>
      </x:c>
      <x:c r="AS19" s="36" t="str">
        <x:f>IF(AND(AS$5&gt;=$G19,AS$5&lt;=$H19),"■","")</x:f>
      </x:c>
      <x:c r="AT19" s="36" t="str">
        <x:f>IF(AND(AT$5&gt;=$G19,AT$5&lt;=$H19),"■","")</x:f>
      </x:c>
      <x:c r="AU19" s="36" t="str">
        <x:f>IF(AND(AU$5&gt;=$G19,AU$5&lt;=$H19),"■","")</x:f>
      </x:c>
      <x:c r="AV19" s="36" t="str">
        <x:f>IF(AND(AV$5&gt;=$G19,AV$5&lt;=$H19),"■","")</x:f>
      </x:c>
    </x:row>
    <x:row r="20" ht="31" customHeight="1">
      <x:c r="A20" s="37" t="str">
        <x:v>데이터 수집·전처리·DB</x:v>
      </x:c>
      <x:c r="B20" s="37" t="str">
        <x:v>2.8</x:v>
      </x:c>
      <x:c r="C20" s="38" t="str">
        <x:v>DB·저장소·read-only 흐름 문서화</x:v>
      </x:c>
      <x:c r="D20" s="38" t="str">
        <x:v>데이터베이스/저장소 설계 문서</x:v>
      </x:c>
      <x:c r="E20" s="37" t="str">
        <x:v>김재홍·정승</x:v>
      </x:c>
      <x:c r="F20" s="37" t="str">
        <x:v>대기</x:v>
      </x:c>
      <x:c r="G20" s="39" t="n">
        <x:v>46232.5</x:v>
      </x:c>
      <x:c r="H20" s="39" t="n">
        <x:v>46234.5</x:v>
      </x:c>
      <x:c r="I20" s="39" t="n">
        <x:v>46234.5</x:v>
      </x:c>
      <x:c r="J20" s="40" t="n">
        <x:f>IF(F20="완료",100%,IF(F20="검토",90%,IF(F20="진행",60%,IF(F20="진행중",60%,IF(F20="차단",25%,0%)))))</x:f>
        <x:v>0</x:v>
      </x:c>
      <x:c r="K20" s="36" t="str">
        <x:f>IF(AND(K$5&gt;=$G20,K$5&lt;=$H20),"■","")</x:f>
      </x:c>
      <x:c r="L20" s="36" t="str">
        <x:f>IF(AND(L$5&gt;=$G20,L$5&lt;=$H20),"■","")</x:f>
      </x:c>
      <x:c r="M20" s="36" t="str">
        <x:f>IF(AND(M$5&gt;=$G20,M$5&lt;=$H20),"■","")</x:f>
      </x:c>
      <x:c r="N20" s="36" t="str">
        <x:f>IF(AND(N$5&gt;=$G20,N$5&lt;=$H20),"■","")</x:f>
      </x:c>
      <x:c r="O20" s="36" t="str">
        <x:f>IF(AND(O$5&gt;=$G20,O$5&lt;=$H20),"■","")</x:f>
      </x:c>
      <x:c r="P20" s="36" t="str">
        <x:f>IF(AND(P$5&gt;=$G20,P$5&lt;=$H20),"■","")</x:f>
      </x:c>
      <x:c r="Q20" s="36" t="str">
        <x:f>IF(AND(Q$5&gt;=$G20,Q$5&lt;=$H20),"■","")</x:f>
      </x:c>
      <x:c r="R20" s="36" t="str">
        <x:f>IF(AND(R$5&gt;=$G20,R$5&lt;=$H20),"■","")</x:f>
      </x:c>
      <x:c r="S20" s="36" t="str">
        <x:f>IF(AND(S$5&gt;=$G20,S$5&lt;=$H20),"■","")</x:f>
      </x:c>
      <x:c r="T20" s="36" t="str">
        <x:f>IF(AND(T$5&gt;=$G20,T$5&lt;=$H20),"■","")</x:f>
      </x:c>
      <x:c r="U20" s="36" t="str">
        <x:f>IF(AND(U$5&gt;=$G20,U$5&lt;=$H20),"■","")</x:f>
      </x:c>
      <x:c r="V20" s="36" t="str">
        <x:f>IF(AND(V$5&gt;=$G20,V$5&lt;=$H20),"■","")</x:f>
      </x:c>
      <x:c r="W20" s="36" t="str">
        <x:f>IF(AND(W$5&gt;=$G20,W$5&lt;=$H20),"■","")</x:f>
        <x:v>■</x:v>
      </x:c>
      <x:c r="X20" s="36" t="str">
        <x:f>IF(AND(X$5&gt;=$G20,X$5&lt;=$H20),"■","")</x:f>
        <x:v>■</x:v>
      </x:c>
      <x:c r="Y20" s="36" t="str">
        <x:f>IF(AND(Y$5&gt;=$G20,Y$5&lt;=$H20),"■","")</x:f>
        <x:v>■</x:v>
      </x:c>
      <x:c r="Z20" s="36" t="str">
        <x:f>IF(AND(Z$5&gt;=$G20,Z$5&lt;=$H20),"■","")</x:f>
      </x:c>
      <x:c r="AA20" s="36" t="str">
        <x:f>IF(AND(AA$5&gt;=$G20,AA$5&lt;=$H20),"■","")</x:f>
      </x:c>
      <x:c r="AB20" s="36" t="str">
        <x:f>IF(AND(AB$5&gt;=$G20,AB$5&lt;=$H20),"■","")</x:f>
      </x:c>
      <x:c r="AC20" s="36" t="str">
        <x:f>IF(AND(AC$5&gt;=$G20,AC$5&lt;=$H20),"■","")</x:f>
      </x:c>
      <x:c r="AD20" s="36" t="str">
        <x:f>IF(AND(AD$5&gt;=$G20,AD$5&lt;=$H20),"■","")</x:f>
      </x:c>
      <x:c r="AE20" s="36" t="str">
        <x:f>IF(AND(AE$5&gt;=$G20,AE$5&lt;=$H20),"■","")</x:f>
      </x:c>
      <x:c r="AF20" s="36" t="str">
        <x:f>IF(AND(AF$5&gt;=$G20,AF$5&lt;=$H20),"■","")</x:f>
      </x:c>
      <x:c r="AG20" s="36" t="str">
        <x:f>IF(AND(AG$5&gt;=$G20,AG$5&lt;=$H20),"■","")</x:f>
      </x:c>
      <x:c r="AH20" s="36" t="str">
        <x:f>IF(AND(AH$5&gt;=$G20,AH$5&lt;=$H20),"■","")</x:f>
      </x:c>
      <x:c r="AI20" s="36" t="str">
        <x:f>IF(AND(AI$5&gt;=$G20,AI$5&lt;=$H20),"■","")</x:f>
      </x:c>
      <x:c r="AJ20" s="36" t="str">
        <x:f>IF(AND(AJ$5&gt;=$G20,AJ$5&lt;=$H20),"■","")</x:f>
      </x:c>
      <x:c r="AK20" s="36" t="str">
        <x:f>IF(AND(AK$5&gt;=$G20,AK$5&lt;=$H20),"■","")</x:f>
      </x:c>
      <x:c r="AL20" s="36" t="str">
        <x:f>IF(AND(AL$5&gt;=$G20,AL$5&lt;=$H20),"■","")</x:f>
      </x:c>
      <x:c r="AM20" s="36" t="str">
        <x:f>IF(AND(AM$5&gt;=$G20,AM$5&lt;=$H20),"■","")</x:f>
      </x:c>
      <x:c r="AN20" s="36" t="str">
        <x:f>IF(AND(AN$5&gt;=$G20,AN$5&lt;=$H20),"■","")</x:f>
      </x:c>
      <x:c r="AO20" s="36" t="str">
        <x:f>IF(AND(AO$5&gt;=$G20,AO$5&lt;=$H20),"■","")</x:f>
      </x:c>
      <x:c r="AP20" s="36" t="str">
        <x:f>IF(AND(AP$5&gt;=$G20,AP$5&lt;=$H20),"■","")</x:f>
      </x:c>
      <x:c r="AQ20" s="36" t="str">
        <x:f>IF(AND(AQ$5&gt;=$G20,AQ$5&lt;=$H20),"■","")</x:f>
      </x:c>
      <x:c r="AR20" s="36" t="str">
        <x:f>IF(AND(AR$5&gt;=$G20,AR$5&lt;=$H20),"■","")</x:f>
      </x:c>
      <x:c r="AS20" s="36" t="str">
        <x:f>IF(AND(AS$5&gt;=$G20,AS$5&lt;=$H20),"■","")</x:f>
      </x:c>
      <x:c r="AT20" s="36" t="str">
        <x:f>IF(AND(AT$5&gt;=$G20,AT$5&lt;=$H20),"■","")</x:f>
      </x:c>
      <x:c r="AU20" s="36" t="str">
        <x:f>IF(AND(AU$5&gt;=$G20,AU$5&lt;=$H20),"■","")</x:f>
      </x:c>
      <x:c r="AV20" s="36" t="str">
        <x:f>IF(AND(AV$5&gt;=$G20,AV$5&lt;=$H20),"■","")</x:f>
      </x:c>
    </x:row>
    <x:row r="21" ht="31" customHeight="1">
      <x:c r="A21" s="37" t="str">
        <x:v>데이터 수집·전처리·DB</x:v>
      </x:c>
      <x:c r="B21" s="37" t="str">
        <x:v>2.9</x:v>
      </x:c>
      <x:c r="C21" s="38" t="str">
        <x:v>metric_catalog·role scope 초안 설계(1.7에서 검토·확정)</x:v>
      </x:c>
      <x:c r="D21" s="38" t="str">
        <x:v>semantic catalog 초안</x:v>
      </x:c>
      <x:c r="E21" s="37" t="str">
        <x:v>김재홍·정승</x:v>
      </x:c>
      <x:c r="F21" s="37" t="str">
        <x:v>대기</x:v>
      </x:c>
      <x:c r="G21" s="39" t="n">
        <x:v>46224.5</x:v>
      </x:c>
      <x:c r="H21" s="39" t="n">
        <x:v>46230.5</x:v>
      </x:c>
      <x:c r="I21" s="39"/>
      <x:c r="J21" s="40" t="n">
        <x:f>IF(F21="완료",100%,IF(F21="검토",90%,IF(F21="진행",60%,IF(F21="진행중",60%,IF(F21="차단",25%,0%)))))</x:f>
        <x:v>0</x:v>
      </x:c>
      <x:c r="K21" s="36" t="str">
        <x:f>IF(AND(K$5&gt;=$G21,K$5&lt;=$H21),"■","")</x:f>
      </x:c>
      <x:c r="L21" s="36" t="str">
        <x:f>IF(AND(L$5&gt;=$G21,L$5&lt;=$H21),"■","")</x:f>
      </x:c>
      <x:c r="M21" s="36" t="str">
        <x:f>IF(AND(M$5&gt;=$G21,M$5&lt;=$H21),"■","")</x:f>
      </x:c>
      <x:c r="N21" s="36" t="str">
        <x:f>IF(AND(N$5&gt;=$G21,N$5&lt;=$H21),"■","")</x:f>
      </x:c>
      <x:c r="O21" s="36" t="str">
        <x:f>IF(AND(O$5&gt;=$G21,O$5&lt;=$H21),"■","")</x:f>
      </x:c>
      <x:c r="P21" s="36" t="str">
        <x:f>IF(AND(P$5&gt;=$G21,P$5&lt;=$H21),"■","")</x:f>
      </x:c>
      <x:c r="Q21" s="36" t="str">
        <x:f>IF(AND(Q$5&gt;=$G21,Q$5&lt;=$H21),"■","")</x:f>
        <x:v>■</x:v>
      </x:c>
      <x:c r="R21" s="36" t="str">
        <x:f>IF(AND(R$5&gt;=$G21,R$5&lt;=$H21),"■","")</x:f>
        <x:v>■</x:v>
      </x:c>
      <x:c r="S21" s="36" t="str">
        <x:f>IF(AND(S$5&gt;=$G21,S$5&lt;=$H21),"■","")</x:f>
        <x:v>■</x:v>
      </x:c>
      <x:c r="T21" s="36" t="str">
        <x:f>IF(AND(T$5&gt;=$G21,T$5&lt;=$H21),"■","")</x:f>
        <x:v>■</x:v>
      </x:c>
      <x:c r="U21" s="36" t="str">
        <x:f>IF(AND(U$5&gt;=$G21,U$5&lt;=$H21),"■","")</x:f>
        <x:v>■</x:v>
      </x:c>
      <x:c r="V21" s="36" t="str">
        <x:f>IF(AND(V$5&gt;=$G21,V$5&lt;=$H21),"■","")</x:f>
      </x:c>
      <x:c r="W21" s="36" t="str">
        <x:f>IF(AND(W$5&gt;=$G21,W$5&lt;=$H21),"■","")</x:f>
      </x:c>
      <x:c r="X21" s="36" t="str">
        <x:f>IF(AND(X$5&gt;=$G21,X$5&lt;=$H21),"■","")</x:f>
      </x:c>
      <x:c r="Y21" s="36" t="str">
        <x:f>IF(AND(Y$5&gt;=$G21,Y$5&lt;=$H21),"■","")</x:f>
      </x:c>
      <x:c r="Z21" s="36" t="str">
        <x:f>IF(AND(Z$5&gt;=$G21,Z$5&lt;=$H21),"■","")</x:f>
      </x:c>
      <x:c r="AA21" s="36" t="str">
        <x:f>IF(AND(AA$5&gt;=$G21,AA$5&lt;=$H21),"■","")</x:f>
      </x:c>
      <x:c r="AB21" s="36" t="str">
        <x:f>IF(AND(AB$5&gt;=$G21,AB$5&lt;=$H21),"■","")</x:f>
      </x:c>
      <x:c r="AC21" s="36" t="str">
        <x:f>IF(AND(AC$5&gt;=$G21,AC$5&lt;=$H21),"■","")</x:f>
      </x:c>
      <x:c r="AD21" s="36" t="str">
        <x:f>IF(AND(AD$5&gt;=$G21,AD$5&lt;=$H21),"■","")</x:f>
      </x:c>
      <x:c r="AE21" s="36" t="str">
        <x:f>IF(AND(AE$5&gt;=$G21,AE$5&lt;=$H21),"■","")</x:f>
      </x:c>
      <x:c r="AF21" s="36" t="str">
        <x:f>IF(AND(AF$5&gt;=$G21,AF$5&lt;=$H21),"■","")</x:f>
      </x:c>
      <x:c r="AG21" s="36" t="str">
        <x:f>IF(AND(AG$5&gt;=$G21,AG$5&lt;=$H21),"■","")</x:f>
      </x:c>
      <x:c r="AH21" s="36" t="str">
        <x:f>IF(AND(AH$5&gt;=$G21,AH$5&lt;=$H21),"■","")</x:f>
      </x:c>
      <x:c r="AI21" s="36" t="str">
        <x:f>IF(AND(AI$5&gt;=$G21,AI$5&lt;=$H21),"■","")</x:f>
      </x:c>
      <x:c r="AJ21" s="36" t="str">
        <x:f>IF(AND(AJ$5&gt;=$G21,AJ$5&lt;=$H21),"■","")</x:f>
      </x:c>
      <x:c r="AK21" s="36" t="str">
        <x:f>IF(AND(AK$5&gt;=$G21,AK$5&lt;=$H21),"■","")</x:f>
      </x:c>
      <x:c r="AL21" s="36" t="str">
        <x:f>IF(AND(AL$5&gt;=$G21,AL$5&lt;=$H21),"■","")</x:f>
      </x:c>
      <x:c r="AM21" s="36" t="str">
        <x:f>IF(AND(AM$5&gt;=$G21,AM$5&lt;=$H21),"■","")</x:f>
      </x:c>
      <x:c r="AN21" s="36" t="str">
        <x:f>IF(AND(AN$5&gt;=$G21,AN$5&lt;=$H21),"■","")</x:f>
      </x:c>
      <x:c r="AO21" s="36" t="str">
        <x:f>IF(AND(AO$5&gt;=$G21,AO$5&lt;=$H21),"■","")</x:f>
      </x:c>
      <x:c r="AP21" s="36" t="str">
        <x:f>IF(AND(AP$5&gt;=$G21,AP$5&lt;=$H21),"■","")</x:f>
      </x:c>
      <x:c r="AQ21" s="36" t="str">
        <x:f>IF(AND(AQ$5&gt;=$G21,AQ$5&lt;=$H21),"■","")</x:f>
      </x:c>
      <x:c r="AR21" s="36" t="str">
        <x:f>IF(AND(AR$5&gt;=$G21,AR$5&lt;=$H21),"■","")</x:f>
      </x:c>
      <x:c r="AS21" s="36" t="str">
        <x:f>IF(AND(AS$5&gt;=$G21,AS$5&lt;=$H21),"■","")</x:f>
      </x:c>
      <x:c r="AT21" s="36" t="str">
        <x:f>IF(AND(AT$5&gt;=$G21,AT$5&lt;=$H21),"■","")</x:f>
      </x:c>
      <x:c r="AU21" s="36" t="str">
        <x:f>IF(AND(AU$5&gt;=$G21,AU$5&lt;=$H21),"■","")</x:f>
      </x:c>
      <x:c r="AV21" s="36" t="str">
        <x:f>IF(AND(AV$5&gt;=$G21,AV$5&lt;=$H21),"■","")</x:f>
      </x:c>
    </x:row>
    <x:row r="22" ht="31" customHeight="1">
      <x:c r="A22" s="37" t="str">
        <x:v>데이터 수집·전처리·DB</x:v>
      </x:c>
      <x:c r="B22" s="37" t="str">
        <x:v>2.10</x:v>
      </x:c>
      <x:c r="C22" s="38" t="str">
        <x:v>분리된 template·seed 기반 scenario·정답 manifest·회귀 fixture 구축</x:v>
      </x:c>
      <x:c r="D22" s="38" t="str">
        <x:v>검증 리포트·정답표</x:v>
      </x:c>
      <x:c r="E22" s="37" t="str">
        <x:v>박준희·정승</x:v>
      </x:c>
      <x:c r="F22" s="37" t="str">
        <x:v>대기</x:v>
      </x:c>
      <x:c r="G22" s="39" t="n">
        <x:v>46232.5</x:v>
      </x:c>
      <x:c r="H22" s="39" t="n">
        <x:v>46239.5</x:v>
      </x:c>
      <x:c r="I22" s="39"/>
      <x:c r="J22" s="40" t="n">
        <x:f>IF(F22="완료",100%,IF(F22="검토",90%,IF(F22="진행",60%,IF(F22="진행중",60%,IF(F22="차단",25%,0%)))))</x:f>
        <x:v>0</x:v>
      </x:c>
      <x:c r="K22" s="36" t="str">
        <x:f>IF(AND(K$5&gt;=$G22,K$5&lt;=$H22),"■","")</x:f>
      </x:c>
      <x:c r="L22" s="36" t="str">
        <x:f>IF(AND(L$5&gt;=$G22,L$5&lt;=$H22),"■","")</x:f>
      </x:c>
      <x:c r="M22" s="36" t="str">
        <x:f>IF(AND(M$5&gt;=$G22,M$5&lt;=$H22),"■","")</x:f>
      </x:c>
      <x:c r="N22" s="36" t="str">
        <x:f>IF(AND(N$5&gt;=$G22,N$5&lt;=$H22),"■","")</x:f>
      </x:c>
      <x:c r="O22" s="36" t="str">
        <x:f>IF(AND(O$5&gt;=$G22,O$5&lt;=$H22),"■","")</x:f>
      </x:c>
      <x:c r="P22" s="36" t="str">
        <x:f>IF(AND(P$5&gt;=$G22,P$5&lt;=$H22),"■","")</x:f>
      </x:c>
      <x:c r="Q22" s="36" t="str">
        <x:f>IF(AND(Q$5&gt;=$G22,Q$5&lt;=$H22),"■","")</x:f>
      </x:c>
      <x:c r="R22" s="36" t="str">
        <x:f>IF(AND(R$5&gt;=$G22,R$5&lt;=$H22),"■","")</x:f>
      </x:c>
      <x:c r="S22" s="36" t="str">
        <x:f>IF(AND(S$5&gt;=$G22,S$5&lt;=$H22),"■","")</x:f>
      </x:c>
      <x:c r="T22" s="36" t="str">
        <x:f>IF(AND(T$5&gt;=$G22,T$5&lt;=$H22),"■","")</x:f>
      </x:c>
      <x:c r="U22" s="36" t="str">
        <x:f>IF(AND(U$5&gt;=$G22,U$5&lt;=$H22),"■","")</x:f>
      </x:c>
      <x:c r="V22" s="36" t="str">
        <x:f>IF(AND(V$5&gt;=$G22,V$5&lt;=$H22),"■","")</x:f>
      </x:c>
      <x:c r="W22" s="36" t="str">
        <x:f>IF(AND(W$5&gt;=$G22,W$5&lt;=$H22),"■","")</x:f>
        <x:v>■</x:v>
      </x:c>
      <x:c r="X22" s="36" t="str">
        <x:f>IF(AND(X$5&gt;=$G22,X$5&lt;=$H22),"■","")</x:f>
        <x:v>■</x:v>
      </x:c>
      <x:c r="Y22" s="36" t="str">
        <x:f>IF(AND(Y$5&gt;=$G22,Y$5&lt;=$H22),"■","")</x:f>
        <x:v>■</x:v>
      </x:c>
      <x:c r="Z22" s="36" t="str">
        <x:f>IF(AND(Z$5&gt;=$G22,Z$5&lt;=$H22),"■","")</x:f>
        <x:v>■</x:v>
      </x:c>
      <x:c r="AA22" s="36" t="str">
        <x:f>IF(AND(AA$5&gt;=$G22,AA$5&lt;=$H22),"■","")</x:f>
        <x:v>■</x:v>
      </x:c>
      <x:c r="AB22" s="36" t="str">
        <x:f>IF(AND(AB$5&gt;=$G22,AB$5&lt;=$H22),"■","")</x:f>
        <x:v>■</x:v>
      </x:c>
      <x:c r="AC22" s="36" t="str">
        <x:f>IF(AND(AC$5&gt;=$G22,AC$5&lt;=$H22),"■","")</x:f>
      </x:c>
      <x:c r="AD22" s="36" t="str">
        <x:f>IF(AND(AD$5&gt;=$G22,AD$5&lt;=$H22),"■","")</x:f>
      </x:c>
      <x:c r="AE22" s="36" t="str">
        <x:f>IF(AND(AE$5&gt;=$G22,AE$5&lt;=$H22),"■","")</x:f>
      </x:c>
      <x:c r="AF22" s="36" t="str">
        <x:f>IF(AND(AF$5&gt;=$G22,AF$5&lt;=$H22),"■","")</x:f>
      </x:c>
      <x:c r="AG22" s="36" t="str">
        <x:f>IF(AND(AG$5&gt;=$G22,AG$5&lt;=$H22),"■","")</x:f>
      </x:c>
      <x:c r="AH22" s="36" t="str">
        <x:f>IF(AND(AH$5&gt;=$G22,AH$5&lt;=$H22),"■","")</x:f>
      </x:c>
      <x:c r="AI22" s="36" t="str">
        <x:f>IF(AND(AI$5&gt;=$G22,AI$5&lt;=$H22),"■","")</x:f>
      </x:c>
      <x:c r="AJ22" s="36" t="str">
        <x:f>IF(AND(AJ$5&gt;=$G22,AJ$5&lt;=$H22),"■","")</x:f>
      </x:c>
      <x:c r="AK22" s="36" t="str">
        <x:f>IF(AND(AK$5&gt;=$G22,AK$5&lt;=$H22),"■","")</x:f>
      </x:c>
      <x:c r="AL22" s="36" t="str">
        <x:f>IF(AND(AL$5&gt;=$G22,AL$5&lt;=$H22),"■","")</x:f>
      </x:c>
      <x:c r="AM22" s="36" t="str">
        <x:f>IF(AND(AM$5&gt;=$G22,AM$5&lt;=$H22),"■","")</x:f>
      </x:c>
      <x:c r="AN22" s="36" t="str">
        <x:f>IF(AND(AN$5&gt;=$G22,AN$5&lt;=$H22),"■","")</x:f>
      </x:c>
      <x:c r="AO22" s="36" t="str">
        <x:f>IF(AND(AO$5&gt;=$G22,AO$5&lt;=$H22),"■","")</x:f>
      </x:c>
      <x:c r="AP22" s="36" t="str">
        <x:f>IF(AND(AP$5&gt;=$G22,AP$5&lt;=$H22),"■","")</x:f>
      </x:c>
      <x:c r="AQ22" s="36" t="str">
        <x:f>IF(AND(AQ$5&gt;=$G22,AQ$5&lt;=$H22),"■","")</x:f>
      </x:c>
      <x:c r="AR22" s="36" t="str">
        <x:f>IF(AND(AR$5&gt;=$G22,AR$5&lt;=$H22),"■","")</x:f>
      </x:c>
      <x:c r="AS22" s="36" t="str">
        <x:f>IF(AND(AS$5&gt;=$G22,AS$5&lt;=$H22),"■","")</x:f>
      </x:c>
      <x:c r="AT22" s="36" t="str">
        <x:f>IF(AND(AT$5&gt;=$G22,AT$5&lt;=$H22),"■","")</x:f>
      </x:c>
      <x:c r="AU22" s="36" t="str">
        <x:f>IF(AND(AU$5&gt;=$G22,AU$5&lt;=$H22),"■","")</x:f>
      </x:c>
      <x:c r="AV22" s="36" t="str">
        <x:f>IF(AND(AV$5&gt;=$G22,AV$5&lt;=$H22),"■","")</x:f>
      </x:c>
    </x:row>
    <x:row r="23" ht="31" customHeight="1">
      <x:c r="A23" s="37" t="str">
        <x:v>AI·NLP 분석</x:v>
      </x:c>
      <x:c r="B23" s="37" t="str">
        <x:v>3.1</x:v>
      </x:c>
      <x:c r="C23" s="38" t="str">
        <x:v>합성 VOC 감성 분류 모델 비교</x:v>
      </x:c>
      <x:c r="D23" s="38" t="str">
        <x:v>모델 비교 결과(독립 실험)</x:v>
      </x:c>
      <x:c r="E23" s="37" t="str">
        <x:v>윤대성</x:v>
      </x:c>
      <x:c r="F23" s="37" t="str">
        <x:v>대기</x:v>
      </x:c>
      <x:c r="G23" s="39" t="n">
        <x:v>46233.5</x:v>
      </x:c>
      <x:c r="H23" s="39" t="n">
        <x:v>46234.5</x:v>
      </x:c>
      <x:c r="I23" s="39"/>
      <x:c r="J23" s="40" t="n">
        <x:f>IF(F23="완료",100%,IF(F23="검토",90%,IF(F23="진행",60%,IF(F23="진행중",60%,IF(F23="차단",25%,0%)))))</x:f>
        <x:v>0</x:v>
      </x:c>
      <x:c r="K23" s="36" t="str">
        <x:f>IF(AND(K$5&gt;=$G23,K$5&lt;=$H23),"■","")</x:f>
      </x:c>
      <x:c r="L23" s="36" t="str">
        <x:f>IF(AND(L$5&gt;=$G23,L$5&lt;=$H23),"■","")</x:f>
      </x:c>
      <x:c r="M23" s="36" t="str">
        <x:f>IF(AND(M$5&gt;=$G23,M$5&lt;=$H23),"■","")</x:f>
      </x:c>
      <x:c r="N23" s="36" t="str">
        <x:f>IF(AND(N$5&gt;=$G23,N$5&lt;=$H23),"■","")</x:f>
      </x:c>
      <x:c r="O23" s="36" t="str">
        <x:f>IF(AND(O$5&gt;=$G23,O$5&lt;=$H23),"■","")</x:f>
      </x:c>
      <x:c r="P23" s="36" t="str">
        <x:f>IF(AND(P$5&gt;=$G23,P$5&lt;=$H23),"■","")</x:f>
      </x:c>
      <x:c r="Q23" s="36" t="str">
        <x:f>IF(AND(Q$5&gt;=$G23,Q$5&lt;=$H23),"■","")</x:f>
      </x:c>
      <x:c r="R23" s="36" t="str">
        <x:f>IF(AND(R$5&gt;=$G23,R$5&lt;=$H23),"■","")</x:f>
      </x:c>
      <x:c r="S23" s="36" t="str">
        <x:f>IF(AND(S$5&gt;=$G23,S$5&lt;=$H23),"■","")</x:f>
      </x:c>
      <x:c r="T23" s="36" t="str">
        <x:f>IF(AND(T$5&gt;=$G23,T$5&lt;=$H23),"■","")</x:f>
      </x:c>
      <x:c r="U23" s="36" t="str">
        <x:f>IF(AND(U$5&gt;=$G23,U$5&lt;=$H23),"■","")</x:f>
      </x:c>
      <x:c r="V23" s="36" t="str">
        <x:f>IF(AND(V$5&gt;=$G23,V$5&lt;=$H23),"■","")</x:f>
      </x:c>
      <x:c r="W23" s="36" t="str">
        <x:f>IF(AND(W$5&gt;=$G23,W$5&lt;=$H23),"■","")</x:f>
      </x:c>
      <x:c r="X23" s="36" t="str">
        <x:f>IF(AND(X$5&gt;=$G23,X$5&lt;=$H23),"■","")</x:f>
        <x:v>■</x:v>
      </x:c>
      <x:c r="Y23" s="36" t="str">
        <x:f>IF(AND(Y$5&gt;=$G23,Y$5&lt;=$H23),"■","")</x:f>
        <x:v>■</x:v>
      </x:c>
      <x:c r="Z23" s="36" t="str">
        <x:f>IF(AND(Z$5&gt;=$G23,Z$5&lt;=$H23),"■","")</x:f>
      </x:c>
      <x:c r="AA23" s="36" t="str">
        <x:f>IF(AND(AA$5&gt;=$G23,AA$5&lt;=$H23),"■","")</x:f>
      </x:c>
      <x:c r="AB23" s="36" t="str">
        <x:f>IF(AND(AB$5&gt;=$G23,AB$5&lt;=$H23),"■","")</x:f>
      </x:c>
      <x:c r="AC23" s="36" t="str">
        <x:f>IF(AND(AC$5&gt;=$G23,AC$5&lt;=$H23),"■","")</x:f>
      </x:c>
      <x:c r="AD23" s="36" t="str">
        <x:f>IF(AND(AD$5&gt;=$G23,AD$5&lt;=$H23),"■","")</x:f>
      </x:c>
      <x:c r="AE23" s="36" t="str">
        <x:f>IF(AND(AE$5&gt;=$G23,AE$5&lt;=$H23),"■","")</x:f>
      </x:c>
      <x:c r="AF23" s="36" t="str">
        <x:f>IF(AND(AF$5&gt;=$G23,AF$5&lt;=$H23),"■","")</x:f>
      </x:c>
      <x:c r="AG23" s="36" t="str">
        <x:f>IF(AND(AG$5&gt;=$G23,AG$5&lt;=$H23),"■","")</x:f>
      </x:c>
      <x:c r="AH23" s="36" t="str">
        <x:f>IF(AND(AH$5&gt;=$G23,AH$5&lt;=$H23),"■","")</x:f>
      </x:c>
      <x:c r="AI23" s="36" t="str">
        <x:f>IF(AND(AI$5&gt;=$G23,AI$5&lt;=$H23),"■","")</x:f>
      </x:c>
      <x:c r="AJ23" s="36" t="str">
        <x:f>IF(AND(AJ$5&gt;=$G23,AJ$5&lt;=$H23),"■","")</x:f>
      </x:c>
      <x:c r="AK23" s="36" t="str">
        <x:f>IF(AND(AK$5&gt;=$G23,AK$5&lt;=$H23),"■","")</x:f>
      </x:c>
      <x:c r="AL23" s="36" t="str">
        <x:f>IF(AND(AL$5&gt;=$G23,AL$5&lt;=$H23),"■","")</x:f>
      </x:c>
      <x:c r="AM23" s="36" t="str">
        <x:f>IF(AND(AM$5&gt;=$G23,AM$5&lt;=$H23),"■","")</x:f>
      </x:c>
      <x:c r="AN23" s="36" t="str">
        <x:f>IF(AND(AN$5&gt;=$G23,AN$5&lt;=$H23),"■","")</x:f>
      </x:c>
      <x:c r="AO23" s="36" t="str">
        <x:f>IF(AND(AO$5&gt;=$G23,AO$5&lt;=$H23),"■","")</x:f>
      </x:c>
      <x:c r="AP23" s="36" t="str">
        <x:f>IF(AND(AP$5&gt;=$G23,AP$5&lt;=$H23),"■","")</x:f>
      </x:c>
      <x:c r="AQ23" s="36" t="str">
        <x:f>IF(AND(AQ$5&gt;=$G23,AQ$5&lt;=$H23),"■","")</x:f>
      </x:c>
      <x:c r="AR23" s="36" t="str">
        <x:f>IF(AND(AR$5&gt;=$G23,AR$5&lt;=$H23),"■","")</x:f>
      </x:c>
      <x:c r="AS23" s="36" t="str">
        <x:f>IF(AND(AS$5&gt;=$G23,AS$5&lt;=$H23),"■","")</x:f>
      </x:c>
      <x:c r="AT23" s="36" t="str">
        <x:f>IF(AND(AT$5&gt;=$G23,AT$5&lt;=$H23),"■","")</x:f>
      </x:c>
      <x:c r="AU23" s="36" t="str">
        <x:f>IF(AND(AU$5&gt;=$G23,AU$5&lt;=$H23),"■","")</x:f>
      </x:c>
      <x:c r="AV23" s="36" t="str">
        <x:f>IF(AND(AV$5&gt;=$G23,AV$5&lt;=$H23),"■","")</x:f>
      </x:c>
    </x:row>
    <x:row r="24" ht="31" customHeight="1">
      <x:c r="A24" s="37" t="str">
        <x:v>AI·NLP 분석</x:v>
      </x:c>
      <x:c r="B24" s="37" t="str">
        <x:v>3.2</x:v>
      </x:c>
      <x:c r="C24" s="38" t="str">
        <x:v>합성 VOC 주제 분류 모델 비교</x:v>
      </x:c>
      <x:c r="D24" s="38" t="str">
        <x:v>주제 분류 모듈(독립 실험)</x:v>
      </x:c>
      <x:c r="E24" s="37" t="str">
        <x:v>윤대성</x:v>
      </x:c>
      <x:c r="F24" s="37" t="str">
        <x:v>대기</x:v>
      </x:c>
      <x:c r="G24" s="39" t="n">
        <x:v>46237.5</x:v>
      </x:c>
      <x:c r="H24" s="39" t="n">
        <x:v>46237.5</x:v>
      </x:c>
      <x:c r="I24" s="39"/>
      <x:c r="J24" s="40" t="n">
        <x:f>IF(F24="완료",100%,IF(F24="검토",90%,IF(F24="진행",60%,IF(F24="진행중",60%,IF(F24="차단",25%,0%)))))</x:f>
        <x:v>0</x:v>
      </x:c>
      <x:c r="K24" s="36" t="str">
        <x:f>IF(AND(K$5&gt;=$G24,K$5&lt;=$H24),"■","")</x:f>
      </x:c>
      <x:c r="L24" s="36" t="str">
        <x:f>IF(AND(L$5&gt;=$G24,L$5&lt;=$H24),"■","")</x:f>
      </x:c>
      <x:c r="M24" s="36" t="str">
        <x:f>IF(AND(M$5&gt;=$G24,M$5&lt;=$H24),"■","")</x:f>
      </x:c>
      <x:c r="N24" s="36" t="str">
        <x:f>IF(AND(N$5&gt;=$G24,N$5&lt;=$H24),"■","")</x:f>
      </x:c>
      <x:c r="O24" s="36" t="str">
        <x:f>IF(AND(O$5&gt;=$G24,O$5&lt;=$H24),"■","")</x:f>
      </x:c>
      <x:c r="P24" s="36" t="str">
        <x:f>IF(AND(P$5&gt;=$G24,P$5&lt;=$H24),"■","")</x:f>
      </x:c>
      <x:c r="Q24" s="36" t="str">
        <x:f>IF(AND(Q$5&gt;=$G24,Q$5&lt;=$H24),"■","")</x:f>
      </x:c>
      <x:c r="R24" s="36" t="str">
        <x:f>IF(AND(R$5&gt;=$G24,R$5&lt;=$H24),"■","")</x:f>
      </x:c>
      <x:c r="S24" s="36" t="str">
        <x:f>IF(AND(S$5&gt;=$G24,S$5&lt;=$H24),"■","")</x:f>
      </x:c>
      <x:c r="T24" s="36" t="str">
        <x:f>IF(AND(T$5&gt;=$G24,T$5&lt;=$H24),"■","")</x:f>
      </x:c>
      <x:c r="U24" s="36" t="str">
        <x:f>IF(AND(U$5&gt;=$G24,U$5&lt;=$H24),"■","")</x:f>
      </x:c>
      <x:c r="V24" s="36" t="str">
        <x:f>IF(AND(V$5&gt;=$G24,V$5&lt;=$H24),"■","")</x:f>
      </x:c>
      <x:c r="W24" s="36" t="str">
        <x:f>IF(AND(W$5&gt;=$G24,W$5&lt;=$H24),"■","")</x:f>
      </x:c>
      <x:c r="X24" s="36" t="str">
        <x:f>IF(AND(X$5&gt;=$G24,X$5&lt;=$H24),"■","")</x:f>
      </x:c>
      <x:c r="Y24" s="36" t="str">
        <x:f>IF(AND(Y$5&gt;=$G24,Y$5&lt;=$H24),"■","")</x:f>
      </x:c>
      <x:c r="Z24" s="36" t="str">
        <x:f>IF(AND(Z$5&gt;=$G24,Z$5&lt;=$H24),"■","")</x:f>
        <x:v>■</x:v>
      </x:c>
      <x:c r="AA24" s="36" t="str">
        <x:f>IF(AND(AA$5&gt;=$G24,AA$5&lt;=$H24),"■","")</x:f>
      </x:c>
      <x:c r="AB24" s="36" t="str">
        <x:f>IF(AND(AB$5&gt;=$G24,AB$5&lt;=$H24),"■","")</x:f>
      </x:c>
      <x:c r="AC24" s="36" t="str">
        <x:f>IF(AND(AC$5&gt;=$G24,AC$5&lt;=$H24),"■","")</x:f>
      </x:c>
      <x:c r="AD24" s="36" t="str">
        <x:f>IF(AND(AD$5&gt;=$G24,AD$5&lt;=$H24),"■","")</x:f>
      </x:c>
      <x:c r="AE24" s="36" t="str">
        <x:f>IF(AND(AE$5&gt;=$G24,AE$5&lt;=$H24),"■","")</x:f>
      </x:c>
      <x:c r="AF24" s="36" t="str">
        <x:f>IF(AND(AF$5&gt;=$G24,AF$5&lt;=$H24),"■","")</x:f>
      </x:c>
      <x:c r="AG24" s="36" t="str">
        <x:f>IF(AND(AG$5&gt;=$G24,AG$5&lt;=$H24),"■","")</x:f>
      </x:c>
      <x:c r="AH24" s="36" t="str">
        <x:f>IF(AND(AH$5&gt;=$G24,AH$5&lt;=$H24),"■","")</x:f>
      </x:c>
      <x:c r="AI24" s="36" t="str">
        <x:f>IF(AND(AI$5&gt;=$G24,AI$5&lt;=$H24),"■","")</x:f>
      </x:c>
      <x:c r="AJ24" s="36" t="str">
        <x:f>IF(AND(AJ$5&gt;=$G24,AJ$5&lt;=$H24),"■","")</x:f>
      </x:c>
      <x:c r="AK24" s="36" t="str">
        <x:f>IF(AND(AK$5&gt;=$G24,AK$5&lt;=$H24),"■","")</x:f>
      </x:c>
      <x:c r="AL24" s="36" t="str">
        <x:f>IF(AND(AL$5&gt;=$G24,AL$5&lt;=$H24),"■","")</x:f>
      </x:c>
      <x:c r="AM24" s="36" t="str">
        <x:f>IF(AND(AM$5&gt;=$G24,AM$5&lt;=$H24),"■","")</x:f>
      </x:c>
      <x:c r="AN24" s="36" t="str">
        <x:f>IF(AND(AN$5&gt;=$G24,AN$5&lt;=$H24),"■","")</x:f>
      </x:c>
      <x:c r="AO24" s="36" t="str">
        <x:f>IF(AND(AO$5&gt;=$G24,AO$5&lt;=$H24),"■","")</x:f>
      </x:c>
      <x:c r="AP24" s="36" t="str">
        <x:f>IF(AND(AP$5&gt;=$G24,AP$5&lt;=$H24),"■","")</x:f>
      </x:c>
      <x:c r="AQ24" s="36" t="str">
        <x:f>IF(AND(AQ$5&gt;=$G24,AQ$5&lt;=$H24),"■","")</x:f>
      </x:c>
      <x:c r="AR24" s="36" t="str">
        <x:f>IF(AND(AR$5&gt;=$G24,AR$5&lt;=$H24),"■","")</x:f>
      </x:c>
      <x:c r="AS24" s="36" t="str">
        <x:f>IF(AND(AS$5&gt;=$G24,AS$5&lt;=$H24),"■","")</x:f>
      </x:c>
      <x:c r="AT24" s="36" t="str">
        <x:f>IF(AND(AT$5&gt;=$G24,AT$5&lt;=$H24),"■","")</x:f>
      </x:c>
      <x:c r="AU24" s="36" t="str">
        <x:f>IF(AND(AU$5&gt;=$G24,AU$5&lt;=$H24),"■","")</x:f>
      </x:c>
      <x:c r="AV24" s="36" t="str">
        <x:f>IF(AND(AV$5&gt;=$G24,AV$5&lt;=$H24),"■","")</x:f>
      </x:c>
    </x:row>
    <x:row r="25" ht="31" customHeight="1">
      <x:c r="A25" s="37" t="str">
        <x:v>AI·NLP 분석</x:v>
      </x:c>
      <x:c r="B25" s="37" t="str">
        <x:v>3.3</x:v>
      </x:c>
      <x:c r="C25" s="38" t="str">
        <x:v>합성 VOC 키워드·군집 비교</x:v>
      </x:c>
      <x:c r="D25" s="38" t="str">
        <x:v>VOC 분석 모듈(독립 실험)</x:v>
      </x:c>
      <x:c r="E25" s="37" t="str">
        <x:v>윤대성</x:v>
      </x:c>
      <x:c r="F25" s="37" t="str">
        <x:v>대기</x:v>
      </x:c>
      <x:c r="G25" s="39" t="n">
        <x:v>46238.5</x:v>
      </x:c>
      <x:c r="H25" s="39" t="n">
        <x:v>46238.5</x:v>
      </x:c>
      <x:c r="I25" s="39"/>
      <x:c r="J25" s="40" t="n">
        <x:f>IF(F25="완료",100%,IF(F25="검토",90%,IF(F25="진행",60%,IF(F25="진행중",60%,IF(F25="차단",25%,0%)))))</x:f>
        <x:v>0</x:v>
      </x:c>
      <x:c r="K25" s="36" t="str">
        <x:f>IF(AND(K$5&gt;=$G25,K$5&lt;=$H25),"■","")</x:f>
      </x:c>
      <x:c r="L25" s="36" t="str">
        <x:f>IF(AND(L$5&gt;=$G25,L$5&lt;=$H25),"■","")</x:f>
      </x:c>
      <x:c r="M25" s="36" t="str">
        <x:f>IF(AND(M$5&gt;=$G25,M$5&lt;=$H25),"■","")</x:f>
      </x:c>
      <x:c r="N25" s="36" t="str">
        <x:f>IF(AND(N$5&gt;=$G25,N$5&lt;=$H25),"■","")</x:f>
      </x:c>
      <x:c r="O25" s="36" t="str">
        <x:f>IF(AND(O$5&gt;=$G25,O$5&lt;=$H25),"■","")</x:f>
      </x:c>
      <x:c r="P25" s="36" t="str">
        <x:f>IF(AND(P$5&gt;=$G25,P$5&lt;=$H25),"■","")</x:f>
      </x:c>
      <x:c r="Q25" s="36" t="str">
        <x:f>IF(AND(Q$5&gt;=$G25,Q$5&lt;=$H25),"■","")</x:f>
      </x:c>
      <x:c r="R25" s="36" t="str">
        <x:f>IF(AND(R$5&gt;=$G25,R$5&lt;=$H25),"■","")</x:f>
      </x:c>
      <x:c r="S25" s="36" t="str">
        <x:f>IF(AND(S$5&gt;=$G25,S$5&lt;=$H25),"■","")</x:f>
      </x:c>
      <x:c r="T25" s="36" t="str">
        <x:f>IF(AND(T$5&gt;=$G25,T$5&lt;=$H25),"■","")</x:f>
      </x:c>
      <x:c r="U25" s="36" t="str">
        <x:f>IF(AND(U$5&gt;=$G25,U$5&lt;=$H25),"■","")</x:f>
      </x:c>
      <x:c r="V25" s="36" t="str">
        <x:f>IF(AND(V$5&gt;=$G25,V$5&lt;=$H25),"■","")</x:f>
      </x:c>
      <x:c r="W25" s="36" t="str">
        <x:f>IF(AND(W$5&gt;=$G25,W$5&lt;=$H25),"■","")</x:f>
      </x:c>
      <x:c r="X25" s="36" t="str">
        <x:f>IF(AND(X$5&gt;=$G25,X$5&lt;=$H25),"■","")</x:f>
      </x:c>
      <x:c r="Y25" s="36" t="str">
        <x:f>IF(AND(Y$5&gt;=$G25,Y$5&lt;=$H25),"■","")</x:f>
      </x:c>
      <x:c r="Z25" s="36" t="str">
        <x:f>IF(AND(Z$5&gt;=$G25,Z$5&lt;=$H25),"■","")</x:f>
      </x:c>
      <x:c r="AA25" s="36" t="str">
        <x:f>IF(AND(AA$5&gt;=$G25,AA$5&lt;=$H25),"■","")</x:f>
        <x:v>■</x:v>
      </x:c>
      <x:c r="AB25" s="36" t="str">
        <x:f>IF(AND(AB$5&gt;=$G25,AB$5&lt;=$H25),"■","")</x:f>
      </x:c>
      <x:c r="AC25" s="36" t="str">
        <x:f>IF(AND(AC$5&gt;=$G25,AC$5&lt;=$H25),"■","")</x:f>
      </x:c>
      <x:c r="AD25" s="36" t="str">
        <x:f>IF(AND(AD$5&gt;=$G25,AD$5&lt;=$H25),"■","")</x:f>
      </x:c>
      <x:c r="AE25" s="36" t="str">
        <x:f>IF(AND(AE$5&gt;=$G25,AE$5&lt;=$H25),"■","")</x:f>
      </x:c>
      <x:c r="AF25" s="36" t="str">
        <x:f>IF(AND(AF$5&gt;=$G25,AF$5&lt;=$H25),"■","")</x:f>
      </x:c>
      <x:c r="AG25" s="36" t="str">
        <x:f>IF(AND(AG$5&gt;=$G25,AG$5&lt;=$H25),"■","")</x:f>
      </x:c>
      <x:c r="AH25" s="36" t="str">
        <x:f>IF(AND(AH$5&gt;=$G25,AH$5&lt;=$H25),"■","")</x:f>
      </x:c>
      <x:c r="AI25" s="36" t="str">
        <x:f>IF(AND(AI$5&gt;=$G25,AI$5&lt;=$H25),"■","")</x:f>
      </x:c>
      <x:c r="AJ25" s="36" t="str">
        <x:f>IF(AND(AJ$5&gt;=$G25,AJ$5&lt;=$H25),"■","")</x:f>
      </x:c>
      <x:c r="AK25" s="36" t="str">
        <x:f>IF(AND(AK$5&gt;=$G25,AK$5&lt;=$H25),"■","")</x:f>
      </x:c>
      <x:c r="AL25" s="36" t="str">
        <x:f>IF(AND(AL$5&gt;=$G25,AL$5&lt;=$H25),"■","")</x:f>
      </x:c>
      <x:c r="AM25" s="36" t="str">
        <x:f>IF(AND(AM$5&gt;=$G25,AM$5&lt;=$H25),"■","")</x:f>
      </x:c>
      <x:c r="AN25" s="36" t="str">
        <x:f>IF(AND(AN$5&gt;=$G25,AN$5&lt;=$H25),"■","")</x:f>
      </x:c>
      <x:c r="AO25" s="36" t="str">
        <x:f>IF(AND(AO$5&gt;=$G25,AO$5&lt;=$H25),"■","")</x:f>
      </x:c>
      <x:c r="AP25" s="36" t="str">
        <x:f>IF(AND(AP$5&gt;=$G25,AP$5&lt;=$H25),"■","")</x:f>
      </x:c>
      <x:c r="AQ25" s="36" t="str">
        <x:f>IF(AND(AQ$5&gt;=$G25,AQ$5&lt;=$H25),"■","")</x:f>
      </x:c>
      <x:c r="AR25" s="36" t="str">
        <x:f>IF(AND(AR$5&gt;=$G25,AR$5&lt;=$H25),"■","")</x:f>
      </x:c>
      <x:c r="AS25" s="36" t="str">
        <x:f>IF(AND(AS$5&gt;=$G25,AS$5&lt;=$H25),"■","")</x:f>
      </x:c>
      <x:c r="AT25" s="36" t="str">
        <x:f>IF(AND(AT$5&gt;=$G25,AT$5&lt;=$H25),"■","")</x:f>
      </x:c>
      <x:c r="AU25" s="36" t="str">
        <x:f>IF(AND(AU$5&gt;=$G25,AU$5&lt;=$H25),"■","")</x:f>
      </x:c>
      <x:c r="AV25" s="36" t="str">
        <x:f>IF(AND(AV$5&gt;=$G25,AV$5&lt;=$H25),"■","")</x:f>
      </x:c>
    </x:row>
    <x:row r="26" ht="31" customHeight="1">
      <x:c r="A26" s="37" t="str">
        <x:v>AI·NLP 분석</x:v>
      </x:c>
      <x:c r="B26" s="37" t="str">
        <x:v>3.4</x:v>
      </x:c>
      <x:c r="C26" s="38" t="str">
        <x:v>2개 이상 모델 성능평가·오류 분석</x:v>
      </x:c>
      <x:c r="D26" s="38" t="str">
        <x:v>머신러닝/딥러닝 학습결과서</x:v>
      </x:c>
      <x:c r="E26" s="37" t="str">
        <x:v>윤대성</x:v>
      </x:c>
      <x:c r="F26" s="37" t="str">
        <x:v>대기</x:v>
      </x:c>
      <x:c r="G26" s="39" t="n">
        <x:v>46239.5</x:v>
      </x:c>
      <x:c r="H26" s="39" t="n">
        <x:v>46239.5</x:v>
      </x:c>
      <x:c r="I26" s="39" t="n">
        <x:v>46241.5</x:v>
      </x:c>
      <x:c r="J26" s="40" t="n">
        <x:f>IF(F26="완료",100%,IF(F26="검토",90%,IF(F26="진행",60%,IF(F26="진행중",60%,IF(F26="차단",25%,0%)))))</x:f>
        <x:v>0</x:v>
      </x:c>
      <x:c r="K26" s="36" t="str">
        <x:f>IF(AND(K$5&gt;=$G26,K$5&lt;=$H26),"■","")</x:f>
      </x:c>
      <x:c r="L26" s="36" t="str">
        <x:f>IF(AND(L$5&gt;=$G26,L$5&lt;=$H26),"■","")</x:f>
      </x:c>
      <x:c r="M26" s="36" t="str">
        <x:f>IF(AND(M$5&gt;=$G26,M$5&lt;=$H26),"■","")</x:f>
      </x:c>
      <x:c r="N26" s="36" t="str">
        <x:f>IF(AND(N$5&gt;=$G26,N$5&lt;=$H26),"■","")</x:f>
      </x:c>
      <x:c r="O26" s="36" t="str">
        <x:f>IF(AND(O$5&gt;=$G26,O$5&lt;=$H26),"■","")</x:f>
      </x:c>
      <x:c r="P26" s="36" t="str">
        <x:f>IF(AND(P$5&gt;=$G26,P$5&lt;=$H26),"■","")</x:f>
      </x:c>
      <x:c r="Q26" s="36" t="str">
        <x:f>IF(AND(Q$5&gt;=$G26,Q$5&lt;=$H26),"■","")</x:f>
      </x:c>
      <x:c r="R26" s="36" t="str">
        <x:f>IF(AND(R$5&gt;=$G26,R$5&lt;=$H26),"■","")</x:f>
      </x:c>
      <x:c r="S26" s="36" t="str">
        <x:f>IF(AND(S$5&gt;=$G26,S$5&lt;=$H26),"■","")</x:f>
      </x:c>
      <x:c r="T26" s="36" t="str">
        <x:f>IF(AND(T$5&gt;=$G26,T$5&lt;=$H26),"■","")</x:f>
      </x:c>
      <x:c r="U26" s="36" t="str">
        <x:f>IF(AND(U$5&gt;=$G26,U$5&lt;=$H26),"■","")</x:f>
      </x:c>
      <x:c r="V26" s="36" t="str">
        <x:f>IF(AND(V$5&gt;=$G26,V$5&lt;=$H26),"■","")</x:f>
      </x:c>
      <x:c r="W26" s="36" t="str">
        <x:f>IF(AND(W$5&gt;=$G26,W$5&lt;=$H26),"■","")</x:f>
      </x:c>
      <x:c r="X26" s="36" t="str">
        <x:f>IF(AND(X$5&gt;=$G26,X$5&lt;=$H26),"■","")</x:f>
      </x:c>
      <x:c r="Y26" s="36" t="str">
        <x:f>IF(AND(Y$5&gt;=$G26,Y$5&lt;=$H26),"■","")</x:f>
      </x:c>
      <x:c r="Z26" s="36" t="str">
        <x:f>IF(AND(Z$5&gt;=$G26,Z$5&lt;=$H26),"■","")</x:f>
      </x:c>
      <x:c r="AA26" s="36" t="str">
        <x:f>IF(AND(AA$5&gt;=$G26,AA$5&lt;=$H26),"■","")</x:f>
      </x:c>
      <x:c r="AB26" s="36" t="str">
        <x:f>IF(AND(AB$5&gt;=$G26,AB$5&lt;=$H26),"■","")</x:f>
        <x:v>■</x:v>
      </x:c>
      <x:c r="AC26" s="36" t="str">
        <x:f>IF(AND(AC$5&gt;=$G26,AC$5&lt;=$H26),"■","")</x:f>
      </x:c>
      <x:c r="AD26" s="36" t="str">
        <x:f>IF(AND(AD$5&gt;=$G26,AD$5&lt;=$H26),"■","")</x:f>
      </x:c>
      <x:c r="AE26" s="36" t="str">
        <x:f>IF(AND(AE$5&gt;=$G26,AE$5&lt;=$H26),"■","")</x:f>
      </x:c>
      <x:c r="AF26" s="36" t="str">
        <x:f>IF(AND(AF$5&gt;=$G26,AF$5&lt;=$H26),"■","")</x:f>
      </x:c>
      <x:c r="AG26" s="36" t="str">
        <x:f>IF(AND(AG$5&gt;=$G26,AG$5&lt;=$H26),"■","")</x:f>
      </x:c>
      <x:c r="AH26" s="36" t="str">
        <x:f>IF(AND(AH$5&gt;=$G26,AH$5&lt;=$H26),"■","")</x:f>
      </x:c>
      <x:c r="AI26" s="36" t="str">
        <x:f>IF(AND(AI$5&gt;=$G26,AI$5&lt;=$H26),"■","")</x:f>
      </x:c>
      <x:c r="AJ26" s="36" t="str">
        <x:f>IF(AND(AJ$5&gt;=$G26,AJ$5&lt;=$H26),"■","")</x:f>
      </x:c>
      <x:c r="AK26" s="36" t="str">
        <x:f>IF(AND(AK$5&gt;=$G26,AK$5&lt;=$H26),"■","")</x:f>
      </x:c>
      <x:c r="AL26" s="36" t="str">
        <x:f>IF(AND(AL$5&gt;=$G26,AL$5&lt;=$H26),"■","")</x:f>
      </x:c>
      <x:c r="AM26" s="36" t="str">
        <x:f>IF(AND(AM$5&gt;=$G26,AM$5&lt;=$H26),"■","")</x:f>
      </x:c>
      <x:c r="AN26" s="36" t="str">
        <x:f>IF(AND(AN$5&gt;=$G26,AN$5&lt;=$H26),"■","")</x:f>
      </x:c>
      <x:c r="AO26" s="36" t="str">
        <x:f>IF(AND(AO$5&gt;=$G26,AO$5&lt;=$H26),"■","")</x:f>
      </x:c>
      <x:c r="AP26" s="36" t="str">
        <x:f>IF(AND(AP$5&gt;=$G26,AP$5&lt;=$H26),"■","")</x:f>
      </x:c>
      <x:c r="AQ26" s="36" t="str">
        <x:f>IF(AND(AQ$5&gt;=$G26,AQ$5&lt;=$H26),"■","")</x:f>
      </x:c>
      <x:c r="AR26" s="36" t="str">
        <x:f>IF(AND(AR$5&gt;=$G26,AR$5&lt;=$H26),"■","")</x:f>
      </x:c>
      <x:c r="AS26" s="36" t="str">
        <x:f>IF(AND(AS$5&gt;=$G26,AS$5&lt;=$H26),"■","")</x:f>
      </x:c>
      <x:c r="AT26" s="36" t="str">
        <x:f>IF(AND(AT$5&gt;=$G26,AT$5&lt;=$H26),"■","")</x:f>
      </x:c>
      <x:c r="AU26" s="36" t="str">
        <x:f>IF(AND(AU$5&gt;=$G26,AU$5&lt;=$H26),"■","")</x:f>
      </x:c>
      <x:c r="AV26" s="36" t="str">
        <x:f>IF(AND(AV$5&gt;=$G26,AV$5&lt;=$H26),"■","")</x:f>
      </x:c>
    </x:row>
    <x:row r="27" ht="31" customHeight="1">
      <x:c r="A27" s="37" t="str">
        <x:v>AI·NLP 분석</x:v>
      </x:c>
      <x:c r="B27" s="37" t="str">
        <x:v>3.5</x:v>
      </x:c>
      <x:c r="C27" s="38" t="str">
        <x:v>최종 모델 저장·재현·연동 검증</x:v>
      </x:c>
      <x:c r="D27" s="38" t="str">
        <x:v>학습한 ML/DL 모델</x:v>
      </x:c>
      <x:c r="E27" s="37" t="str">
        <x:v>윤대성</x:v>
      </x:c>
      <x:c r="F27" s="37" t="str">
        <x:v>대기</x:v>
      </x:c>
      <x:c r="G27" s="39" t="n">
        <x:v>46240.5</x:v>
      </x:c>
      <x:c r="H27" s="39" t="n">
        <x:v>46241.5</x:v>
      </x:c>
      <x:c r="I27" s="39" t="n">
        <x:v>46241.5</x:v>
      </x:c>
      <x:c r="J27" s="40" t="n">
        <x:f>IF(F27="완료",100%,IF(F27="검토",90%,IF(F27="진행",60%,IF(F27="진행중",60%,IF(F27="차단",25%,0%)))))</x:f>
        <x:v>0</x:v>
      </x:c>
      <x:c r="K27" s="36" t="str">
        <x:f>IF(AND(K$5&gt;=$G27,K$5&lt;=$H27),"■","")</x:f>
      </x:c>
      <x:c r="L27" s="36" t="str">
        <x:f>IF(AND(L$5&gt;=$G27,L$5&lt;=$H27),"■","")</x:f>
      </x:c>
      <x:c r="M27" s="36" t="str">
        <x:f>IF(AND(M$5&gt;=$G27,M$5&lt;=$H27),"■","")</x:f>
      </x:c>
      <x:c r="N27" s="36" t="str">
        <x:f>IF(AND(N$5&gt;=$G27,N$5&lt;=$H27),"■","")</x:f>
      </x:c>
      <x:c r="O27" s="36" t="str">
        <x:f>IF(AND(O$5&gt;=$G27,O$5&lt;=$H27),"■","")</x:f>
      </x:c>
      <x:c r="P27" s="36" t="str">
        <x:f>IF(AND(P$5&gt;=$G27,P$5&lt;=$H27),"■","")</x:f>
      </x:c>
      <x:c r="Q27" s="36" t="str">
        <x:f>IF(AND(Q$5&gt;=$G27,Q$5&lt;=$H27),"■","")</x:f>
      </x:c>
      <x:c r="R27" s="36" t="str">
        <x:f>IF(AND(R$5&gt;=$G27,R$5&lt;=$H27),"■","")</x:f>
      </x:c>
      <x:c r="S27" s="36" t="str">
        <x:f>IF(AND(S$5&gt;=$G27,S$5&lt;=$H27),"■","")</x:f>
      </x:c>
      <x:c r="T27" s="36" t="str">
        <x:f>IF(AND(T$5&gt;=$G27,T$5&lt;=$H27),"■","")</x:f>
      </x:c>
      <x:c r="U27" s="36" t="str">
        <x:f>IF(AND(U$5&gt;=$G27,U$5&lt;=$H27),"■","")</x:f>
      </x:c>
      <x:c r="V27" s="36" t="str">
        <x:f>IF(AND(V$5&gt;=$G27,V$5&lt;=$H27),"■","")</x:f>
      </x:c>
      <x:c r="W27" s="36" t="str">
        <x:f>IF(AND(W$5&gt;=$G27,W$5&lt;=$H27),"■","")</x:f>
      </x:c>
      <x:c r="X27" s="36" t="str">
        <x:f>IF(AND(X$5&gt;=$G27,X$5&lt;=$H27),"■","")</x:f>
      </x:c>
      <x:c r="Y27" s="36" t="str">
        <x:f>IF(AND(Y$5&gt;=$G27,Y$5&lt;=$H27),"■","")</x:f>
      </x:c>
      <x:c r="Z27" s="36" t="str">
        <x:f>IF(AND(Z$5&gt;=$G27,Z$5&lt;=$H27),"■","")</x:f>
      </x:c>
      <x:c r="AA27" s="36" t="str">
        <x:f>IF(AND(AA$5&gt;=$G27,AA$5&lt;=$H27),"■","")</x:f>
      </x:c>
      <x:c r="AB27" s="36" t="str">
        <x:f>IF(AND(AB$5&gt;=$G27,AB$5&lt;=$H27),"■","")</x:f>
      </x:c>
      <x:c r="AC27" s="36" t="str">
        <x:f>IF(AND(AC$5&gt;=$G27,AC$5&lt;=$H27),"■","")</x:f>
        <x:v>■</x:v>
      </x:c>
      <x:c r="AD27" s="36" t="str">
        <x:f>IF(AND(AD$5&gt;=$G27,AD$5&lt;=$H27),"■","")</x:f>
        <x:v>■</x:v>
      </x:c>
      <x:c r="AE27" s="36" t="str">
        <x:f>IF(AND(AE$5&gt;=$G27,AE$5&lt;=$H27),"■","")</x:f>
      </x:c>
      <x:c r="AF27" s="36" t="str">
        <x:f>IF(AND(AF$5&gt;=$G27,AF$5&lt;=$H27),"■","")</x:f>
      </x:c>
      <x:c r="AG27" s="36" t="str">
        <x:f>IF(AND(AG$5&gt;=$G27,AG$5&lt;=$H27),"■","")</x:f>
      </x:c>
      <x:c r="AH27" s="36" t="str">
        <x:f>IF(AND(AH$5&gt;=$G27,AH$5&lt;=$H27),"■","")</x:f>
      </x:c>
      <x:c r="AI27" s="36" t="str">
        <x:f>IF(AND(AI$5&gt;=$G27,AI$5&lt;=$H27),"■","")</x:f>
      </x:c>
      <x:c r="AJ27" s="36" t="str">
        <x:f>IF(AND(AJ$5&gt;=$G27,AJ$5&lt;=$H27),"■","")</x:f>
      </x:c>
      <x:c r="AK27" s="36" t="str">
        <x:f>IF(AND(AK$5&gt;=$G27,AK$5&lt;=$H27),"■","")</x:f>
      </x:c>
      <x:c r="AL27" s="36" t="str">
        <x:f>IF(AND(AL$5&gt;=$G27,AL$5&lt;=$H27),"■","")</x:f>
      </x:c>
      <x:c r="AM27" s="36" t="str">
        <x:f>IF(AND(AM$5&gt;=$G27,AM$5&lt;=$H27),"■","")</x:f>
      </x:c>
      <x:c r="AN27" s="36" t="str">
        <x:f>IF(AND(AN$5&gt;=$G27,AN$5&lt;=$H27),"■","")</x:f>
      </x:c>
      <x:c r="AO27" s="36" t="str">
        <x:f>IF(AND(AO$5&gt;=$G27,AO$5&lt;=$H27),"■","")</x:f>
      </x:c>
      <x:c r="AP27" s="36" t="str">
        <x:f>IF(AND(AP$5&gt;=$G27,AP$5&lt;=$H27),"■","")</x:f>
      </x:c>
      <x:c r="AQ27" s="36" t="str">
        <x:f>IF(AND(AQ$5&gt;=$G27,AQ$5&lt;=$H27),"■","")</x:f>
      </x:c>
      <x:c r="AR27" s="36" t="str">
        <x:f>IF(AND(AR$5&gt;=$G27,AR$5&lt;=$H27),"■","")</x:f>
      </x:c>
      <x:c r="AS27" s="36" t="str">
        <x:f>IF(AND(AS$5&gt;=$G27,AS$5&lt;=$H27),"■","")</x:f>
      </x:c>
      <x:c r="AT27" s="36" t="str">
        <x:f>IF(AND(AT$5&gt;=$G27,AT$5&lt;=$H27),"■","")</x:f>
      </x:c>
      <x:c r="AU27" s="36" t="str">
        <x:f>IF(AND(AU$5&gt;=$G27,AU$5&lt;=$H27),"■","")</x:f>
      </x:c>
      <x:c r="AV27" s="36" t="str">
        <x:f>IF(AND(AV$5&gt;=$G27,AV$5&lt;=$H27),"■","")</x:f>
      </x:c>
    </x:row>
    <x:row r="28" ht="31" customHeight="1">
      <x:c r="A28" s="37" t="str">
        <x:v>AI·NLP 분석</x:v>
      </x:c>
      <x:c r="B28" s="37" t="str">
        <x:v>3.6</x:v>
      </x:c>
      <x:c r="C28" s="38" t="str">
        <x:v>합성 VOC VectorDB 검색 성능 검증·GraphDB 미도입 사유 기록</x:v>
      </x:c>
      <x:c r="D28" s="38" t="str">
        <x:v>벡터DB/GraphDB 구축 결과서(공식 명칭·pgvector 독립 실험)</x:v>
      </x:c>
      <x:c r="E28" s="37" t="str">
        <x:v>김재홍</x:v>
      </x:c>
      <x:c r="F28" s="37" t="str">
        <x:v>대기</x:v>
      </x:c>
      <x:c r="G28" s="39" t="n">
        <x:v>46233.5</x:v>
      </x:c>
      <x:c r="H28" s="39" t="n">
        <x:v>46237.5</x:v>
      </x:c>
      <x:c r="I28" s="39" t="n">
        <x:v>46241.5</x:v>
      </x:c>
      <x:c r="J28" s="40" t="n">
        <x:f>IF(F28="완료",100%,IF(F28="검토",90%,IF(F28="진행",60%,IF(F28="진행중",60%,IF(F28="차단",25%,0%)))))</x:f>
        <x:v>0</x:v>
      </x:c>
      <x:c r="K28" s="36" t="str">
        <x:f>IF(AND(K$5&gt;=$G28,K$5&lt;=$H28),"■","")</x:f>
      </x:c>
      <x:c r="L28" s="36" t="str">
        <x:f>IF(AND(L$5&gt;=$G28,L$5&lt;=$H28),"■","")</x:f>
      </x:c>
      <x:c r="M28" s="36" t="str">
        <x:f>IF(AND(M$5&gt;=$G28,M$5&lt;=$H28),"■","")</x:f>
      </x:c>
      <x:c r="N28" s="36" t="str">
        <x:f>IF(AND(N$5&gt;=$G28,N$5&lt;=$H28),"■","")</x:f>
      </x:c>
      <x:c r="O28" s="36" t="str">
        <x:f>IF(AND(O$5&gt;=$G28,O$5&lt;=$H28),"■","")</x:f>
      </x:c>
      <x:c r="P28" s="36" t="str">
        <x:f>IF(AND(P$5&gt;=$G28,P$5&lt;=$H28),"■","")</x:f>
      </x:c>
      <x:c r="Q28" s="36" t="str">
        <x:f>IF(AND(Q$5&gt;=$G28,Q$5&lt;=$H28),"■","")</x:f>
      </x:c>
      <x:c r="R28" s="36" t="str">
        <x:f>IF(AND(R$5&gt;=$G28,R$5&lt;=$H28),"■","")</x:f>
      </x:c>
      <x:c r="S28" s="36" t="str">
        <x:f>IF(AND(S$5&gt;=$G28,S$5&lt;=$H28),"■","")</x:f>
      </x:c>
      <x:c r="T28" s="36" t="str">
        <x:f>IF(AND(T$5&gt;=$G28,T$5&lt;=$H28),"■","")</x:f>
      </x:c>
      <x:c r="U28" s="36" t="str">
        <x:f>IF(AND(U$5&gt;=$G28,U$5&lt;=$H28),"■","")</x:f>
      </x:c>
      <x:c r="V28" s="36" t="str">
        <x:f>IF(AND(V$5&gt;=$G28,V$5&lt;=$H28),"■","")</x:f>
      </x:c>
      <x:c r="W28" s="36" t="str">
        <x:f>IF(AND(W$5&gt;=$G28,W$5&lt;=$H28),"■","")</x:f>
      </x:c>
      <x:c r="X28" s="36" t="str">
        <x:f>IF(AND(X$5&gt;=$G28,X$5&lt;=$H28),"■","")</x:f>
        <x:v>■</x:v>
      </x:c>
      <x:c r="Y28" s="36" t="str">
        <x:f>IF(AND(Y$5&gt;=$G28,Y$5&lt;=$H28),"■","")</x:f>
        <x:v>■</x:v>
      </x:c>
      <x:c r="Z28" s="36" t="str">
        <x:f>IF(AND(Z$5&gt;=$G28,Z$5&lt;=$H28),"■","")</x:f>
        <x:v>■</x:v>
      </x:c>
      <x:c r="AA28" s="36" t="str">
        <x:f>IF(AND(AA$5&gt;=$G28,AA$5&lt;=$H28),"■","")</x:f>
      </x:c>
      <x:c r="AB28" s="36" t="str">
        <x:f>IF(AND(AB$5&gt;=$G28,AB$5&lt;=$H28),"■","")</x:f>
      </x:c>
      <x:c r="AC28" s="36" t="str">
        <x:f>IF(AND(AC$5&gt;=$G28,AC$5&lt;=$H28),"■","")</x:f>
      </x:c>
      <x:c r="AD28" s="36" t="str">
        <x:f>IF(AND(AD$5&gt;=$G28,AD$5&lt;=$H28),"■","")</x:f>
      </x:c>
      <x:c r="AE28" s="36" t="str">
        <x:f>IF(AND(AE$5&gt;=$G28,AE$5&lt;=$H28),"■","")</x:f>
      </x:c>
      <x:c r="AF28" s="36" t="str">
        <x:f>IF(AND(AF$5&gt;=$G28,AF$5&lt;=$H28),"■","")</x:f>
      </x:c>
      <x:c r="AG28" s="36" t="str">
        <x:f>IF(AND(AG$5&gt;=$G28,AG$5&lt;=$H28),"■","")</x:f>
      </x:c>
      <x:c r="AH28" s="36" t="str">
        <x:f>IF(AND(AH$5&gt;=$G28,AH$5&lt;=$H28),"■","")</x:f>
      </x:c>
      <x:c r="AI28" s="36" t="str">
        <x:f>IF(AND(AI$5&gt;=$G28,AI$5&lt;=$H28),"■","")</x:f>
      </x:c>
      <x:c r="AJ28" s="36" t="str">
        <x:f>IF(AND(AJ$5&gt;=$G28,AJ$5&lt;=$H28),"■","")</x:f>
      </x:c>
      <x:c r="AK28" s="36" t="str">
        <x:f>IF(AND(AK$5&gt;=$G28,AK$5&lt;=$H28),"■","")</x:f>
      </x:c>
      <x:c r="AL28" s="36" t="str">
        <x:f>IF(AND(AL$5&gt;=$G28,AL$5&lt;=$H28),"■","")</x:f>
      </x:c>
      <x:c r="AM28" s="36" t="str">
        <x:f>IF(AND(AM$5&gt;=$G28,AM$5&lt;=$H28),"■","")</x:f>
      </x:c>
      <x:c r="AN28" s="36" t="str">
        <x:f>IF(AND(AN$5&gt;=$G28,AN$5&lt;=$H28),"■","")</x:f>
      </x:c>
      <x:c r="AO28" s="36" t="str">
        <x:f>IF(AND(AO$5&gt;=$G28,AO$5&lt;=$H28),"■","")</x:f>
      </x:c>
      <x:c r="AP28" s="36" t="str">
        <x:f>IF(AND(AP$5&gt;=$G28,AP$5&lt;=$H28),"■","")</x:f>
      </x:c>
      <x:c r="AQ28" s="36" t="str">
        <x:f>IF(AND(AQ$5&gt;=$G28,AQ$5&lt;=$H28),"■","")</x:f>
      </x:c>
      <x:c r="AR28" s="36" t="str">
        <x:f>IF(AND(AR$5&gt;=$G28,AR$5&lt;=$H28),"■","")</x:f>
      </x:c>
      <x:c r="AS28" s="36" t="str">
        <x:f>IF(AND(AS$5&gt;=$G28,AS$5&lt;=$H28),"■","")</x:f>
      </x:c>
      <x:c r="AT28" s="36" t="str">
        <x:f>IF(AND(AT$5&gt;=$G28,AT$5&lt;=$H28),"■","")</x:f>
      </x:c>
      <x:c r="AU28" s="36" t="str">
        <x:f>IF(AND(AU$5&gt;=$G28,AU$5&lt;=$H28),"■","")</x:f>
      </x:c>
      <x:c r="AV28" s="36" t="str">
        <x:f>IF(AND(AV$5&gt;=$G28,AV$5&lt;=$H28),"■","")</x:f>
      </x:c>
    </x:row>
    <x:row r="29" ht="31" customHeight="1">
      <x:c r="A29" s="37" t="str">
        <x:v>AI·NLP 분석</x:v>
      </x:c>
      <x:c r="B29" s="37" t="str">
        <x:v>3.7</x:v>
      </x:c>
      <x:c r="C29" s="38" t="str">
        <x:v>versioned rule 명세 동결·독립 seed 반례·임계값 민감도 검증</x:v>
      </x:c>
      <x:c r="D29" s="38" t="str">
        <x:v>rule 명세·Gate evidence</x:v>
      </x:c>
      <x:c r="E29" s="37" t="str">
        <x:v>윤대성·정승</x:v>
      </x:c>
      <x:c r="F29" s="37" t="str">
        <x:v>대기</x:v>
      </x:c>
      <x:c r="G29" s="39" t="n">
        <x:v>46233.5</x:v>
      </x:c>
      <x:c r="H29" s="39" t="n">
        <x:v>46237.5</x:v>
      </x:c>
      <x:c r="I29" s="39"/>
      <x:c r="J29" s="40" t="n">
        <x:f>IF(F29="완료",100%,IF(F29="검토",90%,IF(F29="진행",60%,IF(F29="진행중",60%,IF(F29="차단",25%,0%)))))</x:f>
        <x:v>0</x:v>
      </x:c>
      <x:c r="K29" s="36" t="str">
        <x:f>IF(AND(K$5&gt;=$G29,K$5&lt;=$H29),"■","")</x:f>
      </x:c>
      <x:c r="L29" s="36" t="str">
        <x:f>IF(AND(L$5&gt;=$G29,L$5&lt;=$H29),"■","")</x:f>
      </x:c>
      <x:c r="M29" s="36" t="str">
        <x:f>IF(AND(M$5&gt;=$G29,M$5&lt;=$H29),"■","")</x:f>
      </x:c>
      <x:c r="N29" s="36" t="str">
        <x:f>IF(AND(N$5&gt;=$G29,N$5&lt;=$H29),"■","")</x:f>
      </x:c>
      <x:c r="O29" s="36" t="str">
        <x:f>IF(AND(O$5&gt;=$G29,O$5&lt;=$H29),"■","")</x:f>
      </x:c>
      <x:c r="P29" s="36" t="str">
        <x:f>IF(AND(P$5&gt;=$G29,P$5&lt;=$H29),"■","")</x:f>
      </x:c>
      <x:c r="Q29" s="36" t="str">
        <x:f>IF(AND(Q$5&gt;=$G29,Q$5&lt;=$H29),"■","")</x:f>
      </x:c>
      <x:c r="R29" s="36" t="str">
        <x:f>IF(AND(R$5&gt;=$G29,R$5&lt;=$H29),"■","")</x:f>
      </x:c>
      <x:c r="S29" s="36" t="str">
        <x:f>IF(AND(S$5&gt;=$G29,S$5&lt;=$H29),"■","")</x:f>
      </x:c>
      <x:c r="T29" s="36" t="str">
        <x:f>IF(AND(T$5&gt;=$G29,T$5&lt;=$H29),"■","")</x:f>
      </x:c>
      <x:c r="U29" s="36" t="str">
        <x:f>IF(AND(U$5&gt;=$G29,U$5&lt;=$H29),"■","")</x:f>
      </x:c>
      <x:c r="V29" s="36" t="str">
        <x:f>IF(AND(V$5&gt;=$G29,V$5&lt;=$H29),"■","")</x:f>
      </x:c>
      <x:c r="W29" s="36" t="str">
        <x:f>IF(AND(W$5&gt;=$G29,W$5&lt;=$H29),"■","")</x:f>
      </x:c>
      <x:c r="X29" s="36" t="str">
        <x:f>IF(AND(X$5&gt;=$G29,X$5&lt;=$H29),"■","")</x:f>
        <x:v>■</x:v>
      </x:c>
      <x:c r="Y29" s="36" t="str">
        <x:f>IF(AND(Y$5&gt;=$G29,Y$5&lt;=$H29),"■","")</x:f>
        <x:v>■</x:v>
      </x:c>
      <x:c r="Z29" s="36" t="str">
        <x:f>IF(AND(Z$5&gt;=$G29,Z$5&lt;=$H29),"■","")</x:f>
        <x:v>■</x:v>
      </x:c>
      <x:c r="AA29" s="36" t="str">
        <x:f>IF(AND(AA$5&gt;=$G29,AA$5&lt;=$H29),"■","")</x:f>
      </x:c>
      <x:c r="AB29" s="36" t="str">
        <x:f>IF(AND(AB$5&gt;=$G29,AB$5&lt;=$H29),"■","")</x:f>
      </x:c>
      <x:c r="AC29" s="36" t="str">
        <x:f>IF(AND(AC$5&gt;=$G29,AC$5&lt;=$H29),"■","")</x:f>
      </x:c>
      <x:c r="AD29" s="36" t="str">
        <x:f>IF(AND(AD$5&gt;=$G29,AD$5&lt;=$H29),"■","")</x:f>
      </x:c>
      <x:c r="AE29" s="36" t="str">
        <x:f>IF(AND(AE$5&gt;=$G29,AE$5&lt;=$H29),"■","")</x:f>
      </x:c>
      <x:c r="AF29" s="36" t="str">
        <x:f>IF(AND(AF$5&gt;=$G29,AF$5&lt;=$H29),"■","")</x:f>
      </x:c>
      <x:c r="AG29" s="36" t="str">
        <x:f>IF(AND(AG$5&gt;=$G29,AG$5&lt;=$H29),"■","")</x:f>
      </x:c>
      <x:c r="AH29" s="36" t="str">
        <x:f>IF(AND(AH$5&gt;=$G29,AH$5&lt;=$H29),"■","")</x:f>
      </x:c>
      <x:c r="AI29" s="36" t="str">
        <x:f>IF(AND(AI$5&gt;=$G29,AI$5&lt;=$H29),"■","")</x:f>
      </x:c>
      <x:c r="AJ29" s="36" t="str">
        <x:f>IF(AND(AJ$5&gt;=$G29,AJ$5&lt;=$H29),"■","")</x:f>
      </x:c>
      <x:c r="AK29" s="36" t="str">
        <x:f>IF(AND(AK$5&gt;=$G29,AK$5&lt;=$H29),"■","")</x:f>
      </x:c>
      <x:c r="AL29" s="36" t="str">
        <x:f>IF(AND(AL$5&gt;=$G29,AL$5&lt;=$H29),"■","")</x:f>
      </x:c>
      <x:c r="AM29" s="36" t="str">
        <x:f>IF(AND(AM$5&gt;=$G29,AM$5&lt;=$H29),"■","")</x:f>
      </x:c>
      <x:c r="AN29" s="36" t="str">
        <x:f>IF(AND(AN$5&gt;=$G29,AN$5&lt;=$H29),"■","")</x:f>
      </x:c>
      <x:c r="AO29" s="36" t="str">
        <x:f>IF(AND(AO$5&gt;=$G29,AO$5&lt;=$H29),"■","")</x:f>
      </x:c>
      <x:c r="AP29" s="36" t="str">
        <x:f>IF(AND(AP$5&gt;=$G29,AP$5&lt;=$H29),"■","")</x:f>
      </x:c>
      <x:c r="AQ29" s="36" t="str">
        <x:f>IF(AND(AQ$5&gt;=$G29,AQ$5&lt;=$H29),"■","")</x:f>
      </x:c>
      <x:c r="AR29" s="36" t="str">
        <x:f>IF(AND(AR$5&gt;=$G29,AR$5&lt;=$H29),"■","")</x:f>
      </x:c>
      <x:c r="AS29" s="36" t="str">
        <x:f>IF(AND(AS$5&gt;=$G29,AS$5&lt;=$H29),"■","")</x:f>
      </x:c>
      <x:c r="AT29" s="36" t="str">
        <x:f>IF(AND(AT$5&gt;=$G29,AT$5&lt;=$H29),"■","")</x:f>
      </x:c>
      <x:c r="AU29" s="36" t="str">
        <x:f>IF(AND(AU$5&gt;=$G29,AU$5&lt;=$H29),"■","")</x:f>
      </x:c>
      <x:c r="AV29" s="36" t="str">
        <x:f>IF(AND(AV$5&gt;=$G29,AV$5&lt;=$H29),"■","")</x:f>
      </x:c>
    </x:row>
    <x:row r="30" ht="31" customHeight="1">
      <x:c r="A30" s="37" t="str">
        <x:v>프로토타입·중간발표</x:v>
      </x:c>
      <x:c r="B30" s="37" t="str">
        <x:v>4.1</x:v>
      </x:c>
      <x:c r="C30" s="38" t="str">
        <x:v>React 목업 6종 기본 흐름·역할 선택</x:v>
      </x:c>
      <x:c r="D30" s="38" t="str">
        <x:v>UI 프로토타입</x:v>
      </x:c>
      <x:c r="E30" s="37" t="str">
        <x:v>송민지</x:v>
      </x:c>
      <x:c r="F30" s="37" t="str">
        <x:v>대기</x:v>
      </x:c>
      <x:c r="G30" s="39" t="n">
        <x:v>46231.5</x:v>
      </x:c>
      <x:c r="H30" s="39" t="n">
        <x:v>46237.5</x:v>
      </x:c>
      <x:c r="I30" s="39"/>
      <x:c r="J30" s="40" t="n">
        <x:f>IF(F30="완료",100%,IF(F30="검토",90%,IF(F30="진행",60%,IF(F30="진행중",60%,IF(F30="차단",25%,0%)))))</x:f>
        <x:v>0</x:v>
      </x:c>
      <x:c r="K30" s="36" t="str">
        <x:f>IF(AND(K$5&gt;=$G30,K$5&lt;=$H30),"■","")</x:f>
      </x:c>
      <x:c r="L30" s="36" t="str">
        <x:f>IF(AND(L$5&gt;=$G30,L$5&lt;=$H30),"■","")</x:f>
      </x:c>
      <x:c r="M30" s="36" t="str">
        <x:f>IF(AND(M$5&gt;=$G30,M$5&lt;=$H30),"■","")</x:f>
      </x:c>
      <x:c r="N30" s="36" t="str">
        <x:f>IF(AND(N$5&gt;=$G30,N$5&lt;=$H30),"■","")</x:f>
      </x:c>
      <x:c r="O30" s="36" t="str">
        <x:f>IF(AND(O$5&gt;=$G30,O$5&lt;=$H30),"■","")</x:f>
      </x:c>
      <x:c r="P30" s="36" t="str">
        <x:f>IF(AND(P$5&gt;=$G30,P$5&lt;=$H30),"■","")</x:f>
      </x:c>
      <x:c r="Q30" s="36" t="str">
        <x:f>IF(AND(Q$5&gt;=$G30,Q$5&lt;=$H30),"■","")</x:f>
      </x:c>
      <x:c r="R30" s="36" t="str">
        <x:f>IF(AND(R$5&gt;=$G30,R$5&lt;=$H30),"■","")</x:f>
      </x:c>
      <x:c r="S30" s="36" t="str">
        <x:f>IF(AND(S$5&gt;=$G30,S$5&lt;=$H30),"■","")</x:f>
      </x:c>
      <x:c r="T30" s="36" t="str">
        <x:f>IF(AND(T$5&gt;=$G30,T$5&lt;=$H30),"■","")</x:f>
      </x:c>
      <x:c r="U30" s="36" t="str">
        <x:f>IF(AND(U$5&gt;=$G30,U$5&lt;=$H30),"■","")</x:f>
      </x:c>
      <x:c r="V30" s="36" t="str">
        <x:f>IF(AND(V$5&gt;=$G30,V$5&lt;=$H30),"■","")</x:f>
        <x:v>■</x:v>
      </x:c>
      <x:c r="W30" s="36" t="str">
        <x:f>IF(AND(W$5&gt;=$G30,W$5&lt;=$H30),"■","")</x:f>
        <x:v>■</x:v>
      </x:c>
      <x:c r="X30" s="36" t="str">
        <x:f>IF(AND(X$5&gt;=$G30,X$5&lt;=$H30),"■","")</x:f>
        <x:v>■</x:v>
      </x:c>
      <x:c r="Y30" s="36" t="str">
        <x:f>IF(AND(Y$5&gt;=$G30,Y$5&lt;=$H30),"■","")</x:f>
        <x:v>■</x:v>
      </x:c>
      <x:c r="Z30" s="36" t="str">
        <x:f>IF(AND(Z$5&gt;=$G30,Z$5&lt;=$H30),"■","")</x:f>
        <x:v>■</x:v>
      </x:c>
      <x:c r="AA30" s="36" t="str">
        <x:f>IF(AND(AA$5&gt;=$G30,AA$5&lt;=$H30),"■","")</x:f>
      </x:c>
      <x:c r="AB30" s="36" t="str">
        <x:f>IF(AND(AB$5&gt;=$G30,AB$5&lt;=$H30),"■","")</x:f>
      </x:c>
      <x:c r="AC30" s="36" t="str">
        <x:f>IF(AND(AC$5&gt;=$G30,AC$5&lt;=$H30),"■","")</x:f>
      </x:c>
      <x:c r="AD30" s="36" t="str">
        <x:f>IF(AND(AD$5&gt;=$G30,AD$5&lt;=$H30),"■","")</x:f>
      </x:c>
      <x:c r="AE30" s="36" t="str">
        <x:f>IF(AND(AE$5&gt;=$G30,AE$5&lt;=$H30),"■","")</x:f>
      </x:c>
      <x:c r="AF30" s="36" t="str">
        <x:f>IF(AND(AF$5&gt;=$G30,AF$5&lt;=$H30),"■","")</x:f>
      </x:c>
      <x:c r="AG30" s="36" t="str">
        <x:f>IF(AND(AG$5&gt;=$G30,AG$5&lt;=$H30),"■","")</x:f>
      </x:c>
      <x:c r="AH30" s="36" t="str">
        <x:f>IF(AND(AH$5&gt;=$G30,AH$5&lt;=$H30),"■","")</x:f>
      </x:c>
      <x:c r="AI30" s="36" t="str">
        <x:f>IF(AND(AI$5&gt;=$G30,AI$5&lt;=$H30),"■","")</x:f>
      </x:c>
      <x:c r="AJ30" s="36" t="str">
        <x:f>IF(AND(AJ$5&gt;=$G30,AJ$5&lt;=$H30),"■","")</x:f>
      </x:c>
      <x:c r="AK30" s="36" t="str">
        <x:f>IF(AND(AK$5&gt;=$G30,AK$5&lt;=$H30),"■","")</x:f>
      </x:c>
      <x:c r="AL30" s="36" t="str">
        <x:f>IF(AND(AL$5&gt;=$G30,AL$5&lt;=$H30),"■","")</x:f>
      </x:c>
      <x:c r="AM30" s="36" t="str">
        <x:f>IF(AND(AM$5&gt;=$G30,AM$5&lt;=$H30),"■","")</x:f>
      </x:c>
      <x:c r="AN30" s="36" t="str">
        <x:f>IF(AND(AN$5&gt;=$G30,AN$5&lt;=$H30),"■","")</x:f>
      </x:c>
      <x:c r="AO30" s="36" t="str">
        <x:f>IF(AND(AO$5&gt;=$G30,AO$5&lt;=$H30),"■","")</x:f>
      </x:c>
      <x:c r="AP30" s="36" t="str">
        <x:f>IF(AND(AP$5&gt;=$G30,AP$5&lt;=$H30),"■","")</x:f>
      </x:c>
      <x:c r="AQ30" s="36" t="str">
        <x:f>IF(AND(AQ$5&gt;=$G30,AQ$5&lt;=$H30),"■","")</x:f>
      </x:c>
      <x:c r="AR30" s="36" t="str">
        <x:f>IF(AND(AR$5&gt;=$G30,AR$5&lt;=$H30),"■","")</x:f>
      </x:c>
      <x:c r="AS30" s="36" t="str">
        <x:f>IF(AND(AS$5&gt;=$G30,AS$5&lt;=$H30),"■","")</x:f>
      </x:c>
      <x:c r="AT30" s="36" t="str">
        <x:f>IF(AND(AT$5&gt;=$G30,AT$5&lt;=$H30),"■","")</x:f>
      </x:c>
      <x:c r="AU30" s="36" t="str">
        <x:f>IF(AND(AU$5&gt;=$G30,AU$5&lt;=$H30),"■","")</x:f>
      </x:c>
      <x:c r="AV30" s="36" t="str">
        <x:f>IF(AND(AV$5&gt;=$G30,AV$5&lt;=$H30),"■","")</x:f>
      </x:c>
    </x:row>
    <x:row r="31" ht="31" customHeight="1">
      <x:c r="A31" s="37" t="str">
        <x:v>프로토타입·중간발표</x:v>
      </x:c>
      <x:c r="B31" s="37" t="str">
        <x:v>4.2</x:v>
      </x:c>
      <x:c r="C31" s="38" t="str">
        <x:v>합의된 역할·상태·근거·합성 표시를 반영한 fixture·차트·DRAFT 흐름</x:v>
      </x:c>
      <x:c r="D31" s="38" t="str">
        <x:v>중간발표 화면</x:v>
      </x:c>
      <x:c r="E31" s="37" t="str">
        <x:v>송민지·박준희</x:v>
      </x:c>
      <x:c r="F31" s="37" t="str">
        <x:v>대기</x:v>
      </x:c>
      <x:c r="G31" s="39" t="n">
        <x:v>46232.5</x:v>
      </x:c>
      <x:c r="H31" s="39" t="n">
        <x:v>46239.5</x:v>
      </x:c>
      <x:c r="I31" s="39"/>
      <x:c r="J31" s="40" t="n">
        <x:f>IF(F31="완료",100%,IF(F31="검토",90%,IF(F31="진행",60%,IF(F31="진행중",60%,IF(F31="차단",25%,0%)))))</x:f>
        <x:v>0</x:v>
      </x:c>
      <x:c r="K31" s="36" t="str">
        <x:f>IF(AND(K$5&gt;=$G31,K$5&lt;=$H31),"■","")</x:f>
      </x:c>
      <x:c r="L31" s="36" t="str">
        <x:f>IF(AND(L$5&gt;=$G31,L$5&lt;=$H31),"■","")</x:f>
      </x:c>
      <x:c r="M31" s="36" t="str">
        <x:f>IF(AND(M$5&gt;=$G31,M$5&lt;=$H31),"■","")</x:f>
      </x:c>
      <x:c r="N31" s="36" t="str">
        <x:f>IF(AND(N$5&gt;=$G31,N$5&lt;=$H31),"■","")</x:f>
      </x:c>
      <x:c r="O31" s="36" t="str">
        <x:f>IF(AND(O$5&gt;=$G31,O$5&lt;=$H31),"■","")</x:f>
      </x:c>
      <x:c r="P31" s="36" t="str">
        <x:f>IF(AND(P$5&gt;=$G31,P$5&lt;=$H31),"■","")</x:f>
      </x:c>
      <x:c r="Q31" s="36" t="str">
        <x:f>IF(AND(Q$5&gt;=$G31,Q$5&lt;=$H31),"■","")</x:f>
      </x:c>
      <x:c r="R31" s="36" t="str">
        <x:f>IF(AND(R$5&gt;=$G31,R$5&lt;=$H31),"■","")</x:f>
      </x:c>
      <x:c r="S31" s="36" t="str">
        <x:f>IF(AND(S$5&gt;=$G31,S$5&lt;=$H31),"■","")</x:f>
      </x:c>
      <x:c r="T31" s="36" t="str">
        <x:f>IF(AND(T$5&gt;=$G31,T$5&lt;=$H31),"■","")</x:f>
      </x:c>
      <x:c r="U31" s="36" t="str">
        <x:f>IF(AND(U$5&gt;=$G31,U$5&lt;=$H31),"■","")</x:f>
      </x:c>
      <x:c r="V31" s="36" t="str">
        <x:f>IF(AND(V$5&gt;=$G31,V$5&lt;=$H31),"■","")</x:f>
      </x:c>
      <x:c r="W31" s="36" t="str">
        <x:f>IF(AND(W$5&gt;=$G31,W$5&lt;=$H31),"■","")</x:f>
        <x:v>■</x:v>
      </x:c>
      <x:c r="X31" s="36" t="str">
        <x:f>IF(AND(X$5&gt;=$G31,X$5&lt;=$H31),"■","")</x:f>
        <x:v>■</x:v>
      </x:c>
      <x:c r="Y31" s="36" t="str">
        <x:f>IF(AND(Y$5&gt;=$G31,Y$5&lt;=$H31),"■","")</x:f>
        <x:v>■</x:v>
      </x:c>
      <x:c r="Z31" s="36" t="str">
        <x:f>IF(AND(Z$5&gt;=$G31,Z$5&lt;=$H31),"■","")</x:f>
        <x:v>■</x:v>
      </x:c>
      <x:c r="AA31" s="36" t="str">
        <x:f>IF(AND(AA$5&gt;=$G31,AA$5&lt;=$H31),"■","")</x:f>
        <x:v>■</x:v>
      </x:c>
      <x:c r="AB31" s="36" t="str">
        <x:f>IF(AND(AB$5&gt;=$G31,AB$5&lt;=$H31),"■","")</x:f>
        <x:v>■</x:v>
      </x:c>
      <x:c r="AC31" s="36" t="str">
        <x:f>IF(AND(AC$5&gt;=$G31,AC$5&lt;=$H31),"■","")</x:f>
      </x:c>
      <x:c r="AD31" s="36" t="str">
        <x:f>IF(AND(AD$5&gt;=$G31,AD$5&lt;=$H31),"■","")</x:f>
      </x:c>
      <x:c r="AE31" s="36" t="str">
        <x:f>IF(AND(AE$5&gt;=$G31,AE$5&lt;=$H31),"■","")</x:f>
      </x:c>
      <x:c r="AF31" s="36" t="str">
        <x:f>IF(AND(AF$5&gt;=$G31,AF$5&lt;=$H31),"■","")</x:f>
      </x:c>
      <x:c r="AG31" s="36" t="str">
        <x:f>IF(AND(AG$5&gt;=$G31,AG$5&lt;=$H31),"■","")</x:f>
      </x:c>
      <x:c r="AH31" s="36" t="str">
        <x:f>IF(AND(AH$5&gt;=$G31,AH$5&lt;=$H31),"■","")</x:f>
      </x:c>
      <x:c r="AI31" s="36" t="str">
        <x:f>IF(AND(AI$5&gt;=$G31,AI$5&lt;=$H31),"■","")</x:f>
      </x:c>
      <x:c r="AJ31" s="36" t="str">
        <x:f>IF(AND(AJ$5&gt;=$G31,AJ$5&lt;=$H31),"■","")</x:f>
      </x:c>
      <x:c r="AK31" s="36" t="str">
        <x:f>IF(AND(AK$5&gt;=$G31,AK$5&lt;=$H31),"■","")</x:f>
      </x:c>
      <x:c r="AL31" s="36" t="str">
        <x:f>IF(AND(AL$5&gt;=$G31,AL$5&lt;=$H31),"■","")</x:f>
      </x:c>
      <x:c r="AM31" s="36" t="str">
        <x:f>IF(AND(AM$5&gt;=$G31,AM$5&lt;=$H31),"■","")</x:f>
      </x:c>
      <x:c r="AN31" s="36" t="str">
        <x:f>IF(AND(AN$5&gt;=$G31,AN$5&lt;=$H31),"■","")</x:f>
      </x:c>
      <x:c r="AO31" s="36" t="str">
        <x:f>IF(AND(AO$5&gt;=$G31,AO$5&lt;=$H31),"■","")</x:f>
      </x:c>
      <x:c r="AP31" s="36" t="str">
        <x:f>IF(AND(AP$5&gt;=$G31,AP$5&lt;=$H31),"■","")</x:f>
      </x:c>
      <x:c r="AQ31" s="36" t="str">
        <x:f>IF(AND(AQ$5&gt;=$G31,AQ$5&lt;=$H31),"■","")</x:f>
      </x:c>
      <x:c r="AR31" s="36" t="str">
        <x:f>IF(AND(AR$5&gt;=$G31,AR$5&lt;=$H31),"■","")</x:f>
      </x:c>
      <x:c r="AS31" s="36" t="str">
        <x:f>IF(AND(AS$5&gt;=$G31,AS$5&lt;=$H31),"■","")</x:f>
      </x:c>
      <x:c r="AT31" s="36" t="str">
        <x:f>IF(AND(AT$5&gt;=$G31,AT$5&lt;=$H31),"■","")</x:f>
      </x:c>
      <x:c r="AU31" s="36" t="str">
        <x:f>IF(AND(AU$5&gt;=$G31,AU$5&lt;=$H31),"■","")</x:f>
      </x:c>
      <x:c r="AV31" s="36" t="str">
        <x:f>IF(AND(AV$5&gt;=$G31,AV$5&lt;=$H31),"■","")</x:f>
      </x:c>
    </x:row>
    <x:row r="32" ht="31" customHeight="1">
      <x:c r="A32" s="37" t="str">
        <x:v>프로토타입·중간발표</x:v>
      </x:c>
      <x:c r="B32" s="37" t="str">
        <x:v>4.3</x:v>
      </x:c>
      <x:c r="C32" s="38" t="str">
        <x:v>중간발표 자료·대본·시연·리허설 통합</x:v>
      </x:c>
      <x:c r="D32" s="38" t="str">
        <x:v>중간 발표 PT 자료</x:v>
      </x:c>
      <x:c r="E32" s="37" t="str">
        <x:v>정승</x:v>
      </x:c>
      <x:c r="F32" s="37" t="str">
        <x:v>대기</x:v>
      </x:c>
      <x:c r="G32" s="39" t="n">
        <x:v>46237.5</x:v>
      </x:c>
      <x:c r="H32" s="39" t="n">
        <x:v>46240.5</x:v>
      </x:c>
      <x:c r="I32" s="39" t="n">
        <x:v>46240.5</x:v>
      </x:c>
      <x:c r="J32" s="40" t="n">
        <x:f>IF(F32="완료",100%,IF(F32="검토",90%,IF(F32="진행",60%,IF(F32="진행중",60%,IF(F32="차단",25%,0%)))))</x:f>
        <x:v>0</x:v>
      </x:c>
      <x:c r="K32" s="36" t="str">
        <x:f>IF(AND(K$5&gt;=$G32,K$5&lt;=$H32),"■","")</x:f>
      </x:c>
      <x:c r="L32" s="36" t="str">
        <x:f>IF(AND(L$5&gt;=$G32,L$5&lt;=$H32),"■","")</x:f>
      </x:c>
      <x:c r="M32" s="36" t="str">
        <x:f>IF(AND(M$5&gt;=$G32,M$5&lt;=$H32),"■","")</x:f>
      </x:c>
      <x:c r="N32" s="36" t="str">
        <x:f>IF(AND(N$5&gt;=$G32,N$5&lt;=$H32),"■","")</x:f>
      </x:c>
      <x:c r="O32" s="36" t="str">
        <x:f>IF(AND(O$5&gt;=$G32,O$5&lt;=$H32),"■","")</x:f>
      </x:c>
      <x:c r="P32" s="36" t="str">
        <x:f>IF(AND(P$5&gt;=$G32,P$5&lt;=$H32),"■","")</x:f>
      </x:c>
      <x:c r="Q32" s="36" t="str">
        <x:f>IF(AND(Q$5&gt;=$G32,Q$5&lt;=$H32),"■","")</x:f>
      </x:c>
      <x:c r="R32" s="36" t="str">
        <x:f>IF(AND(R$5&gt;=$G32,R$5&lt;=$H32),"■","")</x:f>
      </x:c>
      <x:c r="S32" s="36" t="str">
        <x:f>IF(AND(S$5&gt;=$G32,S$5&lt;=$H32),"■","")</x:f>
      </x:c>
      <x:c r="T32" s="36" t="str">
        <x:f>IF(AND(T$5&gt;=$G32,T$5&lt;=$H32),"■","")</x:f>
      </x:c>
      <x:c r="U32" s="36" t="str">
        <x:f>IF(AND(U$5&gt;=$G32,U$5&lt;=$H32),"■","")</x:f>
      </x:c>
      <x:c r="V32" s="36" t="str">
        <x:f>IF(AND(V$5&gt;=$G32,V$5&lt;=$H32),"■","")</x:f>
      </x:c>
      <x:c r="W32" s="36" t="str">
        <x:f>IF(AND(W$5&gt;=$G32,W$5&lt;=$H32),"■","")</x:f>
      </x:c>
      <x:c r="X32" s="36" t="str">
        <x:f>IF(AND(X$5&gt;=$G32,X$5&lt;=$H32),"■","")</x:f>
      </x:c>
      <x:c r="Y32" s="36" t="str">
        <x:f>IF(AND(Y$5&gt;=$G32,Y$5&lt;=$H32),"■","")</x:f>
      </x:c>
      <x:c r="Z32" s="36" t="str">
        <x:f>IF(AND(Z$5&gt;=$G32,Z$5&lt;=$H32),"■","")</x:f>
        <x:v>■</x:v>
      </x:c>
      <x:c r="AA32" s="36" t="str">
        <x:f>IF(AND(AA$5&gt;=$G32,AA$5&lt;=$H32),"■","")</x:f>
        <x:v>■</x:v>
      </x:c>
      <x:c r="AB32" s="36" t="str">
        <x:f>IF(AND(AB$5&gt;=$G32,AB$5&lt;=$H32),"■","")</x:f>
        <x:v>■</x:v>
      </x:c>
      <x:c r="AC32" s="36" t="str">
        <x:f>IF(AND(AC$5&gt;=$G32,AC$5&lt;=$H32),"■","")</x:f>
        <x:v>■</x:v>
      </x:c>
      <x:c r="AD32" s="36" t="str">
        <x:f>IF(AND(AD$5&gt;=$G32,AD$5&lt;=$H32),"■","")</x:f>
      </x:c>
      <x:c r="AE32" s="36" t="str">
        <x:f>IF(AND(AE$5&gt;=$G32,AE$5&lt;=$H32),"■","")</x:f>
      </x:c>
      <x:c r="AF32" s="36" t="str">
        <x:f>IF(AND(AF$5&gt;=$G32,AF$5&lt;=$H32),"■","")</x:f>
      </x:c>
      <x:c r="AG32" s="36" t="str">
        <x:f>IF(AND(AG$5&gt;=$G32,AG$5&lt;=$H32),"■","")</x:f>
      </x:c>
      <x:c r="AH32" s="36" t="str">
        <x:f>IF(AND(AH$5&gt;=$G32,AH$5&lt;=$H32),"■","")</x:f>
      </x:c>
      <x:c r="AI32" s="36" t="str">
        <x:f>IF(AND(AI$5&gt;=$G32,AI$5&lt;=$H32),"■","")</x:f>
      </x:c>
      <x:c r="AJ32" s="36" t="str">
        <x:f>IF(AND(AJ$5&gt;=$G32,AJ$5&lt;=$H32),"■","")</x:f>
      </x:c>
      <x:c r="AK32" s="36" t="str">
        <x:f>IF(AND(AK$5&gt;=$G32,AK$5&lt;=$H32),"■","")</x:f>
      </x:c>
      <x:c r="AL32" s="36" t="str">
        <x:f>IF(AND(AL$5&gt;=$G32,AL$5&lt;=$H32),"■","")</x:f>
      </x:c>
      <x:c r="AM32" s="36" t="str">
        <x:f>IF(AND(AM$5&gt;=$G32,AM$5&lt;=$H32),"■","")</x:f>
      </x:c>
      <x:c r="AN32" s="36" t="str">
        <x:f>IF(AND(AN$5&gt;=$G32,AN$5&lt;=$H32),"■","")</x:f>
      </x:c>
      <x:c r="AO32" s="36" t="str">
        <x:f>IF(AND(AO$5&gt;=$G32,AO$5&lt;=$H32),"■","")</x:f>
      </x:c>
      <x:c r="AP32" s="36" t="str">
        <x:f>IF(AND(AP$5&gt;=$G32,AP$5&lt;=$H32),"■","")</x:f>
      </x:c>
      <x:c r="AQ32" s="36" t="str">
        <x:f>IF(AND(AQ$5&gt;=$G32,AQ$5&lt;=$H32),"■","")</x:f>
      </x:c>
      <x:c r="AR32" s="36" t="str">
        <x:f>IF(AND(AR$5&gt;=$G32,AR$5&lt;=$H32),"■","")</x:f>
      </x:c>
      <x:c r="AS32" s="36" t="str">
        <x:f>IF(AND(AS$5&gt;=$G32,AS$5&lt;=$H32),"■","")</x:f>
      </x:c>
      <x:c r="AT32" s="36" t="str">
        <x:f>IF(AND(AT$5&gt;=$G32,AT$5&lt;=$H32),"■","")</x:f>
      </x:c>
      <x:c r="AU32" s="36" t="str">
        <x:f>IF(AND(AU$5&gt;=$G32,AU$5&lt;=$H32),"■","")</x:f>
      </x:c>
      <x:c r="AV32" s="36" t="str">
        <x:f>IF(AND(AV$5&gt;=$G32,AV$5&lt;=$H32),"■","")</x:f>
      </x:c>
    </x:row>
    <x:row r="33" ht="31" customHeight="1">
      <x:c r="A33" s="37" t="str">
        <x:v>프로토타입·중간발표</x:v>
      </x:c>
      <x:c r="B33" s="37" t="str">
        <x:v>4.4</x:v>
      </x:c>
      <x:c r="C33" s="38" t="str">
        <x:v>중간발표 진행 및 피드백 수집</x:v>
      </x:c>
      <x:c r="D33" s="38" t="str">
        <x:v>피드백 목록</x:v>
      </x:c>
      <x:c r="E33" s="37" t="str">
        <x:v>정승</x:v>
      </x:c>
      <x:c r="F33" s="37" t="str">
        <x:v>대기</x:v>
      </x:c>
      <x:c r="G33" s="39" t="n">
        <x:v>46240.5</x:v>
      </x:c>
      <x:c r="H33" s="39" t="n">
        <x:v>46241.5</x:v>
      </x:c>
      <x:c r="I33" s="39"/>
      <x:c r="J33" s="40" t="n">
        <x:f>IF(F33="완료",100%,IF(F33="검토",90%,IF(F33="진행",60%,IF(F33="진행중",60%,IF(F33="차단",25%,0%)))))</x:f>
        <x:v>0</x:v>
      </x:c>
      <x:c r="K33" s="36" t="str">
        <x:f>IF(AND(K$5&gt;=$G33,K$5&lt;=$H33),"■","")</x:f>
      </x:c>
      <x:c r="L33" s="36" t="str">
        <x:f>IF(AND(L$5&gt;=$G33,L$5&lt;=$H33),"■","")</x:f>
      </x:c>
      <x:c r="M33" s="36" t="str">
        <x:f>IF(AND(M$5&gt;=$G33,M$5&lt;=$H33),"■","")</x:f>
      </x:c>
      <x:c r="N33" s="36" t="str">
        <x:f>IF(AND(N$5&gt;=$G33,N$5&lt;=$H33),"■","")</x:f>
      </x:c>
      <x:c r="O33" s="36" t="str">
        <x:f>IF(AND(O$5&gt;=$G33,O$5&lt;=$H33),"■","")</x:f>
      </x:c>
      <x:c r="P33" s="36" t="str">
        <x:f>IF(AND(P$5&gt;=$G33,P$5&lt;=$H33),"■","")</x:f>
      </x:c>
      <x:c r="Q33" s="36" t="str">
        <x:f>IF(AND(Q$5&gt;=$G33,Q$5&lt;=$H33),"■","")</x:f>
      </x:c>
      <x:c r="R33" s="36" t="str">
        <x:f>IF(AND(R$5&gt;=$G33,R$5&lt;=$H33),"■","")</x:f>
      </x:c>
      <x:c r="S33" s="36" t="str">
        <x:f>IF(AND(S$5&gt;=$G33,S$5&lt;=$H33),"■","")</x:f>
      </x:c>
      <x:c r="T33" s="36" t="str">
        <x:f>IF(AND(T$5&gt;=$G33,T$5&lt;=$H33),"■","")</x:f>
      </x:c>
      <x:c r="U33" s="36" t="str">
        <x:f>IF(AND(U$5&gt;=$G33,U$5&lt;=$H33),"■","")</x:f>
      </x:c>
      <x:c r="V33" s="36" t="str">
        <x:f>IF(AND(V$5&gt;=$G33,V$5&lt;=$H33),"■","")</x:f>
      </x:c>
      <x:c r="W33" s="36" t="str">
        <x:f>IF(AND(W$5&gt;=$G33,W$5&lt;=$H33),"■","")</x:f>
      </x:c>
      <x:c r="X33" s="36" t="str">
        <x:f>IF(AND(X$5&gt;=$G33,X$5&lt;=$H33),"■","")</x:f>
      </x:c>
      <x:c r="Y33" s="36" t="str">
        <x:f>IF(AND(Y$5&gt;=$G33,Y$5&lt;=$H33),"■","")</x:f>
      </x:c>
      <x:c r="Z33" s="36" t="str">
        <x:f>IF(AND(Z$5&gt;=$G33,Z$5&lt;=$H33),"■","")</x:f>
      </x:c>
      <x:c r="AA33" s="36" t="str">
        <x:f>IF(AND(AA$5&gt;=$G33,AA$5&lt;=$H33),"■","")</x:f>
      </x:c>
      <x:c r="AB33" s="36" t="str">
        <x:f>IF(AND(AB$5&gt;=$G33,AB$5&lt;=$H33),"■","")</x:f>
      </x:c>
      <x:c r="AC33" s="36" t="str">
        <x:f>IF(AND(AC$5&gt;=$G33,AC$5&lt;=$H33),"■","")</x:f>
        <x:v>■</x:v>
      </x:c>
      <x:c r="AD33" s="36" t="str">
        <x:f>IF(AND(AD$5&gt;=$G33,AD$5&lt;=$H33),"■","")</x:f>
        <x:v>■</x:v>
      </x:c>
      <x:c r="AE33" s="36" t="str">
        <x:f>IF(AND(AE$5&gt;=$G33,AE$5&lt;=$H33),"■","")</x:f>
      </x:c>
      <x:c r="AF33" s="36" t="str">
        <x:f>IF(AND(AF$5&gt;=$G33,AF$5&lt;=$H33),"■","")</x:f>
      </x:c>
      <x:c r="AG33" s="36" t="str">
        <x:f>IF(AND(AG$5&gt;=$G33,AG$5&lt;=$H33),"■","")</x:f>
      </x:c>
      <x:c r="AH33" s="36" t="str">
        <x:f>IF(AND(AH$5&gt;=$G33,AH$5&lt;=$H33),"■","")</x:f>
      </x:c>
      <x:c r="AI33" s="36" t="str">
        <x:f>IF(AND(AI$5&gt;=$G33,AI$5&lt;=$H33),"■","")</x:f>
      </x:c>
      <x:c r="AJ33" s="36" t="str">
        <x:f>IF(AND(AJ$5&gt;=$G33,AJ$5&lt;=$H33),"■","")</x:f>
      </x:c>
      <x:c r="AK33" s="36" t="str">
        <x:f>IF(AND(AK$5&gt;=$G33,AK$5&lt;=$H33),"■","")</x:f>
      </x:c>
      <x:c r="AL33" s="36" t="str">
        <x:f>IF(AND(AL$5&gt;=$G33,AL$5&lt;=$H33),"■","")</x:f>
      </x:c>
      <x:c r="AM33" s="36" t="str">
        <x:f>IF(AND(AM$5&gt;=$G33,AM$5&lt;=$H33),"■","")</x:f>
      </x:c>
      <x:c r="AN33" s="36" t="str">
        <x:f>IF(AND(AN$5&gt;=$G33,AN$5&lt;=$H33),"■","")</x:f>
      </x:c>
      <x:c r="AO33" s="36" t="str">
        <x:f>IF(AND(AO$5&gt;=$G33,AO$5&lt;=$H33),"■","")</x:f>
      </x:c>
      <x:c r="AP33" s="36" t="str">
        <x:f>IF(AND(AP$5&gt;=$G33,AP$5&lt;=$H33),"■","")</x:f>
      </x:c>
      <x:c r="AQ33" s="36" t="str">
        <x:f>IF(AND(AQ$5&gt;=$G33,AQ$5&lt;=$H33),"■","")</x:f>
      </x:c>
      <x:c r="AR33" s="36" t="str">
        <x:f>IF(AND(AR$5&gt;=$G33,AR$5&lt;=$H33),"■","")</x:f>
      </x:c>
      <x:c r="AS33" s="36" t="str">
        <x:f>IF(AND(AS$5&gt;=$G33,AS$5&lt;=$H33),"■","")</x:f>
      </x:c>
      <x:c r="AT33" s="36" t="str">
        <x:f>IF(AND(AT$5&gt;=$G33,AT$5&lt;=$H33),"■","")</x:f>
      </x:c>
      <x:c r="AU33" s="36" t="str">
        <x:f>IF(AND(AU$5&gt;=$G33,AU$5&lt;=$H33),"■","")</x:f>
      </x:c>
      <x:c r="AV33" s="36" t="str">
        <x:f>IF(AND(AV$5&gt;=$G33,AV$5&lt;=$H33),"■","")</x:f>
      </x:c>
    </x:row>
    <x:row r="34" ht="31" customHeight="1">
      <x:c r="A34" s="37" t="str">
        <x:v>운영 분석 엔진</x:v>
      </x:c>
      <x:c r="B34" s="37" t="str">
        <x:v>5.1</x:v>
      </x:c>
      <x:c r="C34" s="38" t="str">
        <x:v>중간발표 피드백 분류·Gate 영향 검토</x:v>
      </x:c>
      <x:c r="D34" s="38" t="str">
        <x:v>수정 계획</x:v>
      </x:c>
      <x:c r="E34" s="37" t="str">
        <x:v>박준희</x:v>
      </x:c>
      <x:c r="F34" s="37" t="str">
        <x:v>대기</x:v>
      </x:c>
      <x:c r="G34" s="39" t="n">
        <x:v>46241.5</x:v>
      </x:c>
      <x:c r="H34" s="39" t="n">
        <x:v>46241.5</x:v>
      </x:c>
      <x:c r="I34" s="39"/>
      <x:c r="J34" s="40" t="n">
        <x:f>IF(F34="완료",100%,IF(F34="검토",90%,IF(F34="진행",60%,IF(F34="진행중",60%,IF(F34="차단",25%,0%)))))</x:f>
        <x:v>0</x:v>
      </x:c>
      <x:c r="K34" s="36" t="str">
        <x:f>IF(AND(K$5&gt;=$G34,K$5&lt;=$H34),"■","")</x:f>
      </x:c>
      <x:c r="L34" s="36" t="str">
        <x:f>IF(AND(L$5&gt;=$G34,L$5&lt;=$H34),"■","")</x:f>
      </x:c>
      <x:c r="M34" s="36" t="str">
        <x:f>IF(AND(M$5&gt;=$G34,M$5&lt;=$H34),"■","")</x:f>
      </x:c>
      <x:c r="N34" s="36" t="str">
        <x:f>IF(AND(N$5&gt;=$G34,N$5&lt;=$H34),"■","")</x:f>
      </x:c>
      <x:c r="O34" s="36" t="str">
        <x:f>IF(AND(O$5&gt;=$G34,O$5&lt;=$H34),"■","")</x:f>
      </x:c>
      <x:c r="P34" s="36" t="str">
        <x:f>IF(AND(P$5&gt;=$G34,P$5&lt;=$H34),"■","")</x:f>
      </x:c>
      <x:c r="Q34" s="36" t="str">
        <x:f>IF(AND(Q$5&gt;=$G34,Q$5&lt;=$H34),"■","")</x:f>
      </x:c>
      <x:c r="R34" s="36" t="str">
        <x:f>IF(AND(R$5&gt;=$G34,R$5&lt;=$H34),"■","")</x:f>
      </x:c>
      <x:c r="S34" s="36" t="str">
        <x:f>IF(AND(S$5&gt;=$G34,S$5&lt;=$H34),"■","")</x:f>
      </x:c>
      <x:c r="T34" s="36" t="str">
        <x:f>IF(AND(T$5&gt;=$G34,T$5&lt;=$H34),"■","")</x:f>
      </x:c>
      <x:c r="U34" s="36" t="str">
        <x:f>IF(AND(U$5&gt;=$G34,U$5&lt;=$H34),"■","")</x:f>
      </x:c>
      <x:c r="V34" s="36" t="str">
        <x:f>IF(AND(V$5&gt;=$G34,V$5&lt;=$H34),"■","")</x:f>
      </x:c>
      <x:c r="W34" s="36" t="str">
        <x:f>IF(AND(W$5&gt;=$G34,W$5&lt;=$H34),"■","")</x:f>
      </x:c>
      <x:c r="X34" s="36" t="str">
        <x:f>IF(AND(X$5&gt;=$G34,X$5&lt;=$H34),"■","")</x:f>
      </x:c>
      <x:c r="Y34" s="36" t="str">
        <x:f>IF(AND(Y$5&gt;=$G34,Y$5&lt;=$H34),"■","")</x:f>
      </x:c>
      <x:c r="Z34" s="36" t="str">
        <x:f>IF(AND(Z$5&gt;=$G34,Z$5&lt;=$H34),"■","")</x:f>
      </x:c>
      <x:c r="AA34" s="36" t="str">
        <x:f>IF(AND(AA$5&gt;=$G34,AA$5&lt;=$H34),"■","")</x:f>
      </x:c>
      <x:c r="AB34" s="36" t="str">
        <x:f>IF(AND(AB$5&gt;=$G34,AB$5&lt;=$H34),"■","")</x:f>
      </x:c>
      <x:c r="AC34" s="36" t="str">
        <x:f>IF(AND(AC$5&gt;=$G34,AC$5&lt;=$H34),"■","")</x:f>
      </x:c>
      <x:c r="AD34" s="36" t="str">
        <x:f>IF(AND(AD$5&gt;=$G34,AD$5&lt;=$H34),"■","")</x:f>
        <x:v>■</x:v>
      </x:c>
      <x:c r="AE34" s="36" t="str">
        <x:f>IF(AND(AE$5&gt;=$G34,AE$5&lt;=$H34),"■","")</x:f>
      </x:c>
      <x:c r="AF34" s="36" t="str">
        <x:f>IF(AND(AF$5&gt;=$G34,AF$5&lt;=$H34),"■","")</x:f>
      </x:c>
      <x:c r="AG34" s="36" t="str">
        <x:f>IF(AND(AG$5&gt;=$G34,AG$5&lt;=$H34),"■","")</x:f>
      </x:c>
      <x:c r="AH34" s="36" t="str">
        <x:f>IF(AND(AH$5&gt;=$G34,AH$5&lt;=$H34),"■","")</x:f>
      </x:c>
      <x:c r="AI34" s="36" t="str">
        <x:f>IF(AND(AI$5&gt;=$G34,AI$5&lt;=$H34),"■","")</x:f>
      </x:c>
      <x:c r="AJ34" s="36" t="str">
        <x:f>IF(AND(AJ$5&gt;=$G34,AJ$5&lt;=$H34),"■","")</x:f>
      </x:c>
      <x:c r="AK34" s="36" t="str">
        <x:f>IF(AND(AK$5&gt;=$G34,AK$5&lt;=$H34),"■","")</x:f>
      </x:c>
      <x:c r="AL34" s="36" t="str">
        <x:f>IF(AND(AL$5&gt;=$G34,AL$5&lt;=$H34),"■","")</x:f>
      </x:c>
      <x:c r="AM34" s="36" t="str">
        <x:f>IF(AND(AM$5&gt;=$G34,AM$5&lt;=$H34),"■","")</x:f>
      </x:c>
      <x:c r="AN34" s="36" t="str">
        <x:f>IF(AND(AN$5&gt;=$G34,AN$5&lt;=$H34),"■","")</x:f>
      </x:c>
      <x:c r="AO34" s="36" t="str">
        <x:f>IF(AND(AO$5&gt;=$G34,AO$5&lt;=$H34),"■","")</x:f>
      </x:c>
      <x:c r="AP34" s="36" t="str">
        <x:f>IF(AND(AP$5&gt;=$G34,AP$5&lt;=$H34),"■","")</x:f>
      </x:c>
      <x:c r="AQ34" s="36" t="str">
        <x:f>IF(AND(AQ$5&gt;=$G34,AQ$5&lt;=$H34),"■","")</x:f>
      </x:c>
      <x:c r="AR34" s="36" t="str">
        <x:f>IF(AND(AR$5&gt;=$G34,AR$5&lt;=$H34),"■","")</x:f>
      </x:c>
      <x:c r="AS34" s="36" t="str">
        <x:f>IF(AND(AS$5&gt;=$G34,AS$5&lt;=$H34),"■","")</x:f>
      </x:c>
      <x:c r="AT34" s="36" t="str">
        <x:f>IF(AND(AT$5&gt;=$G34,AT$5&lt;=$H34),"■","")</x:f>
      </x:c>
      <x:c r="AU34" s="36" t="str">
        <x:f>IF(AND(AU$5&gt;=$G34,AU$5&lt;=$H34),"■","")</x:f>
      </x:c>
      <x:c r="AV34" s="36" t="str">
        <x:f>IF(AND(AV$5&gt;=$G34,AV$5&lt;=$H34),"■","")</x:f>
      </x:c>
    </x:row>
    <x:row r="35" ht="31" customHeight="1">
      <x:c r="A35" s="37" t="str">
        <x:v>운영 분석 엔진</x:v>
      </x:c>
      <x:c r="B35" s="37" t="str">
        <x:v>5.2</x:v>
      </x:c>
      <x:c r="C35" s="38" t="str">
        <x:v>기능 A/B 공용 KPI·비가산 지표 계산</x:v>
      </x:c>
      <x:c r="D35" s="38" t="str">
        <x:v>KPI 모듈</x:v>
      </x:c>
      <x:c r="E35" s="37" t="str">
        <x:v>정승</x:v>
      </x:c>
      <x:c r="F35" s="37" t="str">
        <x:v>대기</x:v>
      </x:c>
      <x:c r="G35" s="39" t="n">
        <x:v>46241.5</x:v>
      </x:c>
      <x:c r="H35" s="39" t="n">
        <x:v>46244.5</x:v>
      </x:c>
      <x:c r="I35" s="39"/>
      <x:c r="J35" s="40" t="n">
        <x:f>IF(F35="완료",100%,IF(F35="검토",90%,IF(F35="진행",60%,IF(F35="진행중",60%,IF(F35="차단",25%,0%)))))</x:f>
        <x:v>0</x:v>
      </x:c>
      <x:c r="K35" s="36" t="str">
        <x:f>IF(AND(K$5&gt;=$G35,K$5&lt;=$H35),"■","")</x:f>
      </x:c>
      <x:c r="L35" s="36" t="str">
        <x:f>IF(AND(L$5&gt;=$G35,L$5&lt;=$H35),"■","")</x:f>
      </x:c>
      <x:c r="M35" s="36" t="str">
        <x:f>IF(AND(M$5&gt;=$G35,M$5&lt;=$H35),"■","")</x:f>
      </x:c>
      <x:c r="N35" s="36" t="str">
        <x:f>IF(AND(N$5&gt;=$G35,N$5&lt;=$H35),"■","")</x:f>
      </x:c>
      <x:c r="O35" s="36" t="str">
        <x:f>IF(AND(O$5&gt;=$G35,O$5&lt;=$H35),"■","")</x:f>
      </x:c>
      <x:c r="P35" s="36" t="str">
        <x:f>IF(AND(P$5&gt;=$G35,P$5&lt;=$H35),"■","")</x:f>
      </x:c>
      <x:c r="Q35" s="36" t="str">
        <x:f>IF(AND(Q$5&gt;=$G35,Q$5&lt;=$H35),"■","")</x:f>
      </x:c>
      <x:c r="R35" s="36" t="str">
        <x:f>IF(AND(R$5&gt;=$G35,R$5&lt;=$H35),"■","")</x:f>
      </x:c>
      <x:c r="S35" s="36" t="str">
        <x:f>IF(AND(S$5&gt;=$G35,S$5&lt;=$H35),"■","")</x:f>
      </x:c>
      <x:c r="T35" s="36" t="str">
        <x:f>IF(AND(T$5&gt;=$G35,T$5&lt;=$H35),"■","")</x:f>
      </x:c>
      <x:c r="U35" s="36" t="str">
        <x:f>IF(AND(U$5&gt;=$G35,U$5&lt;=$H35),"■","")</x:f>
      </x:c>
      <x:c r="V35" s="36" t="str">
        <x:f>IF(AND(V$5&gt;=$G35,V$5&lt;=$H35),"■","")</x:f>
      </x:c>
      <x:c r="W35" s="36" t="str">
        <x:f>IF(AND(W$5&gt;=$G35,W$5&lt;=$H35),"■","")</x:f>
      </x:c>
      <x:c r="X35" s="36" t="str">
        <x:f>IF(AND(X$5&gt;=$G35,X$5&lt;=$H35),"■","")</x:f>
      </x:c>
      <x:c r="Y35" s="36" t="str">
        <x:f>IF(AND(Y$5&gt;=$G35,Y$5&lt;=$H35),"■","")</x:f>
      </x:c>
      <x:c r="Z35" s="36" t="str">
        <x:f>IF(AND(Z$5&gt;=$G35,Z$5&lt;=$H35),"■","")</x:f>
      </x:c>
      <x:c r="AA35" s="36" t="str">
        <x:f>IF(AND(AA$5&gt;=$G35,AA$5&lt;=$H35),"■","")</x:f>
      </x:c>
      <x:c r="AB35" s="36" t="str">
        <x:f>IF(AND(AB$5&gt;=$G35,AB$5&lt;=$H35),"■","")</x:f>
      </x:c>
      <x:c r="AC35" s="36" t="str">
        <x:f>IF(AND(AC$5&gt;=$G35,AC$5&lt;=$H35),"■","")</x:f>
      </x:c>
      <x:c r="AD35" s="36" t="str">
        <x:f>IF(AND(AD$5&gt;=$G35,AD$5&lt;=$H35),"■","")</x:f>
        <x:v>■</x:v>
      </x:c>
      <x:c r="AE35" s="36" t="str">
        <x:f>IF(AND(AE$5&gt;=$G35,AE$5&lt;=$H35),"■","")</x:f>
        <x:v>■</x:v>
      </x:c>
      <x:c r="AF35" s="36" t="str">
        <x:f>IF(AND(AF$5&gt;=$G35,AF$5&lt;=$H35),"■","")</x:f>
      </x:c>
      <x:c r="AG35" s="36" t="str">
        <x:f>IF(AND(AG$5&gt;=$G35,AG$5&lt;=$H35),"■","")</x:f>
      </x:c>
      <x:c r="AH35" s="36" t="str">
        <x:f>IF(AND(AH$5&gt;=$G35,AH$5&lt;=$H35),"■","")</x:f>
      </x:c>
      <x:c r="AI35" s="36" t="str">
        <x:f>IF(AND(AI$5&gt;=$G35,AI$5&lt;=$H35),"■","")</x:f>
      </x:c>
      <x:c r="AJ35" s="36" t="str">
        <x:f>IF(AND(AJ$5&gt;=$G35,AJ$5&lt;=$H35),"■","")</x:f>
      </x:c>
      <x:c r="AK35" s="36" t="str">
        <x:f>IF(AND(AK$5&gt;=$G35,AK$5&lt;=$H35),"■","")</x:f>
      </x:c>
      <x:c r="AL35" s="36" t="str">
        <x:f>IF(AND(AL$5&gt;=$G35,AL$5&lt;=$H35),"■","")</x:f>
      </x:c>
      <x:c r="AM35" s="36" t="str">
        <x:f>IF(AND(AM$5&gt;=$G35,AM$5&lt;=$H35),"■","")</x:f>
      </x:c>
      <x:c r="AN35" s="36" t="str">
        <x:f>IF(AND(AN$5&gt;=$G35,AN$5&lt;=$H35),"■","")</x:f>
      </x:c>
      <x:c r="AO35" s="36" t="str">
        <x:f>IF(AND(AO$5&gt;=$G35,AO$5&lt;=$H35),"■","")</x:f>
      </x:c>
      <x:c r="AP35" s="36" t="str">
        <x:f>IF(AND(AP$5&gt;=$G35,AP$5&lt;=$H35),"■","")</x:f>
      </x:c>
      <x:c r="AQ35" s="36" t="str">
        <x:f>IF(AND(AQ$5&gt;=$G35,AQ$5&lt;=$H35),"■","")</x:f>
      </x:c>
      <x:c r="AR35" s="36" t="str">
        <x:f>IF(AND(AR$5&gt;=$G35,AR$5&lt;=$H35),"■","")</x:f>
      </x:c>
      <x:c r="AS35" s="36" t="str">
        <x:f>IF(AND(AS$5&gt;=$G35,AS$5&lt;=$H35),"■","")</x:f>
      </x:c>
      <x:c r="AT35" s="36" t="str">
        <x:f>IF(AND(AT$5&gt;=$G35,AT$5&lt;=$H35),"■","")</x:f>
      </x:c>
      <x:c r="AU35" s="36" t="str">
        <x:f>IF(AND(AU$5&gt;=$G35,AU$5&lt;=$H35),"■","")</x:f>
      </x:c>
      <x:c r="AV35" s="36" t="str">
        <x:f>IF(AND(AV$5&gt;=$G35,AV$5&lt;=$H35),"■","")</x:f>
      </x:c>
    </x:row>
    <x:row r="36" ht="31" customHeight="1">
      <x:c r="A36" s="37" t="str">
        <x:v>운영 분석 엔진</x:v>
      </x:c>
      <x:c r="B36" s="37" t="str">
        <x:v>5.3</x:v>
      </x:c>
      <x:c r="C36" s="38" t="str">
        <x:v>적재 후 analytical Gate 구현(bucket 완전성·집계 정합)</x:v>
      </x:c>
      <x:c r="D36" s="38" t="str">
        <x:v>분석 품질 Gate</x:v>
      </x:c>
      <x:c r="E36" s="37" t="str">
        <x:v>정승·김재홍</x:v>
      </x:c>
      <x:c r="F36" s="37" t="str">
        <x:v>대기</x:v>
      </x:c>
      <x:c r="G36" s="39" t="n">
        <x:v>46241.5</x:v>
      </x:c>
      <x:c r="H36" s="39" t="n">
        <x:v>46244.5</x:v>
      </x:c>
      <x:c r="I36" s="39"/>
      <x:c r="J36" s="40" t="n">
        <x:f>IF(F36="완료",100%,IF(F36="검토",90%,IF(F36="진행",60%,IF(F36="진행중",60%,IF(F36="차단",25%,0%)))))</x:f>
        <x:v>0</x:v>
      </x:c>
      <x:c r="K36" s="36" t="str">
        <x:f>IF(AND(K$5&gt;=$G36,K$5&lt;=$H36),"■","")</x:f>
      </x:c>
      <x:c r="L36" s="36" t="str">
        <x:f>IF(AND(L$5&gt;=$G36,L$5&lt;=$H36),"■","")</x:f>
      </x:c>
      <x:c r="M36" s="36" t="str">
        <x:f>IF(AND(M$5&gt;=$G36,M$5&lt;=$H36),"■","")</x:f>
      </x:c>
      <x:c r="N36" s="36" t="str">
        <x:f>IF(AND(N$5&gt;=$G36,N$5&lt;=$H36),"■","")</x:f>
      </x:c>
      <x:c r="O36" s="36" t="str">
        <x:f>IF(AND(O$5&gt;=$G36,O$5&lt;=$H36),"■","")</x:f>
      </x:c>
      <x:c r="P36" s="36" t="str">
        <x:f>IF(AND(P$5&gt;=$G36,P$5&lt;=$H36),"■","")</x:f>
      </x:c>
      <x:c r="Q36" s="36" t="str">
        <x:f>IF(AND(Q$5&gt;=$G36,Q$5&lt;=$H36),"■","")</x:f>
      </x:c>
      <x:c r="R36" s="36" t="str">
        <x:f>IF(AND(R$5&gt;=$G36,R$5&lt;=$H36),"■","")</x:f>
      </x:c>
      <x:c r="S36" s="36" t="str">
        <x:f>IF(AND(S$5&gt;=$G36,S$5&lt;=$H36),"■","")</x:f>
      </x:c>
      <x:c r="T36" s="36" t="str">
        <x:f>IF(AND(T$5&gt;=$G36,T$5&lt;=$H36),"■","")</x:f>
      </x:c>
      <x:c r="U36" s="36" t="str">
        <x:f>IF(AND(U$5&gt;=$G36,U$5&lt;=$H36),"■","")</x:f>
      </x:c>
      <x:c r="V36" s="36" t="str">
        <x:f>IF(AND(V$5&gt;=$G36,V$5&lt;=$H36),"■","")</x:f>
      </x:c>
      <x:c r="W36" s="36" t="str">
        <x:f>IF(AND(W$5&gt;=$G36,W$5&lt;=$H36),"■","")</x:f>
      </x:c>
      <x:c r="X36" s="36" t="str">
        <x:f>IF(AND(X$5&gt;=$G36,X$5&lt;=$H36),"■","")</x:f>
      </x:c>
      <x:c r="Y36" s="36" t="str">
        <x:f>IF(AND(Y$5&gt;=$G36,Y$5&lt;=$H36),"■","")</x:f>
      </x:c>
      <x:c r="Z36" s="36" t="str">
        <x:f>IF(AND(Z$5&gt;=$G36,Z$5&lt;=$H36),"■","")</x:f>
      </x:c>
      <x:c r="AA36" s="36" t="str">
        <x:f>IF(AND(AA$5&gt;=$G36,AA$5&lt;=$H36),"■","")</x:f>
      </x:c>
      <x:c r="AB36" s="36" t="str">
        <x:f>IF(AND(AB$5&gt;=$G36,AB$5&lt;=$H36),"■","")</x:f>
      </x:c>
      <x:c r="AC36" s="36" t="str">
        <x:f>IF(AND(AC$5&gt;=$G36,AC$5&lt;=$H36),"■","")</x:f>
      </x:c>
      <x:c r="AD36" s="36" t="str">
        <x:f>IF(AND(AD$5&gt;=$G36,AD$5&lt;=$H36),"■","")</x:f>
        <x:v>■</x:v>
      </x:c>
      <x:c r="AE36" s="36" t="str">
        <x:f>IF(AND(AE$5&gt;=$G36,AE$5&lt;=$H36),"■","")</x:f>
        <x:v>■</x:v>
      </x:c>
      <x:c r="AF36" s="36" t="str">
        <x:f>IF(AND(AF$5&gt;=$G36,AF$5&lt;=$H36),"■","")</x:f>
      </x:c>
      <x:c r="AG36" s="36" t="str">
        <x:f>IF(AND(AG$5&gt;=$G36,AG$5&lt;=$H36),"■","")</x:f>
      </x:c>
      <x:c r="AH36" s="36" t="str">
        <x:f>IF(AND(AH$5&gt;=$G36,AH$5&lt;=$H36),"■","")</x:f>
      </x:c>
      <x:c r="AI36" s="36" t="str">
        <x:f>IF(AND(AI$5&gt;=$G36,AI$5&lt;=$H36),"■","")</x:f>
      </x:c>
      <x:c r="AJ36" s="36" t="str">
        <x:f>IF(AND(AJ$5&gt;=$G36,AJ$5&lt;=$H36),"■","")</x:f>
      </x:c>
      <x:c r="AK36" s="36" t="str">
        <x:f>IF(AND(AK$5&gt;=$G36,AK$5&lt;=$H36),"■","")</x:f>
      </x:c>
      <x:c r="AL36" s="36" t="str">
        <x:f>IF(AND(AL$5&gt;=$G36,AL$5&lt;=$H36),"■","")</x:f>
      </x:c>
      <x:c r="AM36" s="36" t="str">
        <x:f>IF(AND(AM$5&gt;=$G36,AM$5&lt;=$H36),"■","")</x:f>
      </x:c>
      <x:c r="AN36" s="36" t="str">
        <x:f>IF(AND(AN$5&gt;=$G36,AN$5&lt;=$H36),"■","")</x:f>
      </x:c>
      <x:c r="AO36" s="36" t="str">
        <x:f>IF(AND(AO$5&gt;=$G36,AO$5&lt;=$H36),"■","")</x:f>
      </x:c>
      <x:c r="AP36" s="36" t="str">
        <x:f>IF(AND(AP$5&gt;=$G36,AP$5&lt;=$H36),"■","")</x:f>
      </x:c>
      <x:c r="AQ36" s="36" t="str">
        <x:f>IF(AND(AQ$5&gt;=$G36,AQ$5&lt;=$H36),"■","")</x:f>
      </x:c>
      <x:c r="AR36" s="36" t="str">
        <x:f>IF(AND(AR$5&gt;=$G36,AR$5&lt;=$H36),"■","")</x:f>
      </x:c>
      <x:c r="AS36" s="36" t="str">
        <x:f>IF(AND(AS$5&gt;=$G36,AS$5&lt;=$H36),"■","")</x:f>
      </x:c>
      <x:c r="AT36" s="36" t="str">
        <x:f>IF(AND(AT$5&gt;=$G36,AT$5&lt;=$H36),"■","")</x:f>
      </x:c>
      <x:c r="AU36" s="36" t="str">
        <x:f>IF(AND(AU$5&gt;=$G36,AU$5&lt;=$H36),"■","")</x:f>
      </x:c>
      <x:c r="AV36" s="36" t="str">
        <x:f>IF(AND(AV$5&gt;=$G36,AV$5&lt;=$H36),"■","")</x:f>
      </x:c>
    </x:row>
    <x:row r="37" ht="31" customHeight="1">
      <x:c r="A37" s="37" t="str">
        <x:v>운영 분석 엔진</x:v>
      </x:c>
      <x:c r="B37" s="37" t="str">
        <x:v>5.4</x:v>
      </x:c>
      <x:c r="C37" s="38" t="str">
        <x:v>동일 기간 VOC·운영 교차분석과 관측·원인 후보·반대 근거·부족 데이터 구성</x:v>
      </x:c>
      <x:c r="D37" s="38" t="str">
        <x:v>교차분석·근거 모듈</x:v>
      </x:c>
      <x:c r="E37" s="37" t="str">
        <x:v>윤대성·정승·박준희</x:v>
      </x:c>
      <x:c r="F37" s="37" t="str">
        <x:v>대기</x:v>
      </x:c>
      <x:c r="G37" s="39" t="n">
        <x:v>46245.5</x:v>
      </x:c>
      <x:c r="H37" s="39" t="n">
        <x:v>46245.5</x:v>
      </x:c>
      <x:c r="I37" s="39"/>
      <x:c r="J37" s="40" t="n">
        <x:f>IF(F37="완료",100%,IF(F37="검토",90%,IF(F37="진행",60%,IF(F37="진행중",60%,IF(F37="차단",25%,0%)))))</x:f>
        <x:v>0</x:v>
      </x:c>
      <x:c r="K37" s="36" t="str">
        <x:f>IF(AND(K$5&gt;=$G37,K$5&lt;=$H37),"■","")</x:f>
      </x:c>
      <x:c r="L37" s="36" t="str">
        <x:f>IF(AND(L$5&gt;=$G37,L$5&lt;=$H37),"■","")</x:f>
      </x:c>
      <x:c r="M37" s="36" t="str">
        <x:f>IF(AND(M$5&gt;=$G37,M$5&lt;=$H37),"■","")</x:f>
      </x:c>
      <x:c r="N37" s="36" t="str">
        <x:f>IF(AND(N$5&gt;=$G37,N$5&lt;=$H37),"■","")</x:f>
      </x:c>
      <x:c r="O37" s="36" t="str">
        <x:f>IF(AND(O$5&gt;=$G37,O$5&lt;=$H37),"■","")</x:f>
      </x:c>
      <x:c r="P37" s="36" t="str">
        <x:f>IF(AND(P$5&gt;=$G37,P$5&lt;=$H37),"■","")</x:f>
      </x:c>
      <x:c r="Q37" s="36" t="str">
        <x:f>IF(AND(Q$5&gt;=$G37,Q$5&lt;=$H37),"■","")</x:f>
      </x:c>
      <x:c r="R37" s="36" t="str">
        <x:f>IF(AND(R$5&gt;=$G37,R$5&lt;=$H37),"■","")</x:f>
      </x:c>
      <x:c r="S37" s="36" t="str">
        <x:f>IF(AND(S$5&gt;=$G37,S$5&lt;=$H37),"■","")</x:f>
      </x:c>
      <x:c r="T37" s="36" t="str">
        <x:f>IF(AND(T$5&gt;=$G37,T$5&lt;=$H37),"■","")</x:f>
      </x:c>
      <x:c r="U37" s="36" t="str">
        <x:f>IF(AND(U$5&gt;=$G37,U$5&lt;=$H37),"■","")</x:f>
      </x:c>
      <x:c r="V37" s="36" t="str">
        <x:f>IF(AND(V$5&gt;=$G37,V$5&lt;=$H37),"■","")</x:f>
      </x:c>
      <x:c r="W37" s="36" t="str">
        <x:f>IF(AND(W$5&gt;=$G37,W$5&lt;=$H37),"■","")</x:f>
      </x:c>
      <x:c r="X37" s="36" t="str">
        <x:f>IF(AND(X$5&gt;=$G37,X$5&lt;=$H37),"■","")</x:f>
      </x:c>
      <x:c r="Y37" s="36" t="str">
        <x:f>IF(AND(Y$5&gt;=$G37,Y$5&lt;=$H37),"■","")</x:f>
      </x:c>
      <x:c r="Z37" s="36" t="str">
        <x:f>IF(AND(Z$5&gt;=$G37,Z$5&lt;=$H37),"■","")</x:f>
      </x:c>
      <x:c r="AA37" s="36" t="str">
        <x:f>IF(AND(AA$5&gt;=$G37,AA$5&lt;=$H37),"■","")</x:f>
      </x:c>
      <x:c r="AB37" s="36" t="str">
        <x:f>IF(AND(AB$5&gt;=$G37,AB$5&lt;=$H37),"■","")</x:f>
      </x:c>
      <x:c r="AC37" s="36" t="str">
        <x:f>IF(AND(AC$5&gt;=$G37,AC$5&lt;=$H37),"■","")</x:f>
      </x:c>
      <x:c r="AD37" s="36" t="str">
        <x:f>IF(AND(AD$5&gt;=$G37,AD$5&lt;=$H37),"■","")</x:f>
      </x:c>
      <x:c r="AE37" s="36" t="str">
        <x:f>IF(AND(AE$5&gt;=$G37,AE$5&lt;=$H37),"■","")</x:f>
      </x:c>
      <x:c r="AF37" s="36" t="str">
        <x:f>IF(AND(AF$5&gt;=$G37,AF$5&lt;=$H37),"■","")</x:f>
        <x:v>■</x:v>
      </x:c>
      <x:c r="AG37" s="36" t="str">
        <x:f>IF(AND(AG$5&gt;=$G37,AG$5&lt;=$H37),"■","")</x:f>
      </x:c>
      <x:c r="AH37" s="36" t="str">
        <x:f>IF(AND(AH$5&gt;=$G37,AH$5&lt;=$H37),"■","")</x:f>
      </x:c>
      <x:c r="AI37" s="36" t="str">
        <x:f>IF(AND(AI$5&gt;=$G37,AI$5&lt;=$H37),"■","")</x:f>
      </x:c>
      <x:c r="AJ37" s="36" t="str">
        <x:f>IF(AND(AJ$5&gt;=$G37,AJ$5&lt;=$H37),"■","")</x:f>
      </x:c>
      <x:c r="AK37" s="36" t="str">
        <x:f>IF(AND(AK$5&gt;=$G37,AK$5&lt;=$H37),"■","")</x:f>
      </x:c>
      <x:c r="AL37" s="36" t="str">
        <x:f>IF(AND(AL$5&gt;=$G37,AL$5&lt;=$H37),"■","")</x:f>
      </x:c>
      <x:c r="AM37" s="36" t="str">
        <x:f>IF(AND(AM$5&gt;=$G37,AM$5&lt;=$H37),"■","")</x:f>
      </x:c>
      <x:c r="AN37" s="36" t="str">
        <x:f>IF(AND(AN$5&gt;=$G37,AN$5&lt;=$H37),"■","")</x:f>
      </x:c>
      <x:c r="AO37" s="36" t="str">
        <x:f>IF(AND(AO$5&gt;=$G37,AO$5&lt;=$H37),"■","")</x:f>
      </x:c>
      <x:c r="AP37" s="36" t="str">
        <x:f>IF(AND(AP$5&gt;=$G37,AP$5&lt;=$H37),"■","")</x:f>
      </x:c>
      <x:c r="AQ37" s="36" t="str">
        <x:f>IF(AND(AQ$5&gt;=$G37,AQ$5&lt;=$H37),"■","")</x:f>
      </x:c>
      <x:c r="AR37" s="36" t="str">
        <x:f>IF(AND(AR$5&gt;=$G37,AR$5&lt;=$H37),"■","")</x:f>
      </x:c>
      <x:c r="AS37" s="36" t="str">
        <x:f>IF(AND(AS$5&gt;=$G37,AS$5&lt;=$H37),"■","")</x:f>
      </x:c>
      <x:c r="AT37" s="36" t="str">
        <x:f>IF(AND(AT$5&gt;=$G37,AT$5&lt;=$H37),"■","")</x:f>
      </x:c>
      <x:c r="AU37" s="36" t="str">
        <x:f>IF(AND(AU$5&gt;=$G37,AU$5&lt;=$H37),"■","")</x:f>
      </x:c>
      <x:c r="AV37" s="36" t="str">
        <x:f>IF(AND(AV$5&gt;=$G37,AV$5&lt;=$H37),"■","")</x:f>
      </x:c>
    </x:row>
    <x:row r="38" ht="31" customHeight="1">
      <x:c r="A38" s="37" t="str">
        <x:v>운영 분석 엔진</x:v>
      </x:c>
      <x:c r="B38" s="37" t="str">
        <x:v>5.6</x:v>
      </x:c>
      <x:c r="C38" s="38" t="str">
        <x:v>B·D 연동 기준·Fallback 수용 기준·아키텍처 문서화</x:v>
      </x:c>
      <x:c r="D38" s="38" t="str">
        <x:v>AI 시스템 아키텍처</x:v>
      </x:c>
      <x:c r="E38" s="37" t="str">
        <x:v>박준희</x:v>
      </x:c>
      <x:c r="F38" s="37" t="str">
        <x:v>대기</x:v>
      </x:c>
      <x:c r="G38" s="39" t="n">
        <x:v>46241.5</x:v>
      </x:c>
      <x:c r="H38" s="39" t="n">
        <x:v>46245.5</x:v>
      </x:c>
      <x:c r="I38" s="39" t="n">
        <x:v>46248.5</x:v>
      </x:c>
      <x:c r="J38" s="40" t="n">
        <x:f>IF(F38="완료",100%,IF(F38="검토",90%,IF(F38="진행",60%,IF(F38="진행중",60%,IF(F38="차단",25%,0%)))))</x:f>
        <x:v>0</x:v>
      </x:c>
      <x:c r="K38" s="36" t="str">
        <x:f>IF(AND(K$5&gt;=$G38,K$5&lt;=$H38),"■","")</x:f>
      </x:c>
      <x:c r="L38" s="36" t="str">
        <x:f>IF(AND(L$5&gt;=$G38,L$5&lt;=$H38),"■","")</x:f>
      </x:c>
      <x:c r="M38" s="36" t="str">
        <x:f>IF(AND(M$5&gt;=$G38,M$5&lt;=$H38),"■","")</x:f>
      </x:c>
      <x:c r="N38" s="36" t="str">
        <x:f>IF(AND(N$5&gt;=$G38,N$5&lt;=$H38),"■","")</x:f>
      </x:c>
      <x:c r="O38" s="36" t="str">
        <x:f>IF(AND(O$5&gt;=$G38,O$5&lt;=$H38),"■","")</x:f>
      </x:c>
      <x:c r="P38" s="36" t="str">
        <x:f>IF(AND(P$5&gt;=$G38,P$5&lt;=$H38),"■","")</x:f>
      </x:c>
      <x:c r="Q38" s="36" t="str">
        <x:f>IF(AND(Q$5&gt;=$G38,Q$5&lt;=$H38),"■","")</x:f>
      </x:c>
      <x:c r="R38" s="36" t="str">
        <x:f>IF(AND(R$5&gt;=$G38,R$5&lt;=$H38),"■","")</x:f>
      </x:c>
      <x:c r="S38" s="36" t="str">
        <x:f>IF(AND(S$5&gt;=$G38,S$5&lt;=$H38),"■","")</x:f>
      </x:c>
      <x:c r="T38" s="36" t="str">
        <x:f>IF(AND(T$5&gt;=$G38,T$5&lt;=$H38),"■","")</x:f>
      </x:c>
      <x:c r="U38" s="36" t="str">
        <x:f>IF(AND(U$5&gt;=$G38,U$5&lt;=$H38),"■","")</x:f>
      </x:c>
      <x:c r="V38" s="36" t="str">
        <x:f>IF(AND(V$5&gt;=$G38,V$5&lt;=$H38),"■","")</x:f>
      </x:c>
      <x:c r="W38" s="36" t="str">
        <x:f>IF(AND(W$5&gt;=$G38,W$5&lt;=$H38),"■","")</x:f>
      </x:c>
      <x:c r="X38" s="36" t="str">
        <x:f>IF(AND(X$5&gt;=$G38,X$5&lt;=$H38),"■","")</x:f>
      </x:c>
      <x:c r="Y38" s="36" t="str">
        <x:f>IF(AND(Y$5&gt;=$G38,Y$5&lt;=$H38),"■","")</x:f>
      </x:c>
      <x:c r="Z38" s="36" t="str">
        <x:f>IF(AND(Z$5&gt;=$G38,Z$5&lt;=$H38),"■","")</x:f>
      </x:c>
      <x:c r="AA38" s="36" t="str">
        <x:f>IF(AND(AA$5&gt;=$G38,AA$5&lt;=$H38),"■","")</x:f>
      </x:c>
      <x:c r="AB38" s="36" t="str">
        <x:f>IF(AND(AB$5&gt;=$G38,AB$5&lt;=$H38),"■","")</x:f>
      </x:c>
      <x:c r="AC38" s="36" t="str">
        <x:f>IF(AND(AC$5&gt;=$G38,AC$5&lt;=$H38),"■","")</x:f>
      </x:c>
      <x:c r="AD38" s="36" t="str">
        <x:f>IF(AND(AD$5&gt;=$G38,AD$5&lt;=$H38),"■","")</x:f>
        <x:v>■</x:v>
      </x:c>
      <x:c r="AE38" s="36" t="str">
        <x:f>IF(AND(AE$5&gt;=$G38,AE$5&lt;=$H38),"■","")</x:f>
        <x:v>■</x:v>
      </x:c>
      <x:c r="AF38" s="36" t="str">
        <x:f>IF(AND(AF$5&gt;=$G38,AF$5&lt;=$H38),"■","")</x:f>
        <x:v>■</x:v>
      </x:c>
      <x:c r="AG38" s="36" t="str">
        <x:f>IF(AND(AG$5&gt;=$G38,AG$5&lt;=$H38),"■","")</x:f>
      </x:c>
      <x:c r="AH38" s="36" t="str">
        <x:f>IF(AND(AH$5&gt;=$G38,AH$5&lt;=$H38),"■","")</x:f>
      </x:c>
      <x:c r="AI38" s="36" t="str">
        <x:f>IF(AND(AI$5&gt;=$G38,AI$5&lt;=$H38),"■","")</x:f>
      </x:c>
      <x:c r="AJ38" s="36" t="str">
        <x:f>IF(AND(AJ$5&gt;=$G38,AJ$5&lt;=$H38),"■","")</x:f>
      </x:c>
      <x:c r="AK38" s="36" t="str">
        <x:f>IF(AND(AK$5&gt;=$G38,AK$5&lt;=$H38),"■","")</x:f>
      </x:c>
      <x:c r="AL38" s="36" t="str">
        <x:f>IF(AND(AL$5&gt;=$G38,AL$5&lt;=$H38),"■","")</x:f>
      </x:c>
      <x:c r="AM38" s="36" t="str">
        <x:f>IF(AND(AM$5&gt;=$G38,AM$5&lt;=$H38),"■","")</x:f>
      </x:c>
      <x:c r="AN38" s="36" t="str">
        <x:f>IF(AND(AN$5&gt;=$G38,AN$5&lt;=$H38),"■","")</x:f>
      </x:c>
      <x:c r="AO38" s="36" t="str">
        <x:f>IF(AND(AO$5&gt;=$G38,AO$5&lt;=$H38),"■","")</x:f>
      </x:c>
      <x:c r="AP38" s="36" t="str">
        <x:f>IF(AND(AP$5&gt;=$G38,AP$5&lt;=$H38),"■","")</x:f>
      </x:c>
      <x:c r="AQ38" s="36" t="str">
        <x:f>IF(AND(AQ$5&gt;=$G38,AQ$5&lt;=$H38),"■","")</x:f>
      </x:c>
      <x:c r="AR38" s="36" t="str">
        <x:f>IF(AND(AR$5&gt;=$G38,AR$5&lt;=$H38),"■","")</x:f>
      </x:c>
      <x:c r="AS38" s="36" t="str">
        <x:f>IF(AND(AS$5&gt;=$G38,AS$5&lt;=$H38),"■","")</x:f>
      </x:c>
      <x:c r="AT38" s="36" t="str">
        <x:f>IF(AND(AT$5&gt;=$G38,AT$5&lt;=$H38),"■","")</x:f>
      </x:c>
      <x:c r="AU38" s="36" t="str">
        <x:f>IF(AND(AU$5&gt;=$G38,AU$5&lt;=$H38),"■","")</x:f>
      </x:c>
      <x:c r="AV38" s="36" t="str">
        <x:f>IF(AND(AV$5&gt;=$G38,AV$5&lt;=$H38),"■","")</x:f>
      </x:c>
    </x:row>
    <x:row r="39" ht="31" customHeight="1">
      <x:c r="A39" s="37" t="str">
        <x:v>운영 분석 엔진</x:v>
      </x:c>
      <x:c r="B39" s="37" t="str">
        <x:v>5.7</x:v>
      </x:c>
      <x:c r="C39" s="38" t="str">
        <x:v>FastAPI 품질·query·Incident·LLM fallback 패키징</x:v>
      </x:c>
      <x:c r="D39" s="38" t="str">
        <x:v>LLM 활용 소프트웨어</x:v>
      </x:c>
      <x:c r="E39" s="37" t="str">
        <x:v>김재홍·윤대성</x:v>
      </x:c>
      <x:c r="F39" s="37" t="str">
        <x:v>대기</x:v>
      </x:c>
      <x:c r="G39" s="39" t="n">
        <x:v>46244.5</x:v>
      </x:c>
      <x:c r="H39" s="39" t="n">
        <x:v>46245.5</x:v>
      </x:c>
      <x:c r="I39" s="39" t="n">
        <x:v>46248.5</x:v>
      </x:c>
      <x:c r="J39" s="40" t="n">
        <x:f>IF(F39="완료",100%,IF(F39="검토",90%,IF(F39="진행",60%,IF(F39="진행중",60%,IF(F39="차단",25%,0%)))))</x:f>
        <x:v>0</x:v>
      </x:c>
      <x:c r="K39" s="36" t="str">
        <x:f>IF(AND(K$5&gt;=$G39,K$5&lt;=$H39),"■","")</x:f>
      </x:c>
      <x:c r="L39" s="36" t="str">
        <x:f>IF(AND(L$5&gt;=$G39,L$5&lt;=$H39),"■","")</x:f>
      </x:c>
      <x:c r="M39" s="36" t="str">
        <x:f>IF(AND(M$5&gt;=$G39,M$5&lt;=$H39),"■","")</x:f>
      </x:c>
      <x:c r="N39" s="36" t="str">
        <x:f>IF(AND(N$5&gt;=$G39,N$5&lt;=$H39),"■","")</x:f>
      </x:c>
      <x:c r="O39" s="36" t="str">
        <x:f>IF(AND(O$5&gt;=$G39,O$5&lt;=$H39),"■","")</x:f>
      </x:c>
      <x:c r="P39" s="36" t="str">
        <x:f>IF(AND(P$5&gt;=$G39,P$5&lt;=$H39),"■","")</x:f>
      </x:c>
      <x:c r="Q39" s="36" t="str">
        <x:f>IF(AND(Q$5&gt;=$G39,Q$5&lt;=$H39),"■","")</x:f>
      </x:c>
      <x:c r="R39" s="36" t="str">
        <x:f>IF(AND(R$5&gt;=$G39,R$5&lt;=$H39),"■","")</x:f>
      </x:c>
      <x:c r="S39" s="36" t="str">
        <x:f>IF(AND(S$5&gt;=$G39,S$5&lt;=$H39),"■","")</x:f>
      </x:c>
      <x:c r="T39" s="36" t="str">
        <x:f>IF(AND(T$5&gt;=$G39,T$5&lt;=$H39),"■","")</x:f>
      </x:c>
      <x:c r="U39" s="36" t="str">
        <x:f>IF(AND(U$5&gt;=$G39,U$5&lt;=$H39),"■","")</x:f>
      </x:c>
      <x:c r="V39" s="36" t="str">
        <x:f>IF(AND(V$5&gt;=$G39,V$5&lt;=$H39),"■","")</x:f>
      </x:c>
      <x:c r="W39" s="36" t="str">
        <x:f>IF(AND(W$5&gt;=$G39,W$5&lt;=$H39),"■","")</x:f>
      </x:c>
      <x:c r="X39" s="36" t="str">
        <x:f>IF(AND(X$5&gt;=$G39,X$5&lt;=$H39),"■","")</x:f>
      </x:c>
      <x:c r="Y39" s="36" t="str">
        <x:f>IF(AND(Y$5&gt;=$G39,Y$5&lt;=$H39),"■","")</x:f>
      </x:c>
      <x:c r="Z39" s="36" t="str">
        <x:f>IF(AND(Z$5&gt;=$G39,Z$5&lt;=$H39),"■","")</x:f>
      </x:c>
      <x:c r="AA39" s="36" t="str">
        <x:f>IF(AND(AA$5&gt;=$G39,AA$5&lt;=$H39),"■","")</x:f>
      </x:c>
      <x:c r="AB39" s="36" t="str">
        <x:f>IF(AND(AB$5&gt;=$G39,AB$5&lt;=$H39),"■","")</x:f>
      </x:c>
      <x:c r="AC39" s="36" t="str">
        <x:f>IF(AND(AC$5&gt;=$G39,AC$5&lt;=$H39),"■","")</x:f>
      </x:c>
      <x:c r="AD39" s="36" t="str">
        <x:f>IF(AND(AD$5&gt;=$G39,AD$5&lt;=$H39),"■","")</x:f>
      </x:c>
      <x:c r="AE39" s="36" t="str">
        <x:f>IF(AND(AE$5&gt;=$G39,AE$5&lt;=$H39),"■","")</x:f>
        <x:v>■</x:v>
      </x:c>
      <x:c r="AF39" s="36" t="str">
        <x:f>IF(AND(AF$5&gt;=$G39,AF$5&lt;=$H39),"■","")</x:f>
        <x:v>■</x:v>
      </x:c>
      <x:c r="AG39" s="36" t="str">
        <x:f>IF(AND(AG$5&gt;=$G39,AG$5&lt;=$H39),"■","")</x:f>
      </x:c>
      <x:c r="AH39" s="36" t="str">
        <x:f>IF(AND(AH$5&gt;=$G39,AH$5&lt;=$H39),"■","")</x:f>
      </x:c>
      <x:c r="AI39" s="36" t="str">
        <x:f>IF(AND(AI$5&gt;=$G39,AI$5&lt;=$H39),"■","")</x:f>
      </x:c>
      <x:c r="AJ39" s="36" t="str">
        <x:f>IF(AND(AJ$5&gt;=$G39,AJ$5&lt;=$H39),"■","")</x:f>
      </x:c>
      <x:c r="AK39" s="36" t="str">
        <x:f>IF(AND(AK$5&gt;=$G39,AK$5&lt;=$H39),"■","")</x:f>
      </x:c>
      <x:c r="AL39" s="36" t="str">
        <x:f>IF(AND(AL$5&gt;=$G39,AL$5&lt;=$H39),"■","")</x:f>
      </x:c>
      <x:c r="AM39" s="36" t="str">
        <x:f>IF(AND(AM$5&gt;=$G39,AM$5&lt;=$H39),"■","")</x:f>
      </x:c>
      <x:c r="AN39" s="36" t="str">
        <x:f>IF(AND(AN$5&gt;=$G39,AN$5&lt;=$H39),"■","")</x:f>
      </x:c>
      <x:c r="AO39" s="36" t="str">
        <x:f>IF(AND(AO$5&gt;=$G39,AO$5&lt;=$H39),"■","")</x:f>
      </x:c>
      <x:c r="AP39" s="36" t="str">
        <x:f>IF(AND(AP$5&gt;=$G39,AP$5&lt;=$H39),"■","")</x:f>
      </x:c>
      <x:c r="AQ39" s="36" t="str">
        <x:f>IF(AND(AQ$5&gt;=$G39,AQ$5&lt;=$H39),"■","")</x:f>
      </x:c>
      <x:c r="AR39" s="36" t="str">
        <x:f>IF(AND(AR$5&gt;=$G39,AR$5&lt;=$H39),"■","")</x:f>
      </x:c>
      <x:c r="AS39" s="36" t="str">
        <x:f>IF(AND(AS$5&gt;=$G39,AS$5&lt;=$H39),"■","")</x:f>
      </x:c>
      <x:c r="AT39" s="36" t="str">
        <x:f>IF(AND(AT$5&gt;=$G39,AT$5&lt;=$H39),"■","")</x:f>
      </x:c>
      <x:c r="AU39" s="36" t="str">
        <x:f>IF(AND(AU$5&gt;=$G39,AU$5&lt;=$H39),"■","")</x:f>
      </x:c>
      <x:c r="AV39" s="36" t="str">
        <x:f>IF(AND(AV$5&gt;=$G39,AV$5&lt;=$H39),"■","")</x:f>
      </x:c>
    </x:row>
    <x:row r="40" ht="31" customHeight="1">
      <x:c r="A40" s="37" t="str">
        <x:v>운영 분석 엔진</x:v>
      </x:c>
      <x:c r="B40" s="37" t="str">
        <x:v>5.8</x:v>
      </x:c>
      <x:c r="C40" s="38" t="str">
        <x:v>합성 VOC sLLM·API LLM 비교</x:v>
      </x:c>
      <x:c r="D40" s="38" t="str">
        <x:v>자체 sLLM 인공지능(독립 실험)</x:v>
      </x:c>
      <x:c r="E40" s="37" t="str">
        <x:v>윤대성</x:v>
      </x:c>
      <x:c r="F40" s="37" t="str">
        <x:v>대기</x:v>
      </x:c>
      <x:c r="G40" s="39" t="n">
        <x:v>46239.5</x:v>
      </x:c>
      <x:c r="H40" s="39" t="n">
        <x:v>46248.5</x:v>
      </x:c>
      <x:c r="I40" s="39" t="n">
        <x:v>46248.5</x:v>
      </x:c>
      <x:c r="J40" s="40" t="n">
        <x:f>IF(F40="완료",100%,IF(F40="검토",90%,IF(F40="진행",60%,IF(F40="진행중",60%,IF(F40="차단",25%,0%)))))</x:f>
        <x:v>0</x:v>
      </x:c>
      <x:c r="K40" s="36" t="str">
        <x:f>IF(AND(K$5&gt;=$G40,K$5&lt;=$H40),"■","")</x:f>
      </x:c>
      <x:c r="L40" s="36" t="str">
        <x:f>IF(AND(L$5&gt;=$G40,L$5&lt;=$H40),"■","")</x:f>
      </x:c>
      <x:c r="M40" s="36" t="str">
        <x:f>IF(AND(M$5&gt;=$G40,M$5&lt;=$H40),"■","")</x:f>
      </x:c>
      <x:c r="N40" s="36" t="str">
        <x:f>IF(AND(N$5&gt;=$G40,N$5&lt;=$H40),"■","")</x:f>
      </x:c>
      <x:c r="O40" s="36" t="str">
        <x:f>IF(AND(O$5&gt;=$G40,O$5&lt;=$H40),"■","")</x:f>
      </x:c>
      <x:c r="P40" s="36" t="str">
        <x:f>IF(AND(P$5&gt;=$G40,P$5&lt;=$H40),"■","")</x:f>
      </x:c>
      <x:c r="Q40" s="36" t="str">
        <x:f>IF(AND(Q$5&gt;=$G40,Q$5&lt;=$H40),"■","")</x:f>
      </x:c>
      <x:c r="R40" s="36" t="str">
        <x:f>IF(AND(R$5&gt;=$G40,R$5&lt;=$H40),"■","")</x:f>
      </x:c>
      <x:c r="S40" s="36" t="str">
        <x:f>IF(AND(S$5&gt;=$G40,S$5&lt;=$H40),"■","")</x:f>
      </x:c>
      <x:c r="T40" s="36" t="str">
        <x:f>IF(AND(T$5&gt;=$G40,T$5&lt;=$H40),"■","")</x:f>
      </x:c>
      <x:c r="U40" s="36" t="str">
        <x:f>IF(AND(U$5&gt;=$G40,U$5&lt;=$H40),"■","")</x:f>
      </x:c>
      <x:c r="V40" s="36" t="str">
        <x:f>IF(AND(V$5&gt;=$G40,V$5&lt;=$H40),"■","")</x:f>
      </x:c>
      <x:c r="W40" s="36" t="str">
        <x:f>IF(AND(W$5&gt;=$G40,W$5&lt;=$H40),"■","")</x:f>
      </x:c>
      <x:c r="X40" s="36" t="str">
        <x:f>IF(AND(X$5&gt;=$G40,X$5&lt;=$H40),"■","")</x:f>
      </x:c>
      <x:c r="Y40" s="36" t="str">
        <x:f>IF(AND(Y$5&gt;=$G40,Y$5&lt;=$H40),"■","")</x:f>
      </x:c>
      <x:c r="Z40" s="36" t="str">
        <x:f>IF(AND(Z$5&gt;=$G40,Z$5&lt;=$H40),"■","")</x:f>
      </x:c>
      <x:c r="AA40" s="36" t="str">
        <x:f>IF(AND(AA$5&gt;=$G40,AA$5&lt;=$H40),"■","")</x:f>
      </x:c>
      <x:c r="AB40" s="36" t="str">
        <x:f>IF(AND(AB$5&gt;=$G40,AB$5&lt;=$H40),"■","")</x:f>
        <x:v>■</x:v>
      </x:c>
      <x:c r="AC40" s="36" t="str">
        <x:f>IF(AND(AC$5&gt;=$G40,AC$5&lt;=$H40),"■","")</x:f>
        <x:v>■</x:v>
      </x:c>
      <x:c r="AD40" s="36" t="str">
        <x:f>IF(AND(AD$5&gt;=$G40,AD$5&lt;=$H40),"■","")</x:f>
        <x:v>■</x:v>
      </x:c>
      <x:c r="AE40" s="36" t="str">
        <x:f>IF(AND(AE$5&gt;=$G40,AE$5&lt;=$H40),"■","")</x:f>
        <x:v>■</x:v>
      </x:c>
      <x:c r="AF40" s="36" t="str">
        <x:f>IF(AND(AF$5&gt;=$G40,AF$5&lt;=$H40),"■","")</x:f>
        <x:v>■</x:v>
      </x:c>
      <x:c r="AG40" s="36" t="str">
        <x:f>IF(AND(AG$5&gt;=$G40,AG$5&lt;=$H40),"■","")</x:f>
        <x:v>■</x:v>
      </x:c>
      <x:c r="AH40" s="36" t="str">
        <x:f>IF(AND(AH$5&gt;=$G40,AH$5&lt;=$H40),"■","")</x:f>
        <x:v>■</x:v>
      </x:c>
      <x:c r="AI40" s="36" t="str">
        <x:f>IF(AND(AI$5&gt;=$G40,AI$5&lt;=$H40),"■","")</x:f>
        <x:v>■</x:v>
      </x:c>
      <x:c r="AJ40" s="36" t="str">
        <x:f>IF(AND(AJ$5&gt;=$G40,AJ$5&lt;=$H40),"■","")</x:f>
      </x:c>
      <x:c r="AK40" s="36" t="str">
        <x:f>IF(AND(AK$5&gt;=$G40,AK$5&lt;=$H40),"■","")</x:f>
      </x:c>
      <x:c r="AL40" s="36" t="str">
        <x:f>IF(AND(AL$5&gt;=$G40,AL$5&lt;=$H40),"■","")</x:f>
      </x:c>
      <x:c r="AM40" s="36" t="str">
        <x:f>IF(AND(AM$5&gt;=$G40,AM$5&lt;=$H40),"■","")</x:f>
      </x:c>
      <x:c r="AN40" s="36" t="str">
        <x:f>IF(AND(AN$5&gt;=$G40,AN$5&lt;=$H40),"■","")</x:f>
      </x:c>
      <x:c r="AO40" s="36" t="str">
        <x:f>IF(AND(AO$5&gt;=$G40,AO$5&lt;=$H40),"■","")</x:f>
      </x:c>
      <x:c r="AP40" s="36" t="str">
        <x:f>IF(AND(AP$5&gt;=$G40,AP$5&lt;=$H40),"■","")</x:f>
      </x:c>
      <x:c r="AQ40" s="36" t="str">
        <x:f>IF(AND(AQ$5&gt;=$G40,AQ$5&lt;=$H40),"■","")</x:f>
      </x:c>
      <x:c r="AR40" s="36" t="str">
        <x:f>IF(AND(AR$5&gt;=$G40,AR$5&lt;=$H40),"■","")</x:f>
      </x:c>
      <x:c r="AS40" s="36" t="str">
        <x:f>IF(AND(AS$5&gt;=$G40,AS$5&lt;=$H40),"■","")</x:f>
      </x:c>
      <x:c r="AT40" s="36" t="str">
        <x:f>IF(AND(AT$5&gt;=$G40,AT$5&lt;=$H40),"■","")</x:f>
      </x:c>
      <x:c r="AU40" s="36" t="str">
        <x:f>IF(AND(AU$5&gt;=$G40,AU$5&lt;=$H40),"■","")</x:f>
      </x:c>
      <x:c r="AV40" s="36" t="str">
        <x:f>IF(AND(AV$5&gt;=$G40,AV$5&lt;=$H40),"■","")</x:f>
      </x:c>
    </x:row>
    <x:row r="41" ht="31" customHeight="1">
      <x:c r="A41" s="37" t="str">
        <x:v>운영 분석 엔진</x:v>
      </x:c>
      <x:c r="B41" s="37" t="str">
        <x:v>5.9</x:v>
      </x:c>
      <x:c r="C41" s="38" t="str">
        <x:v>batch 적재 완료→analytical Gate READY→감지 trigger</x:v>
      </x:c>
      <x:c r="D41" s="38" t="str">
        <x:v>트리거 모듈</x:v>
      </x:c>
      <x:c r="E41" s="37" t="str">
        <x:v>김재홍</x:v>
      </x:c>
      <x:c r="F41" s="37" t="str">
        <x:v>대기</x:v>
      </x:c>
      <x:c r="G41" s="39" t="n">
        <x:v>46245.5</x:v>
      </x:c>
      <x:c r="H41" s="39" t="n">
        <x:v>46245.5</x:v>
      </x:c>
      <x:c r="I41" s="39"/>
      <x:c r="J41" s="40" t="n">
        <x:f>IF(F41="완료",100%,IF(F41="검토",90%,IF(F41="진행",60%,IF(F41="진행중",60%,IF(F41="차단",25%,0%)))))</x:f>
        <x:v>0</x:v>
      </x:c>
      <x:c r="K41" s="36" t="str">
        <x:f>IF(AND(K$5&gt;=$G41,K$5&lt;=$H41),"■","")</x:f>
      </x:c>
      <x:c r="L41" s="36" t="str">
        <x:f>IF(AND(L$5&gt;=$G41,L$5&lt;=$H41),"■","")</x:f>
      </x:c>
      <x:c r="M41" s="36" t="str">
        <x:f>IF(AND(M$5&gt;=$G41,M$5&lt;=$H41),"■","")</x:f>
      </x:c>
      <x:c r="N41" s="36" t="str">
        <x:f>IF(AND(N$5&gt;=$G41,N$5&lt;=$H41),"■","")</x:f>
      </x:c>
      <x:c r="O41" s="36" t="str">
        <x:f>IF(AND(O$5&gt;=$G41,O$5&lt;=$H41),"■","")</x:f>
      </x:c>
      <x:c r="P41" s="36" t="str">
        <x:f>IF(AND(P$5&gt;=$G41,P$5&lt;=$H41),"■","")</x:f>
      </x:c>
      <x:c r="Q41" s="36" t="str">
        <x:f>IF(AND(Q$5&gt;=$G41,Q$5&lt;=$H41),"■","")</x:f>
      </x:c>
      <x:c r="R41" s="36" t="str">
        <x:f>IF(AND(R$5&gt;=$G41,R$5&lt;=$H41),"■","")</x:f>
      </x:c>
      <x:c r="S41" s="36" t="str">
        <x:f>IF(AND(S$5&gt;=$G41,S$5&lt;=$H41),"■","")</x:f>
      </x:c>
      <x:c r="T41" s="36" t="str">
        <x:f>IF(AND(T$5&gt;=$G41,T$5&lt;=$H41),"■","")</x:f>
      </x:c>
      <x:c r="U41" s="36" t="str">
        <x:f>IF(AND(U$5&gt;=$G41,U$5&lt;=$H41),"■","")</x:f>
      </x:c>
      <x:c r="V41" s="36" t="str">
        <x:f>IF(AND(V$5&gt;=$G41,V$5&lt;=$H41),"■","")</x:f>
      </x:c>
      <x:c r="W41" s="36" t="str">
        <x:f>IF(AND(W$5&gt;=$G41,W$5&lt;=$H41),"■","")</x:f>
      </x:c>
      <x:c r="X41" s="36" t="str">
        <x:f>IF(AND(X$5&gt;=$G41,X$5&lt;=$H41),"■","")</x:f>
      </x:c>
      <x:c r="Y41" s="36" t="str">
        <x:f>IF(AND(Y$5&gt;=$G41,Y$5&lt;=$H41),"■","")</x:f>
      </x:c>
      <x:c r="Z41" s="36" t="str">
        <x:f>IF(AND(Z$5&gt;=$G41,Z$5&lt;=$H41),"■","")</x:f>
      </x:c>
      <x:c r="AA41" s="36" t="str">
        <x:f>IF(AND(AA$5&gt;=$G41,AA$5&lt;=$H41),"■","")</x:f>
      </x:c>
      <x:c r="AB41" s="36" t="str">
        <x:f>IF(AND(AB$5&gt;=$G41,AB$5&lt;=$H41),"■","")</x:f>
      </x:c>
      <x:c r="AC41" s="36" t="str">
        <x:f>IF(AND(AC$5&gt;=$G41,AC$5&lt;=$H41),"■","")</x:f>
      </x:c>
      <x:c r="AD41" s="36" t="str">
        <x:f>IF(AND(AD$5&gt;=$G41,AD$5&lt;=$H41),"■","")</x:f>
      </x:c>
      <x:c r="AE41" s="36" t="str">
        <x:f>IF(AND(AE$5&gt;=$G41,AE$5&lt;=$H41),"■","")</x:f>
      </x:c>
      <x:c r="AF41" s="36" t="str">
        <x:f>IF(AND(AF$5&gt;=$G41,AF$5&lt;=$H41),"■","")</x:f>
        <x:v>■</x:v>
      </x:c>
      <x:c r="AG41" s="36" t="str">
        <x:f>IF(AND(AG$5&gt;=$G41,AG$5&lt;=$H41),"■","")</x:f>
      </x:c>
      <x:c r="AH41" s="36" t="str">
        <x:f>IF(AND(AH$5&gt;=$G41,AH$5&lt;=$H41),"■","")</x:f>
      </x:c>
      <x:c r="AI41" s="36" t="str">
        <x:f>IF(AND(AI$5&gt;=$G41,AI$5&lt;=$H41),"■","")</x:f>
      </x:c>
      <x:c r="AJ41" s="36" t="str">
        <x:f>IF(AND(AJ$5&gt;=$G41,AJ$5&lt;=$H41),"■","")</x:f>
      </x:c>
      <x:c r="AK41" s="36" t="str">
        <x:f>IF(AND(AK$5&gt;=$G41,AK$5&lt;=$H41),"■","")</x:f>
      </x:c>
      <x:c r="AL41" s="36" t="str">
        <x:f>IF(AND(AL$5&gt;=$G41,AL$5&lt;=$H41),"■","")</x:f>
      </x:c>
      <x:c r="AM41" s="36" t="str">
        <x:f>IF(AND(AM$5&gt;=$G41,AM$5&lt;=$H41),"■","")</x:f>
      </x:c>
      <x:c r="AN41" s="36" t="str">
        <x:f>IF(AND(AN$5&gt;=$G41,AN$5&lt;=$H41),"■","")</x:f>
      </x:c>
      <x:c r="AO41" s="36" t="str">
        <x:f>IF(AND(AO$5&gt;=$G41,AO$5&lt;=$H41),"■","")</x:f>
      </x:c>
      <x:c r="AP41" s="36" t="str">
        <x:f>IF(AND(AP$5&gt;=$G41,AP$5&lt;=$H41),"■","")</x:f>
      </x:c>
      <x:c r="AQ41" s="36" t="str">
        <x:f>IF(AND(AQ$5&gt;=$G41,AQ$5&lt;=$H41),"■","")</x:f>
      </x:c>
      <x:c r="AR41" s="36" t="str">
        <x:f>IF(AND(AR$5&gt;=$G41,AR$5&lt;=$H41),"■","")</x:f>
      </x:c>
      <x:c r="AS41" s="36" t="str">
        <x:f>IF(AND(AS$5&gt;=$G41,AS$5&lt;=$H41),"■","")</x:f>
      </x:c>
      <x:c r="AT41" s="36" t="str">
        <x:f>IF(AND(AT$5&gt;=$G41,AT$5&lt;=$H41),"■","")</x:f>
      </x:c>
      <x:c r="AU41" s="36" t="str">
        <x:f>IF(AND(AU$5&gt;=$G41,AU$5&lt;=$H41),"■","")</x:f>
      </x:c>
      <x:c r="AV41" s="36" t="str">
        <x:f>IF(AND(AV$5&gt;=$G41,AV$5&lt;=$H41),"■","")</x:f>
      </x:c>
    </x:row>
    <x:row r="42" ht="31" customHeight="1">
      <x:c r="A42" s="37" t="str">
        <x:v>운영 분석 엔진</x:v>
      </x:c>
      <x:c r="B42" s="37" t="str">
        <x:v>5.10</x:v>
      </x:c>
      <x:c r="C42" s="38" t="str">
        <x:v>versioned rule 명세 구현·생성 규칙과 독립성 교차 리뷰</x:v>
      </x:c>
      <x:c r="D42" s="38" t="str">
        <x:v>탐지 rule 모듈</x:v>
      </x:c>
      <x:c r="E42" s="37" t="str">
        <x:v>윤대성·정승</x:v>
      </x:c>
      <x:c r="F42" s="37" t="str">
        <x:v>대기</x:v>
      </x:c>
      <x:c r="G42" s="39" t="n">
        <x:v>46238.5</x:v>
      </x:c>
      <x:c r="H42" s="39" t="n">
        <x:v>46241.5</x:v>
      </x:c>
      <x:c r="I42" s="39"/>
      <x:c r="J42" s="40" t="n">
        <x:f>IF(F42="완료",100%,IF(F42="검토",90%,IF(F42="진행",60%,IF(F42="진행중",60%,IF(F42="차단",25%,0%)))))</x:f>
        <x:v>0</x:v>
      </x:c>
      <x:c r="K42" s="36" t="str">
        <x:f>IF(AND(K$5&gt;=$G42,K$5&lt;=$H42),"■","")</x:f>
      </x:c>
      <x:c r="L42" s="36" t="str">
        <x:f>IF(AND(L$5&gt;=$G42,L$5&lt;=$H42),"■","")</x:f>
      </x:c>
      <x:c r="M42" s="36" t="str">
        <x:f>IF(AND(M$5&gt;=$G42,M$5&lt;=$H42),"■","")</x:f>
      </x:c>
      <x:c r="N42" s="36" t="str">
        <x:f>IF(AND(N$5&gt;=$G42,N$5&lt;=$H42),"■","")</x:f>
      </x:c>
      <x:c r="O42" s="36" t="str">
        <x:f>IF(AND(O$5&gt;=$G42,O$5&lt;=$H42),"■","")</x:f>
      </x:c>
      <x:c r="P42" s="36" t="str">
        <x:f>IF(AND(P$5&gt;=$G42,P$5&lt;=$H42),"■","")</x:f>
      </x:c>
      <x:c r="Q42" s="36" t="str">
        <x:f>IF(AND(Q$5&gt;=$G42,Q$5&lt;=$H42),"■","")</x:f>
      </x:c>
      <x:c r="R42" s="36" t="str">
        <x:f>IF(AND(R$5&gt;=$G42,R$5&lt;=$H42),"■","")</x:f>
      </x:c>
      <x:c r="S42" s="36" t="str">
        <x:f>IF(AND(S$5&gt;=$G42,S$5&lt;=$H42),"■","")</x:f>
      </x:c>
      <x:c r="T42" s="36" t="str">
        <x:f>IF(AND(T$5&gt;=$G42,T$5&lt;=$H42),"■","")</x:f>
      </x:c>
      <x:c r="U42" s="36" t="str">
        <x:f>IF(AND(U$5&gt;=$G42,U$5&lt;=$H42),"■","")</x:f>
      </x:c>
      <x:c r="V42" s="36" t="str">
        <x:f>IF(AND(V$5&gt;=$G42,V$5&lt;=$H42),"■","")</x:f>
      </x:c>
      <x:c r="W42" s="36" t="str">
        <x:f>IF(AND(W$5&gt;=$G42,W$5&lt;=$H42),"■","")</x:f>
      </x:c>
      <x:c r="X42" s="36" t="str">
        <x:f>IF(AND(X$5&gt;=$G42,X$5&lt;=$H42),"■","")</x:f>
      </x:c>
      <x:c r="Y42" s="36" t="str">
        <x:f>IF(AND(Y$5&gt;=$G42,Y$5&lt;=$H42),"■","")</x:f>
      </x:c>
      <x:c r="Z42" s="36" t="str">
        <x:f>IF(AND(Z$5&gt;=$G42,Z$5&lt;=$H42),"■","")</x:f>
      </x:c>
      <x:c r="AA42" s="36" t="str">
        <x:f>IF(AND(AA$5&gt;=$G42,AA$5&lt;=$H42),"■","")</x:f>
        <x:v>■</x:v>
      </x:c>
      <x:c r="AB42" s="36" t="str">
        <x:f>IF(AND(AB$5&gt;=$G42,AB$5&lt;=$H42),"■","")</x:f>
        <x:v>■</x:v>
      </x:c>
      <x:c r="AC42" s="36" t="str">
        <x:f>IF(AND(AC$5&gt;=$G42,AC$5&lt;=$H42),"■","")</x:f>
        <x:v>■</x:v>
      </x:c>
      <x:c r="AD42" s="36" t="str">
        <x:f>IF(AND(AD$5&gt;=$G42,AD$5&lt;=$H42),"■","")</x:f>
        <x:v>■</x:v>
      </x:c>
      <x:c r="AE42" s="36" t="str">
        <x:f>IF(AND(AE$5&gt;=$G42,AE$5&lt;=$H42),"■","")</x:f>
      </x:c>
      <x:c r="AF42" s="36" t="str">
        <x:f>IF(AND(AF$5&gt;=$G42,AF$5&lt;=$H42),"■","")</x:f>
      </x:c>
      <x:c r="AG42" s="36" t="str">
        <x:f>IF(AND(AG$5&gt;=$G42,AG$5&lt;=$H42),"■","")</x:f>
      </x:c>
      <x:c r="AH42" s="36" t="str">
        <x:f>IF(AND(AH$5&gt;=$G42,AH$5&lt;=$H42),"■","")</x:f>
      </x:c>
      <x:c r="AI42" s="36" t="str">
        <x:f>IF(AND(AI$5&gt;=$G42,AI$5&lt;=$H42),"■","")</x:f>
      </x:c>
      <x:c r="AJ42" s="36" t="str">
        <x:f>IF(AND(AJ$5&gt;=$G42,AJ$5&lt;=$H42),"■","")</x:f>
      </x:c>
      <x:c r="AK42" s="36" t="str">
        <x:f>IF(AND(AK$5&gt;=$G42,AK$5&lt;=$H42),"■","")</x:f>
      </x:c>
      <x:c r="AL42" s="36" t="str">
        <x:f>IF(AND(AL$5&gt;=$G42,AL$5&lt;=$H42),"■","")</x:f>
      </x:c>
      <x:c r="AM42" s="36" t="str">
        <x:f>IF(AND(AM$5&gt;=$G42,AM$5&lt;=$H42),"■","")</x:f>
      </x:c>
      <x:c r="AN42" s="36" t="str">
        <x:f>IF(AND(AN$5&gt;=$G42,AN$5&lt;=$H42),"■","")</x:f>
      </x:c>
      <x:c r="AO42" s="36" t="str">
        <x:f>IF(AND(AO$5&gt;=$G42,AO$5&lt;=$H42),"■","")</x:f>
      </x:c>
      <x:c r="AP42" s="36" t="str">
        <x:f>IF(AND(AP$5&gt;=$G42,AP$5&lt;=$H42),"■","")</x:f>
      </x:c>
      <x:c r="AQ42" s="36" t="str">
        <x:f>IF(AND(AQ$5&gt;=$G42,AQ$5&lt;=$H42),"■","")</x:f>
      </x:c>
      <x:c r="AR42" s="36" t="str">
        <x:f>IF(AND(AR$5&gt;=$G42,AR$5&lt;=$H42),"■","")</x:f>
      </x:c>
      <x:c r="AS42" s="36" t="str">
        <x:f>IF(AND(AS$5&gt;=$G42,AS$5&lt;=$H42),"■","")</x:f>
      </x:c>
      <x:c r="AT42" s="36" t="str">
        <x:f>IF(AND(AT$5&gt;=$G42,AT$5&lt;=$H42),"■","")</x:f>
      </x:c>
      <x:c r="AU42" s="36" t="str">
        <x:f>IF(AND(AU$5&gt;=$G42,AU$5&lt;=$H42),"■","")</x:f>
      </x:c>
      <x:c r="AV42" s="36" t="str">
        <x:f>IF(AND(AV$5&gt;=$G42,AV$5&lt;=$H42),"■","")</x:f>
      </x:c>
    </x:row>
    <x:row r="43" ht="31" customHeight="1">
      <x:c r="A43" s="37" t="str">
        <x:v>Agent·화면·리포트</x:v>
      </x:c>
      <x:c r="B43" s="37" t="str">
        <x:v>6.1</x:v>
      </x:c>
      <x:c r="C43" s="38" t="str">
        <x:v>Django session 로그인·3역할 골격</x:v>
      </x:c>
      <x:c r="D43" s="38" t="str">
        <x:v>인증·RBAC</x:v>
      </x:c>
      <x:c r="E43" s="37" t="str">
        <x:v>김재홍</x:v>
      </x:c>
      <x:c r="F43" s="37" t="str">
        <x:v>대기</x:v>
      </x:c>
      <x:c r="G43" s="39" t="n">
        <x:v>46231.5</x:v>
      </x:c>
      <x:c r="H43" s="39" t="n">
        <x:v>46233.5</x:v>
      </x:c>
      <x:c r="I43" s="39"/>
      <x:c r="J43" s="40" t="n">
        <x:f>IF(F43="완료",100%,IF(F43="검토",90%,IF(F43="진행",60%,IF(F43="진행중",60%,IF(F43="차단",25%,0%)))))</x:f>
        <x:v>0</x:v>
      </x:c>
      <x:c r="K43" s="36" t="str">
        <x:f>IF(AND(K$5&gt;=$G43,K$5&lt;=$H43),"■","")</x:f>
      </x:c>
      <x:c r="L43" s="36" t="str">
        <x:f>IF(AND(L$5&gt;=$G43,L$5&lt;=$H43),"■","")</x:f>
      </x:c>
      <x:c r="M43" s="36" t="str">
        <x:f>IF(AND(M$5&gt;=$G43,M$5&lt;=$H43),"■","")</x:f>
      </x:c>
      <x:c r="N43" s="36" t="str">
        <x:f>IF(AND(N$5&gt;=$G43,N$5&lt;=$H43),"■","")</x:f>
      </x:c>
      <x:c r="O43" s="36" t="str">
        <x:f>IF(AND(O$5&gt;=$G43,O$5&lt;=$H43),"■","")</x:f>
      </x:c>
      <x:c r="P43" s="36" t="str">
        <x:f>IF(AND(P$5&gt;=$G43,P$5&lt;=$H43),"■","")</x:f>
      </x:c>
      <x:c r="Q43" s="36" t="str">
        <x:f>IF(AND(Q$5&gt;=$G43,Q$5&lt;=$H43),"■","")</x:f>
      </x:c>
      <x:c r="R43" s="36" t="str">
        <x:f>IF(AND(R$5&gt;=$G43,R$5&lt;=$H43),"■","")</x:f>
      </x:c>
      <x:c r="S43" s="36" t="str">
        <x:f>IF(AND(S$5&gt;=$G43,S$5&lt;=$H43),"■","")</x:f>
      </x:c>
      <x:c r="T43" s="36" t="str">
        <x:f>IF(AND(T$5&gt;=$G43,T$5&lt;=$H43),"■","")</x:f>
      </x:c>
      <x:c r="U43" s="36" t="str">
        <x:f>IF(AND(U$5&gt;=$G43,U$5&lt;=$H43),"■","")</x:f>
      </x:c>
      <x:c r="V43" s="36" t="str">
        <x:f>IF(AND(V$5&gt;=$G43,V$5&lt;=$H43),"■","")</x:f>
        <x:v>■</x:v>
      </x:c>
      <x:c r="W43" s="36" t="str">
        <x:f>IF(AND(W$5&gt;=$G43,W$5&lt;=$H43),"■","")</x:f>
        <x:v>■</x:v>
      </x:c>
      <x:c r="X43" s="36" t="str">
        <x:f>IF(AND(X$5&gt;=$G43,X$5&lt;=$H43),"■","")</x:f>
        <x:v>■</x:v>
      </x:c>
      <x:c r="Y43" s="36" t="str">
        <x:f>IF(AND(Y$5&gt;=$G43,Y$5&lt;=$H43),"■","")</x:f>
      </x:c>
      <x:c r="Z43" s="36" t="str">
        <x:f>IF(AND(Z$5&gt;=$G43,Z$5&lt;=$H43),"■","")</x:f>
      </x:c>
      <x:c r="AA43" s="36" t="str">
        <x:f>IF(AND(AA$5&gt;=$G43,AA$5&lt;=$H43),"■","")</x:f>
      </x:c>
      <x:c r="AB43" s="36" t="str">
        <x:f>IF(AND(AB$5&gt;=$G43,AB$5&lt;=$H43),"■","")</x:f>
      </x:c>
      <x:c r="AC43" s="36" t="str">
        <x:f>IF(AND(AC$5&gt;=$G43,AC$5&lt;=$H43),"■","")</x:f>
      </x:c>
      <x:c r="AD43" s="36" t="str">
        <x:f>IF(AND(AD$5&gt;=$G43,AD$5&lt;=$H43),"■","")</x:f>
      </x:c>
      <x:c r="AE43" s="36" t="str">
        <x:f>IF(AND(AE$5&gt;=$G43,AE$5&lt;=$H43),"■","")</x:f>
      </x:c>
      <x:c r="AF43" s="36" t="str">
        <x:f>IF(AND(AF$5&gt;=$G43,AF$5&lt;=$H43),"■","")</x:f>
      </x:c>
      <x:c r="AG43" s="36" t="str">
        <x:f>IF(AND(AG$5&gt;=$G43,AG$5&lt;=$H43),"■","")</x:f>
      </x:c>
      <x:c r="AH43" s="36" t="str">
        <x:f>IF(AND(AH$5&gt;=$G43,AH$5&lt;=$H43),"■","")</x:f>
      </x:c>
      <x:c r="AI43" s="36" t="str">
        <x:f>IF(AND(AI$5&gt;=$G43,AI$5&lt;=$H43),"■","")</x:f>
      </x:c>
      <x:c r="AJ43" s="36" t="str">
        <x:f>IF(AND(AJ$5&gt;=$G43,AJ$5&lt;=$H43),"■","")</x:f>
      </x:c>
      <x:c r="AK43" s="36" t="str">
        <x:f>IF(AND(AK$5&gt;=$G43,AK$5&lt;=$H43),"■","")</x:f>
      </x:c>
      <x:c r="AL43" s="36" t="str">
        <x:f>IF(AND(AL$5&gt;=$G43,AL$5&lt;=$H43),"■","")</x:f>
      </x:c>
      <x:c r="AM43" s="36" t="str">
        <x:f>IF(AND(AM$5&gt;=$G43,AM$5&lt;=$H43),"■","")</x:f>
      </x:c>
      <x:c r="AN43" s="36" t="str">
        <x:f>IF(AND(AN$5&gt;=$G43,AN$5&lt;=$H43),"■","")</x:f>
      </x:c>
      <x:c r="AO43" s="36" t="str">
        <x:f>IF(AND(AO$5&gt;=$G43,AO$5&lt;=$H43),"■","")</x:f>
      </x:c>
      <x:c r="AP43" s="36" t="str">
        <x:f>IF(AND(AP$5&gt;=$G43,AP$5&lt;=$H43),"■","")</x:f>
      </x:c>
      <x:c r="AQ43" s="36" t="str">
        <x:f>IF(AND(AQ$5&gt;=$G43,AQ$5&lt;=$H43),"■","")</x:f>
      </x:c>
      <x:c r="AR43" s="36" t="str">
        <x:f>IF(AND(AR$5&gt;=$G43,AR$5&lt;=$H43),"■","")</x:f>
      </x:c>
      <x:c r="AS43" s="36" t="str">
        <x:f>IF(AND(AS$5&gt;=$G43,AS$5&lt;=$H43),"■","")</x:f>
      </x:c>
      <x:c r="AT43" s="36" t="str">
        <x:f>IF(AND(AT$5&gt;=$G43,AT$5&lt;=$H43),"■","")</x:f>
      </x:c>
      <x:c r="AU43" s="36" t="str">
        <x:f>IF(AND(AU$5&gt;=$G43,AU$5&lt;=$H43),"■","")</x:f>
      </x:c>
      <x:c r="AV43" s="36" t="str">
        <x:f>IF(AND(AV$5&gt;=$G43,AV$5&lt;=$H43),"■","")</x:f>
      </x:c>
    </x:row>
    <x:row r="44" ht="31" customHeight="1">
      <x:c r="A44" s="37" t="str">
        <x:v>Agent·화면·리포트</x:v>
      </x:c>
      <x:c r="B44" s="37" t="str">
        <x:v>6.2</x:v>
      </x:c>
      <x:c r="C44" s="38" t="str">
        <x:v>Django /api/v1/* job·polling·scope snapshot·audit·report decision API</x:v>
      </x:c>
      <x:c r="D44" s="38" t="str">
        <x:v>업무 API</x:v>
      </x:c>
      <x:c r="E44" s="37" t="str">
        <x:v>김재홍</x:v>
      </x:c>
      <x:c r="F44" s="37" t="str">
        <x:v>대기</x:v>
      </x:c>
      <x:c r="G44" s="39" t="n">
        <x:v>46234.5</x:v>
      </x:c>
      <x:c r="H44" s="39" t="n">
        <x:v>46238.5</x:v>
      </x:c>
      <x:c r="I44" s="39"/>
      <x:c r="J44" s="40" t="n">
        <x:f>IF(F44="완료",100%,IF(F44="검토",90%,IF(F44="진행",60%,IF(F44="진행중",60%,IF(F44="차단",25%,0%)))))</x:f>
        <x:v>0</x:v>
      </x:c>
      <x:c r="K44" s="36" t="str">
        <x:f>IF(AND(K$5&gt;=$G44,K$5&lt;=$H44),"■","")</x:f>
      </x:c>
      <x:c r="L44" s="36" t="str">
        <x:f>IF(AND(L$5&gt;=$G44,L$5&lt;=$H44),"■","")</x:f>
      </x:c>
      <x:c r="M44" s="36" t="str">
        <x:f>IF(AND(M$5&gt;=$G44,M$5&lt;=$H44),"■","")</x:f>
      </x:c>
      <x:c r="N44" s="36" t="str">
        <x:f>IF(AND(N$5&gt;=$G44,N$5&lt;=$H44),"■","")</x:f>
      </x:c>
      <x:c r="O44" s="36" t="str">
        <x:f>IF(AND(O$5&gt;=$G44,O$5&lt;=$H44),"■","")</x:f>
      </x:c>
      <x:c r="P44" s="36" t="str">
        <x:f>IF(AND(P$5&gt;=$G44,P$5&lt;=$H44),"■","")</x:f>
      </x:c>
      <x:c r="Q44" s="36" t="str">
        <x:f>IF(AND(Q$5&gt;=$G44,Q$5&lt;=$H44),"■","")</x:f>
      </x:c>
      <x:c r="R44" s="36" t="str">
        <x:f>IF(AND(R$5&gt;=$G44,R$5&lt;=$H44),"■","")</x:f>
      </x:c>
      <x:c r="S44" s="36" t="str">
        <x:f>IF(AND(S$5&gt;=$G44,S$5&lt;=$H44),"■","")</x:f>
      </x:c>
      <x:c r="T44" s="36" t="str">
        <x:f>IF(AND(T$5&gt;=$G44,T$5&lt;=$H44),"■","")</x:f>
      </x:c>
      <x:c r="U44" s="36" t="str">
        <x:f>IF(AND(U$5&gt;=$G44,U$5&lt;=$H44),"■","")</x:f>
      </x:c>
      <x:c r="V44" s="36" t="str">
        <x:f>IF(AND(V$5&gt;=$G44,V$5&lt;=$H44),"■","")</x:f>
      </x:c>
      <x:c r="W44" s="36" t="str">
        <x:f>IF(AND(W$5&gt;=$G44,W$5&lt;=$H44),"■","")</x:f>
      </x:c>
      <x:c r="X44" s="36" t="str">
        <x:f>IF(AND(X$5&gt;=$G44,X$5&lt;=$H44),"■","")</x:f>
      </x:c>
      <x:c r="Y44" s="36" t="str">
        <x:f>IF(AND(Y$5&gt;=$G44,Y$5&lt;=$H44),"■","")</x:f>
        <x:v>■</x:v>
      </x:c>
      <x:c r="Z44" s="36" t="str">
        <x:f>IF(AND(Z$5&gt;=$G44,Z$5&lt;=$H44),"■","")</x:f>
        <x:v>■</x:v>
      </x:c>
      <x:c r="AA44" s="36" t="str">
        <x:f>IF(AND(AA$5&gt;=$G44,AA$5&lt;=$H44),"■","")</x:f>
        <x:v>■</x:v>
      </x:c>
      <x:c r="AB44" s="36" t="str">
        <x:f>IF(AND(AB$5&gt;=$G44,AB$5&lt;=$H44),"■","")</x:f>
      </x:c>
      <x:c r="AC44" s="36" t="str">
        <x:f>IF(AND(AC$5&gt;=$G44,AC$5&lt;=$H44),"■","")</x:f>
      </x:c>
      <x:c r="AD44" s="36" t="str">
        <x:f>IF(AND(AD$5&gt;=$G44,AD$5&lt;=$H44),"■","")</x:f>
      </x:c>
      <x:c r="AE44" s="36" t="str">
        <x:f>IF(AND(AE$5&gt;=$G44,AE$5&lt;=$H44),"■","")</x:f>
      </x:c>
      <x:c r="AF44" s="36" t="str">
        <x:f>IF(AND(AF$5&gt;=$G44,AF$5&lt;=$H44),"■","")</x:f>
      </x:c>
      <x:c r="AG44" s="36" t="str">
        <x:f>IF(AND(AG$5&gt;=$G44,AG$5&lt;=$H44),"■","")</x:f>
      </x:c>
      <x:c r="AH44" s="36" t="str">
        <x:f>IF(AND(AH$5&gt;=$G44,AH$5&lt;=$H44),"■","")</x:f>
      </x:c>
      <x:c r="AI44" s="36" t="str">
        <x:f>IF(AND(AI$5&gt;=$G44,AI$5&lt;=$H44),"■","")</x:f>
      </x:c>
      <x:c r="AJ44" s="36" t="str">
        <x:f>IF(AND(AJ$5&gt;=$G44,AJ$5&lt;=$H44),"■","")</x:f>
      </x:c>
      <x:c r="AK44" s="36" t="str">
        <x:f>IF(AND(AK$5&gt;=$G44,AK$5&lt;=$H44),"■","")</x:f>
      </x:c>
      <x:c r="AL44" s="36" t="str">
        <x:f>IF(AND(AL$5&gt;=$G44,AL$5&lt;=$H44),"■","")</x:f>
      </x:c>
      <x:c r="AM44" s="36" t="str">
        <x:f>IF(AND(AM$5&gt;=$G44,AM$5&lt;=$H44),"■","")</x:f>
      </x:c>
      <x:c r="AN44" s="36" t="str">
        <x:f>IF(AND(AN$5&gt;=$G44,AN$5&lt;=$H44),"■","")</x:f>
      </x:c>
      <x:c r="AO44" s="36" t="str">
        <x:f>IF(AND(AO$5&gt;=$G44,AO$5&lt;=$H44),"■","")</x:f>
      </x:c>
      <x:c r="AP44" s="36" t="str">
        <x:f>IF(AND(AP$5&gt;=$G44,AP$5&lt;=$H44),"■","")</x:f>
      </x:c>
      <x:c r="AQ44" s="36" t="str">
        <x:f>IF(AND(AQ$5&gt;=$G44,AQ$5&lt;=$H44),"■","")</x:f>
      </x:c>
      <x:c r="AR44" s="36" t="str">
        <x:f>IF(AND(AR$5&gt;=$G44,AR$5&lt;=$H44),"■","")</x:f>
      </x:c>
      <x:c r="AS44" s="36" t="str">
        <x:f>IF(AND(AS$5&gt;=$G44,AS$5&lt;=$H44),"■","")</x:f>
      </x:c>
      <x:c r="AT44" s="36" t="str">
        <x:f>IF(AND(AT$5&gt;=$G44,AT$5&lt;=$H44),"■","")</x:f>
      </x:c>
      <x:c r="AU44" s="36" t="str">
        <x:f>IF(AND(AU$5&gt;=$G44,AU$5&lt;=$H44),"■","")</x:f>
      </x:c>
      <x:c r="AV44" s="36" t="str">
        <x:f>IF(AND(AV$5&gt;=$G44,AV$5&lt;=$H44),"■","")</x:f>
      </x:c>
    </x:row>
    <x:row r="45" ht="31" customHeight="1">
      <x:c r="A45" s="37" t="str">
        <x:v>Agent·화면·리포트</x:v>
      </x:c>
      <x:c r="B45" s="37" t="str">
        <x:v>6.3</x:v>
      </x:c>
      <x:c r="C45" s="38" t="str">
        <x:v>기능 B Incident workflow·evidence·대응 옵션·브리프·보고서 DRAFT 통합 및 수용 시나리오 검증</x:v>
      </x:c>
      <x:c r="D45" s="38" t="str">
        <x:v>Agent 기능·Incident 브리프</x:v>
      </x:c>
      <x:c r="E45" s="37" t="str">
        <x:v>윤대성·김재홍·박준희</x:v>
      </x:c>
      <x:c r="F45" s="37" t="str">
        <x:v>대기</x:v>
      </x:c>
      <x:c r="G45" s="39" t="n">
        <x:v>46246.5</x:v>
      </x:c>
      <x:c r="H45" s="39" t="n">
        <x:v>46246.5</x:v>
      </x:c>
      <x:c r="I45" s="39"/>
      <x:c r="J45" s="40" t="n">
        <x:f>IF(F45="완료",100%,IF(F45="검토",90%,IF(F45="진행",60%,IF(F45="진행중",60%,IF(F45="차단",25%,0%)))))</x:f>
        <x:v>0</x:v>
      </x:c>
      <x:c r="K45" s="36" t="str">
        <x:f>IF(AND(K$5&gt;=$G45,K$5&lt;=$H45),"■","")</x:f>
      </x:c>
      <x:c r="L45" s="36" t="str">
        <x:f>IF(AND(L$5&gt;=$G45,L$5&lt;=$H45),"■","")</x:f>
      </x:c>
      <x:c r="M45" s="36" t="str">
        <x:f>IF(AND(M$5&gt;=$G45,M$5&lt;=$H45),"■","")</x:f>
      </x:c>
      <x:c r="N45" s="36" t="str">
        <x:f>IF(AND(N$5&gt;=$G45,N$5&lt;=$H45),"■","")</x:f>
      </x:c>
      <x:c r="O45" s="36" t="str">
        <x:f>IF(AND(O$5&gt;=$G45,O$5&lt;=$H45),"■","")</x:f>
      </x:c>
      <x:c r="P45" s="36" t="str">
        <x:f>IF(AND(P$5&gt;=$G45,P$5&lt;=$H45),"■","")</x:f>
      </x:c>
      <x:c r="Q45" s="36" t="str">
        <x:f>IF(AND(Q$5&gt;=$G45,Q$5&lt;=$H45),"■","")</x:f>
      </x:c>
      <x:c r="R45" s="36" t="str">
        <x:f>IF(AND(R$5&gt;=$G45,R$5&lt;=$H45),"■","")</x:f>
      </x:c>
      <x:c r="S45" s="36" t="str">
        <x:f>IF(AND(S$5&gt;=$G45,S$5&lt;=$H45),"■","")</x:f>
      </x:c>
      <x:c r="T45" s="36" t="str">
        <x:f>IF(AND(T$5&gt;=$G45,T$5&lt;=$H45),"■","")</x:f>
      </x:c>
      <x:c r="U45" s="36" t="str">
        <x:f>IF(AND(U$5&gt;=$G45,U$5&lt;=$H45),"■","")</x:f>
      </x:c>
      <x:c r="V45" s="36" t="str">
        <x:f>IF(AND(V$5&gt;=$G45,V$5&lt;=$H45),"■","")</x:f>
      </x:c>
      <x:c r="W45" s="36" t="str">
        <x:f>IF(AND(W$5&gt;=$G45,W$5&lt;=$H45),"■","")</x:f>
      </x:c>
      <x:c r="X45" s="36" t="str">
        <x:f>IF(AND(X$5&gt;=$G45,X$5&lt;=$H45),"■","")</x:f>
      </x:c>
      <x:c r="Y45" s="36" t="str">
        <x:f>IF(AND(Y$5&gt;=$G45,Y$5&lt;=$H45),"■","")</x:f>
      </x:c>
      <x:c r="Z45" s="36" t="str">
        <x:f>IF(AND(Z$5&gt;=$G45,Z$5&lt;=$H45),"■","")</x:f>
      </x:c>
      <x:c r="AA45" s="36" t="str">
        <x:f>IF(AND(AA$5&gt;=$G45,AA$5&lt;=$H45),"■","")</x:f>
      </x:c>
      <x:c r="AB45" s="36" t="str">
        <x:f>IF(AND(AB$5&gt;=$G45,AB$5&lt;=$H45),"■","")</x:f>
      </x:c>
      <x:c r="AC45" s="36" t="str">
        <x:f>IF(AND(AC$5&gt;=$G45,AC$5&lt;=$H45),"■","")</x:f>
      </x:c>
      <x:c r="AD45" s="36" t="str">
        <x:f>IF(AND(AD$5&gt;=$G45,AD$5&lt;=$H45),"■","")</x:f>
      </x:c>
      <x:c r="AE45" s="36" t="str">
        <x:f>IF(AND(AE$5&gt;=$G45,AE$5&lt;=$H45),"■","")</x:f>
      </x:c>
      <x:c r="AF45" s="36" t="str">
        <x:f>IF(AND(AF$5&gt;=$G45,AF$5&lt;=$H45),"■","")</x:f>
      </x:c>
      <x:c r="AG45" s="36" t="str">
        <x:f>IF(AND(AG$5&gt;=$G45,AG$5&lt;=$H45),"■","")</x:f>
        <x:v>■</x:v>
      </x:c>
      <x:c r="AH45" s="36" t="str">
        <x:f>IF(AND(AH$5&gt;=$G45,AH$5&lt;=$H45),"■","")</x:f>
      </x:c>
      <x:c r="AI45" s="36" t="str">
        <x:f>IF(AND(AI$5&gt;=$G45,AI$5&lt;=$H45),"■","")</x:f>
      </x:c>
      <x:c r="AJ45" s="36" t="str">
        <x:f>IF(AND(AJ$5&gt;=$G45,AJ$5&lt;=$H45),"■","")</x:f>
      </x:c>
      <x:c r="AK45" s="36" t="str">
        <x:f>IF(AND(AK$5&gt;=$G45,AK$5&lt;=$H45),"■","")</x:f>
      </x:c>
      <x:c r="AL45" s="36" t="str">
        <x:f>IF(AND(AL$5&gt;=$G45,AL$5&lt;=$H45),"■","")</x:f>
      </x:c>
      <x:c r="AM45" s="36" t="str">
        <x:f>IF(AND(AM$5&gt;=$G45,AM$5&lt;=$H45),"■","")</x:f>
      </x:c>
      <x:c r="AN45" s="36" t="str">
        <x:f>IF(AND(AN$5&gt;=$G45,AN$5&lt;=$H45),"■","")</x:f>
      </x:c>
      <x:c r="AO45" s="36" t="str">
        <x:f>IF(AND(AO$5&gt;=$G45,AO$5&lt;=$H45),"■","")</x:f>
      </x:c>
      <x:c r="AP45" s="36" t="str">
        <x:f>IF(AND(AP$5&gt;=$G45,AP$5&lt;=$H45),"■","")</x:f>
      </x:c>
      <x:c r="AQ45" s="36" t="str">
        <x:f>IF(AND(AQ$5&gt;=$G45,AQ$5&lt;=$H45),"■","")</x:f>
      </x:c>
      <x:c r="AR45" s="36" t="str">
        <x:f>IF(AND(AR$5&gt;=$G45,AR$5&lt;=$H45),"■","")</x:f>
      </x:c>
      <x:c r="AS45" s="36" t="str">
        <x:f>IF(AND(AS$5&gt;=$G45,AS$5&lt;=$H45),"■","")</x:f>
      </x:c>
      <x:c r="AT45" s="36" t="str">
        <x:f>IF(AND(AT$5&gt;=$G45,AT$5&lt;=$H45),"■","")</x:f>
      </x:c>
      <x:c r="AU45" s="36" t="str">
        <x:f>IF(AND(AU$5&gt;=$G45,AU$5&lt;=$H45),"■","")</x:f>
      </x:c>
      <x:c r="AV45" s="36" t="str">
        <x:f>IF(AND(AV$5&gt;=$G45,AV$5&lt;=$H45),"■","")</x:f>
      </x:c>
    </x:row>
    <x:row r="46" ht="31" customHeight="1">
      <x:c r="A46" s="37" t="str">
        <x:v>Agent·화면·리포트</x:v>
      </x:c>
      <x:c r="B46" s="37" t="str">
        <x:v>6.4</x:v>
      </x:c>
      <x:c r="C46" s="38" t="str">
        <x:v>기능 A 질문·표·차트·설명 연결</x:v>
      </x:c>
      <x:c r="D46" s="38" t="str">
        <x:v>대화형 분석 결과</x:v>
      </x:c>
      <x:c r="E46" s="37" t="str">
        <x:v>송민지·김재홍</x:v>
      </x:c>
      <x:c r="F46" s="37" t="str">
        <x:v>대기</x:v>
      </x:c>
      <x:c r="G46" s="39" t="n">
        <x:v>46241.5</x:v>
      </x:c>
      <x:c r="H46" s="39" t="n">
        <x:v>46246.5</x:v>
      </x:c>
      <x:c r="I46" s="39"/>
      <x:c r="J46" s="40" t="n">
        <x:f>IF(F46="완료",100%,IF(F46="검토",90%,IF(F46="진행",60%,IF(F46="진행중",60%,IF(F46="차단",25%,0%)))))</x:f>
        <x:v>0</x:v>
      </x:c>
      <x:c r="K46" s="36" t="str">
        <x:f>IF(AND(K$5&gt;=$G46,K$5&lt;=$H46),"■","")</x:f>
      </x:c>
      <x:c r="L46" s="36" t="str">
        <x:f>IF(AND(L$5&gt;=$G46,L$5&lt;=$H46),"■","")</x:f>
      </x:c>
      <x:c r="M46" s="36" t="str">
        <x:f>IF(AND(M$5&gt;=$G46,M$5&lt;=$H46),"■","")</x:f>
      </x:c>
      <x:c r="N46" s="36" t="str">
        <x:f>IF(AND(N$5&gt;=$G46,N$5&lt;=$H46),"■","")</x:f>
      </x:c>
      <x:c r="O46" s="36" t="str">
        <x:f>IF(AND(O$5&gt;=$G46,O$5&lt;=$H46),"■","")</x:f>
      </x:c>
      <x:c r="P46" s="36" t="str">
        <x:f>IF(AND(P$5&gt;=$G46,P$5&lt;=$H46),"■","")</x:f>
      </x:c>
      <x:c r="Q46" s="36" t="str">
        <x:f>IF(AND(Q$5&gt;=$G46,Q$5&lt;=$H46),"■","")</x:f>
      </x:c>
      <x:c r="R46" s="36" t="str">
        <x:f>IF(AND(R$5&gt;=$G46,R$5&lt;=$H46),"■","")</x:f>
      </x:c>
      <x:c r="S46" s="36" t="str">
        <x:f>IF(AND(S$5&gt;=$G46,S$5&lt;=$H46),"■","")</x:f>
      </x:c>
      <x:c r="T46" s="36" t="str">
        <x:f>IF(AND(T$5&gt;=$G46,T$5&lt;=$H46),"■","")</x:f>
      </x:c>
      <x:c r="U46" s="36" t="str">
        <x:f>IF(AND(U$5&gt;=$G46,U$5&lt;=$H46),"■","")</x:f>
      </x:c>
      <x:c r="V46" s="36" t="str">
        <x:f>IF(AND(V$5&gt;=$G46,V$5&lt;=$H46),"■","")</x:f>
      </x:c>
      <x:c r="W46" s="36" t="str">
        <x:f>IF(AND(W$5&gt;=$G46,W$5&lt;=$H46),"■","")</x:f>
      </x:c>
      <x:c r="X46" s="36" t="str">
        <x:f>IF(AND(X$5&gt;=$G46,X$5&lt;=$H46),"■","")</x:f>
      </x:c>
      <x:c r="Y46" s="36" t="str">
        <x:f>IF(AND(Y$5&gt;=$G46,Y$5&lt;=$H46),"■","")</x:f>
      </x:c>
      <x:c r="Z46" s="36" t="str">
        <x:f>IF(AND(Z$5&gt;=$G46,Z$5&lt;=$H46),"■","")</x:f>
      </x:c>
      <x:c r="AA46" s="36" t="str">
        <x:f>IF(AND(AA$5&gt;=$G46,AA$5&lt;=$H46),"■","")</x:f>
      </x:c>
      <x:c r="AB46" s="36" t="str">
        <x:f>IF(AND(AB$5&gt;=$G46,AB$5&lt;=$H46),"■","")</x:f>
      </x:c>
      <x:c r="AC46" s="36" t="str">
        <x:f>IF(AND(AC$5&gt;=$G46,AC$5&lt;=$H46),"■","")</x:f>
      </x:c>
      <x:c r="AD46" s="36" t="str">
        <x:f>IF(AND(AD$5&gt;=$G46,AD$5&lt;=$H46),"■","")</x:f>
        <x:v>■</x:v>
      </x:c>
      <x:c r="AE46" s="36" t="str">
        <x:f>IF(AND(AE$5&gt;=$G46,AE$5&lt;=$H46),"■","")</x:f>
        <x:v>■</x:v>
      </x:c>
      <x:c r="AF46" s="36" t="str">
        <x:f>IF(AND(AF$5&gt;=$G46,AF$5&lt;=$H46),"■","")</x:f>
        <x:v>■</x:v>
      </x:c>
      <x:c r="AG46" s="36" t="str">
        <x:f>IF(AND(AG$5&gt;=$G46,AG$5&lt;=$H46),"■","")</x:f>
        <x:v>■</x:v>
      </x:c>
      <x:c r="AH46" s="36" t="str">
        <x:f>IF(AND(AH$5&gt;=$G46,AH$5&lt;=$H46),"■","")</x:f>
      </x:c>
      <x:c r="AI46" s="36" t="str">
        <x:f>IF(AND(AI$5&gt;=$G46,AI$5&lt;=$H46),"■","")</x:f>
      </x:c>
      <x:c r="AJ46" s="36" t="str">
        <x:f>IF(AND(AJ$5&gt;=$G46,AJ$5&lt;=$H46),"■","")</x:f>
      </x:c>
      <x:c r="AK46" s="36" t="str">
        <x:f>IF(AND(AK$5&gt;=$G46,AK$5&lt;=$H46),"■","")</x:f>
      </x:c>
      <x:c r="AL46" s="36" t="str">
        <x:f>IF(AND(AL$5&gt;=$G46,AL$5&lt;=$H46),"■","")</x:f>
      </x:c>
      <x:c r="AM46" s="36" t="str">
        <x:f>IF(AND(AM$5&gt;=$G46,AM$5&lt;=$H46),"■","")</x:f>
      </x:c>
      <x:c r="AN46" s="36" t="str">
        <x:f>IF(AND(AN$5&gt;=$G46,AN$5&lt;=$H46),"■","")</x:f>
      </x:c>
      <x:c r="AO46" s="36" t="str">
        <x:f>IF(AND(AO$5&gt;=$G46,AO$5&lt;=$H46),"■","")</x:f>
      </x:c>
      <x:c r="AP46" s="36" t="str">
        <x:f>IF(AND(AP$5&gt;=$G46,AP$5&lt;=$H46),"■","")</x:f>
      </x:c>
      <x:c r="AQ46" s="36" t="str">
        <x:f>IF(AND(AQ$5&gt;=$G46,AQ$5&lt;=$H46),"■","")</x:f>
      </x:c>
      <x:c r="AR46" s="36" t="str">
        <x:f>IF(AND(AR$5&gt;=$G46,AR$5&lt;=$H46),"■","")</x:f>
      </x:c>
      <x:c r="AS46" s="36" t="str">
        <x:f>IF(AND(AS$5&gt;=$G46,AS$5&lt;=$H46),"■","")</x:f>
      </x:c>
      <x:c r="AT46" s="36" t="str">
        <x:f>IF(AND(AT$5&gt;=$G46,AT$5&lt;=$H46),"■","")</x:f>
      </x:c>
      <x:c r="AU46" s="36" t="str">
        <x:f>IF(AND(AU$5&gt;=$G46,AU$5&lt;=$H46),"■","")</x:f>
      </x:c>
      <x:c r="AV46" s="36" t="str">
        <x:f>IF(AND(AV$5&gt;=$G46,AV$5&lt;=$H46),"■","")</x:f>
      </x:c>
    </x:row>
    <x:row r="47" ht="31" customHeight="1">
      <x:c r="A47" s="37" t="str">
        <x:v>Agent·화면·리포트</x:v>
      </x:c>
      <x:c r="B47" s="37" t="str">
        <x:v>6.6</x:v>
      </x:c>
      <x:c r="C47" s="38" t="str">
        <x:v>주간 보고서 DRAFT(윤대성)·저장/decision API(김재홍)·검토 UI(송민지) 연결 및 수용 기준(박준희) 검증</x:v>
      </x:c>
      <x:c r="D47" s="38" t="str">
        <x:v>보고서·결정 이력</x:v>
      </x:c>
      <x:c r="E47" s="37" t="str">
        <x:v>김재홍·윤대성·송민지·박준희</x:v>
      </x:c>
      <x:c r="F47" s="37" t="str">
        <x:v>대기</x:v>
      </x:c>
      <x:c r="G47" s="39" t="n">
        <x:v>46246.5</x:v>
      </x:c>
      <x:c r="H47" s="39" t="n">
        <x:v>46246.5</x:v>
      </x:c>
      <x:c r="I47" s="39"/>
      <x:c r="J47" s="40" t="n">
        <x:f>IF(F47="완료",100%,IF(F47="검토",90%,IF(F47="진행",60%,IF(F47="진행중",60%,IF(F47="차단",25%,0%)))))</x:f>
        <x:v>0</x:v>
      </x:c>
      <x:c r="K47" s="36" t="str">
        <x:f>IF(AND(K$5&gt;=$G47,K$5&lt;=$H47),"■","")</x:f>
      </x:c>
      <x:c r="L47" s="36" t="str">
        <x:f>IF(AND(L$5&gt;=$G47,L$5&lt;=$H47),"■","")</x:f>
      </x:c>
      <x:c r="M47" s="36" t="str">
        <x:f>IF(AND(M$5&gt;=$G47,M$5&lt;=$H47),"■","")</x:f>
      </x:c>
      <x:c r="N47" s="36" t="str">
        <x:f>IF(AND(N$5&gt;=$G47,N$5&lt;=$H47),"■","")</x:f>
      </x:c>
      <x:c r="O47" s="36" t="str">
        <x:f>IF(AND(O$5&gt;=$G47,O$5&lt;=$H47),"■","")</x:f>
      </x:c>
      <x:c r="P47" s="36" t="str">
        <x:f>IF(AND(P$5&gt;=$G47,P$5&lt;=$H47),"■","")</x:f>
      </x:c>
      <x:c r="Q47" s="36" t="str">
        <x:f>IF(AND(Q$5&gt;=$G47,Q$5&lt;=$H47),"■","")</x:f>
      </x:c>
      <x:c r="R47" s="36" t="str">
        <x:f>IF(AND(R$5&gt;=$G47,R$5&lt;=$H47),"■","")</x:f>
      </x:c>
      <x:c r="S47" s="36" t="str">
        <x:f>IF(AND(S$5&gt;=$G47,S$5&lt;=$H47),"■","")</x:f>
      </x:c>
      <x:c r="T47" s="36" t="str">
        <x:f>IF(AND(T$5&gt;=$G47,T$5&lt;=$H47),"■","")</x:f>
      </x:c>
      <x:c r="U47" s="36" t="str">
        <x:f>IF(AND(U$5&gt;=$G47,U$5&lt;=$H47),"■","")</x:f>
      </x:c>
      <x:c r="V47" s="36" t="str">
        <x:f>IF(AND(V$5&gt;=$G47,V$5&lt;=$H47),"■","")</x:f>
      </x:c>
      <x:c r="W47" s="36" t="str">
        <x:f>IF(AND(W$5&gt;=$G47,W$5&lt;=$H47),"■","")</x:f>
      </x:c>
      <x:c r="X47" s="36" t="str">
        <x:f>IF(AND(X$5&gt;=$G47,X$5&lt;=$H47),"■","")</x:f>
      </x:c>
      <x:c r="Y47" s="36" t="str">
        <x:f>IF(AND(Y$5&gt;=$G47,Y$5&lt;=$H47),"■","")</x:f>
      </x:c>
      <x:c r="Z47" s="36" t="str">
        <x:f>IF(AND(Z$5&gt;=$G47,Z$5&lt;=$H47),"■","")</x:f>
      </x:c>
      <x:c r="AA47" s="36" t="str">
        <x:f>IF(AND(AA$5&gt;=$G47,AA$5&lt;=$H47),"■","")</x:f>
      </x:c>
      <x:c r="AB47" s="36" t="str">
        <x:f>IF(AND(AB$5&gt;=$G47,AB$5&lt;=$H47),"■","")</x:f>
      </x:c>
      <x:c r="AC47" s="36" t="str">
        <x:f>IF(AND(AC$5&gt;=$G47,AC$5&lt;=$H47),"■","")</x:f>
      </x:c>
      <x:c r="AD47" s="36" t="str">
        <x:f>IF(AND(AD$5&gt;=$G47,AD$5&lt;=$H47),"■","")</x:f>
      </x:c>
      <x:c r="AE47" s="36" t="str">
        <x:f>IF(AND(AE$5&gt;=$G47,AE$5&lt;=$H47),"■","")</x:f>
      </x:c>
      <x:c r="AF47" s="36" t="str">
        <x:f>IF(AND(AF$5&gt;=$G47,AF$5&lt;=$H47),"■","")</x:f>
      </x:c>
      <x:c r="AG47" s="36" t="str">
        <x:f>IF(AND(AG$5&gt;=$G47,AG$5&lt;=$H47),"■","")</x:f>
        <x:v>■</x:v>
      </x:c>
      <x:c r="AH47" s="36" t="str">
        <x:f>IF(AND(AH$5&gt;=$G47,AH$5&lt;=$H47),"■","")</x:f>
      </x:c>
      <x:c r="AI47" s="36" t="str">
        <x:f>IF(AND(AI$5&gt;=$G47,AI$5&lt;=$H47),"■","")</x:f>
      </x:c>
      <x:c r="AJ47" s="36" t="str">
        <x:f>IF(AND(AJ$5&gt;=$G47,AJ$5&lt;=$H47),"■","")</x:f>
      </x:c>
      <x:c r="AK47" s="36" t="str">
        <x:f>IF(AND(AK$5&gt;=$G47,AK$5&lt;=$H47),"■","")</x:f>
      </x:c>
      <x:c r="AL47" s="36" t="str">
        <x:f>IF(AND(AL$5&gt;=$G47,AL$5&lt;=$H47),"■","")</x:f>
      </x:c>
      <x:c r="AM47" s="36" t="str">
        <x:f>IF(AND(AM$5&gt;=$G47,AM$5&lt;=$H47),"■","")</x:f>
      </x:c>
      <x:c r="AN47" s="36" t="str">
        <x:f>IF(AND(AN$5&gt;=$G47,AN$5&lt;=$H47),"■","")</x:f>
      </x:c>
      <x:c r="AO47" s="36" t="str">
        <x:f>IF(AND(AO$5&gt;=$G47,AO$5&lt;=$H47),"■","")</x:f>
      </x:c>
      <x:c r="AP47" s="36" t="str">
        <x:f>IF(AND(AP$5&gt;=$G47,AP$5&lt;=$H47),"■","")</x:f>
      </x:c>
      <x:c r="AQ47" s="36" t="str">
        <x:f>IF(AND(AQ$5&gt;=$G47,AQ$5&lt;=$H47),"■","")</x:f>
      </x:c>
      <x:c r="AR47" s="36" t="str">
        <x:f>IF(AND(AR$5&gt;=$G47,AR$5&lt;=$H47),"■","")</x:f>
      </x:c>
      <x:c r="AS47" s="36" t="str">
        <x:f>IF(AND(AS$5&gt;=$G47,AS$5&lt;=$H47),"■","")</x:f>
      </x:c>
      <x:c r="AT47" s="36" t="str">
        <x:f>IF(AND(AT$5&gt;=$G47,AT$5&lt;=$H47),"■","")</x:f>
      </x:c>
      <x:c r="AU47" s="36" t="str">
        <x:f>IF(AND(AU$5&gt;=$G47,AU$5&lt;=$H47),"■","")</x:f>
      </x:c>
      <x:c r="AV47" s="36" t="str">
        <x:f>IF(AND(AV$5&gt;=$G47,AV$5&lt;=$H47),"■","")</x:f>
      </x:c>
    </x:row>
    <x:row r="48" ht="31" customHeight="1">
      <x:c r="A48" s="37" t="str">
        <x:v>Agent·화면·리포트</x:v>
      </x:c>
      <x:c r="B48" s="37" t="str">
        <x:v>6.7</x:v>
      </x:c>
      <x:c r="C48" s="38" t="str">
        <x:v>단일/다역할 Agent 비교·Fallback 테스트·결과 보고</x:v>
      </x:c>
      <x:c r="D48" s="38" t="str">
        <x:v>멀티 에이전트 테스트 계획 및 결과 보고서(독립 실험)</x:v>
      </x:c>
      <x:c r="E48" s="37" t="str">
        <x:v>윤대성·박준희</x:v>
      </x:c>
      <x:c r="F48" s="37" t="str">
        <x:v>대기</x:v>
      </x:c>
      <x:c r="G48" s="39" t="n">
        <x:v>46252.5</x:v>
      </x:c>
      <x:c r="H48" s="39" t="n">
        <x:v>46255.5</x:v>
      </x:c>
      <x:c r="I48" s="39" t="n">
        <x:v>46255.5</x:v>
      </x:c>
      <x:c r="J48" s="40" t="n">
        <x:f>IF(F48="완료",100%,IF(F48="검토",90%,IF(F48="진행",60%,IF(F48="진행중",60%,IF(F48="차단",25%,0%)))))</x:f>
        <x:v>0</x:v>
      </x:c>
      <x:c r="K48" s="36" t="str">
        <x:f>IF(AND(K$5&gt;=$G48,K$5&lt;=$H48),"■","")</x:f>
      </x:c>
      <x:c r="L48" s="36" t="str">
        <x:f>IF(AND(L$5&gt;=$G48,L$5&lt;=$H48),"■","")</x:f>
      </x:c>
      <x:c r="M48" s="36" t="str">
        <x:f>IF(AND(M$5&gt;=$G48,M$5&lt;=$H48),"■","")</x:f>
      </x:c>
      <x:c r="N48" s="36" t="str">
        <x:f>IF(AND(N$5&gt;=$G48,N$5&lt;=$H48),"■","")</x:f>
      </x:c>
      <x:c r="O48" s="36" t="str">
        <x:f>IF(AND(O$5&gt;=$G48,O$5&lt;=$H48),"■","")</x:f>
      </x:c>
      <x:c r="P48" s="36" t="str">
        <x:f>IF(AND(P$5&gt;=$G48,P$5&lt;=$H48),"■","")</x:f>
      </x:c>
      <x:c r="Q48" s="36" t="str">
        <x:f>IF(AND(Q$5&gt;=$G48,Q$5&lt;=$H48),"■","")</x:f>
      </x:c>
      <x:c r="R48" s="36" t="str">
        <x:f>IF(AND(R$5&gt;=$G48,R$5&lt;=$H48),"■","")</x:f>
      </x:c>
      <x:c r="S48" s="36" t="str">
        <x:f>IF(AND(S$5&gt;=$G48,S$5&lt;=$H48),"■","")</x:f>
      </x:c>
      <x:c r="T48" s="36" t="str">
        <x:f>IF(AND(T$5&gt;=$G48,T$5&lt;=$H48),"■","")</x:f>
      </x:c>
      <x:c r="U48" s="36" t="str">
        <x:f>IF(AND(U$5&gt;=$G48,U$5&lt;=$H48),"■","")</x:f>
      </x:c>
      <x:c r="V48" s="36" t="str">
        <x:f>IF(AND(V$5&gt;=$G48,V$5&lt;=$H48),"■","")</x:f>
      </x:c>
      <x:c r="W48" s="36" t="str">
        <x:f>IF(AND(W$5&gt;=$G48,W$5&lt;=$H48),"■","")</x:f>
      </x:c>
      <x:c r="X48" s="36" t="str">
        <x:f>IF(AND(X$5&gt;=$G48,X$5&lt;=$H48),"■","")</x:f>
      </x:c>
      <x:c r="Y48" s="36" t="str">
        <x:f>IF(AND(Y$5&gt;=$G48,Y$5&lt;=$H48),"■","")</x:f>
      </x:c>
      <x:c r="Z48" s="36" t="str">
        <x:f>IF(AND(Z$5&gt;=$G48,Z$5&lt;=$H48),"■","")</x:f>
      </x:c>
      <x:c r="AA48" s="36" t="str">
        <x:f>IF(AND(AA$5&gt;=$G48,AA$5&lt;=$H48),"■","")</x:f>
      </x:c>
      <x:c r="AB48" s="36" t="str">
        <x:f>IF(AND(AB$5&gt;=$G48,AB$5&lt;=$H48),"■","")</x:f>
      </x:c>
      <x:c r="AC48" s="36" t="str">
        <x:f>IF(AND(AC$5&gt;=$G48,AC$5&lt;=$H48),"■","")</x:f>
      </x:c>
      <x:c r="AD48" s="36" t="str">
        <x:f>IF(AND(AD$5&gt;=$G48,AD$5&lt;=$H48),"■","")</x:f>
      </x:c>
      <x:c r="AE48" s="36" t="str">
        <x:f>IF(AND(AE$5&gt;=$G48,AE$5&lt;=$H48),"■","")</x:f>
      </x:c>
      <x:c r="AF48" s="36" t="str">
        <x:f>IF(AND(AF$5&gt;=$G48,AF$5&lt;=$H48),"■","")</x:f>
      </x:c>
      <x:c r="AG48" s="36" t="str">
        <x:f>IF(AND(AG$5&gt;=$G48,AG$5&lt;=$H48),"■","")</x:f>
      </x:c>
      <x:c r="AH48" s="36" t="str">
        <x:f>IF(AND(AH$5&gt;=$G48,AH$5&lt;=$H48),"■","")</x:f>
      </x:c>
      <x:c r="AI48" s="36" t="str">
        <x:f>IF(AND(AI$5&gt;=$G48,AI$5&lt;=$H48),"■","")</x:f>
      </x:c>
      <x:c r="AJ48" s="36" t="str">
        <x:f>IF(AND(AJ$5&gt;=$G48,AJ$5&lt;=$H48),"■","")</x:f>
        <x:v>■</x:v>
      </x:c>
      <x:c r="AK48" s="36" t="str">
        <x:f>IF(AND(AK$5&gt;=$G48,AK$5&lt;=$H48),"■","")</x:f>
        <x:v>■</x:v>
      </x:c>
      <x:c r="AL48" s="36" t="str">
        <x:f>IF(AND(AL$5&gt;=$G48,AL$5&lt;=$H48),"■","")</x:f>
        <x:v>■</x:v>
      </x:c>
      <x:c r="AM48" s="36" t="str">
        <x:f>IF(AND(AM$5&gt;=$G48,AM$5&lt;=$H48),"■","")</x:f>
        <x:v>■</x:v>
      </x:c>
      <x:c r="AN48" s="36" t="str">
        <x:f>IF(AND(AN$5&gt;=$G48,AN$5&lt;=$H48),"■","")</x:f>
      </x:c>
      <x:c r="AO48" s="36" t="str">
        <x:f>IF(AND(AO$5&gt;=$G48,AO$5&lt;=$H48),"■","")</x:f>
      </x:c>
      <x:c r="AP48" s="36" t="str">
        <x:f>IF(AND(AP$5&gt;=$G48,AP$5&lt;=$H48),"■","")</x:f>
      </x:c>
      <x:c r="AQ48" s="36" t="str">
        <x:f>IF(AND(AQ$5&gt;=$G48,AQ$5&lt;=$H48),"■","")</x:f>
      </x:c>
      <x:c r="AR48" s="36" t="str">
        <x:f>IF(AND(AR$5&gt;=$G48,AR$5&lt;=$H48),"■","")</x:f>
      </x:c>
      <x:c r="AS48" s="36" t="str">
        <x:f>IF(AND(AS$5&gt;=$G48,AS$5&lt;=$H48),"■","")</x:f>
      </x:c>
      <x:c r="AT48" s="36" t="str">
        <x:f>IF(AND(AT$5&gt;=$G48,AT$5&lt;=$H48),"■","")</x:f>
      </x:c>
      <x:c r="AU48" s="36" t="str">
        <x:f>IF(AND(AU$5&gt;=$G48,AU$5&lt;=$H48),"■","")</x:f>
      </x:c>
      <x:c r="AV48" s="36" t="str">
        <x:f>IF(AND(AV$5&gt;=$G48,AV$5&lt;=$H48),"■","")</x:f>
      </x:c>
    </x:row>
    <x:row r="49" ht="31" customHeight="1">
      <x:c r="A49" s="37" t="str">
        <x:v>Agent·화면·리포트</x:v>
      </x:c>
      <x:c r="B49" s="37" t="str">
        <x:v>6.8</x:v>
      </x:c>
      <x:c r="C49" s="38" t="str">
        <x:v>SensePlace 배포 구성·최종 시연 환경·fallback·기술 스택 시각화</x:v>
      </x:c>
      <x:c r="D49" s="38" t="str">
        <x:v>시스템 구성도</x:v>
      </x:c>
      <x:c r="E49" s="37" t="str">
        <x:v>김재홍</x:v>
      </x:c>
      <x:c r="F49" s="37" t="str">
        <x:v>대기</x:v>
      </x:c>
      <x:c r="G49" s="39" t="n">
        <x:v>46252.5</x:v>
      </x:c>
      <x:c r="H49" s="39" t="n">
        <x:v>46255.5</x:v>
      </x:c>
      <x:c r="I49" s="39" t="n">
        <x:v>46255.5</x:v>
      </x:c>
      <x:c r="J49" s="40" t="n">
        <x:f>IF(F49="완료",100%,IF(F49="검토",90%,IF(F49="진행",60%,IF(F49="진행중",60%,IF(F49="차단",25%,0%)))))</x:f>
        <x:v>0</x:v>
      </x:c>
      <x:c r="K49" s="36" t="str">
        <x:f>IF(AND(K$5&gt;=$G49,K$5&lt;=$H49),"■","")</x:f>
      </x:c>
      <x:c r="L49" s="36" t="str">
        <x:f>IF(AND(L$5&gt;=$G49,L$5&lt;=$H49),"■","")</x:f>
      </x:c>
      <x:c r="M49" s="36" t="str">
        <x:f>IF(AND(M$5&gt;=$G49,M$5&lt;=$H49),"■","")</x:f>
      </x:c>
      <x:c r="N49" s="36" t="str">
        <x:f>IF(AND(N$5&gt;=$G49,N$5&lt;=$H49),"■","")</x:f>
      </x:c>
      <x:c r="O49" s="36" t="str">
        <x:f>IF(AND(O$5&gt;=$G49,O$5&lt;=$H49),"■","")</x:f>
      </x:c>
      <x:c r="P49" s="36" t="str">
        <x:f>IF(AND(P$5&gt;=$G49,P$5&lt;=$H49),"■","")</x:f>
      </x:c>
      <x:c r="Q49" s="36" t="str">
        <x:f>IF(AND(Q$5&gt;=$G49,Q$5&lt;=$H49),"■","")</x:f>
      </x:c>
      <x:c r="R49" s="36" t="str">
        <x:f>IF(AND(R$5&gt;=$G49,R$5&lt;=$H49),"■","")</x:f>
      </x:c>
      <x:c r="S49" s="36" t="str">
        <x:f>IF(AND(S$5&gt;=$G49,S$5&lt;=$H49),"■","")</x:f>
      </x:c>
      <x:c r="T49" s="36" t="str">
        <x:f>IF(AND(T$5&gt;=$G49,T$5&lt;=$H49),"■","")</x:f>
      </x:c>
      <x:c r="U49" s="36" t="str">
        <x:f>IF(AND(U$5&gt;=$G49,U$5&lt;=$H49),"■","")</x:f>
      </x:c>
      <x:c r="V49" s="36" t="str">
        <x:f>IF(AND(V$5&gt;=$G49,V$5&lt;=$H49),"■","")</x:f>
      </x:c>
      <x:c r="W49" s="36" t="str">
        <x:f>IF(AND(W$5&gt;=$G49,W$5&lt;=$H49),"■","")</x:f>
      </x:c>
      <x:c r="X49" s="36" t="str">
        <x:f>IF(AND(X$5&gt;=$G49,X$5&lt;=$H49),"■","")</x:f>
      </x:c>
      <x:c r="Y49" s="36" t="str">
        <x:f>IF(AND(Y$5&gt;=$G49,Y$5&lt;=$H49),"■","")</x:f>
      </x:c>
      <x:c r="Z49" s="36" t="str">
        <x:f>IF(AND(Z$5&gt;=$G49,Z$5&lt;=$H49),"■","")</x:f>
      </x:c>
      <x:c r="AA49" s="36" t="str">
        <x:f>IF(AND(AA$5&gt;=$G49,AA$5&lt;=$H49),"■","")</x:f>
      </x:c>
      <x:c r="AB49" s="36" t="str">
        <x:f>IF(AND(AB$5&gt;=$G49,AB$5&lt;=$H49),"■","")</x:f>
      </x:c>
      <x:c r="AC49" s="36" t="str">
        <x:f>IF(AND(AC$5&gt;=$G49,AC$5&lt;=$H49),"■","")</x:f>
      </x:c>
      <x:c r="AD49" s="36" t="str">
        <x:f>IF(AND(AD$5&gt;=$G49,AD$5&lt;=$H49),"■","")</x:f>
      </x:c>
      <x:c r="AE49" s="36" t="str">
        <x:f>IF(AND(AE$5&gt;=$G49,AE$5&lt;=$H49),"■","")</x:f>
      </x:c>
      <x:c r="AF49" s="36" t="str">
        <x:f>IF(AND(AF$5&gt;=$G49,AF$5&lt;=$H49),"■","")</x:f>
      </x:c>
      <x:c r="AG49" s="36" t="str">
        <x:f>IF(AND(AG$5&gt;=$G49,AG$5&lt;=$H49),"■","")</x:f>
      </x:c>
      <x:c r="AH49" s="36" t="str">
        <x:f>IF(AND(AH$5&gt;=$G49,AH$5&lt;=$H49),"■","")</x:f>
      </x:c>
      <x:c r="AI49" s="36" t="str">
        <x:f>IF(AND(AI$5&gt;=$G49,AI$5&lt;=$H49),"■","")</x:f>
      </x:c>
      <x:c r="AJ49" s="36" t="str">
        <x:f>IF(AND(AJ$5&gt;=$G49,AJ$5&lt;=$H49),"■","")</x:f>
        <x:v>■</x:v>
      </x:c>
      <x:c r="AK49" s="36" t="str">
        <x:f>IF(AND(AK$5&gt;=$G49,AK$5&lt;=$H49),"■","")</x:f>
        <x:v>■</x:v>
      </x:c>
      <x:c r="AL49" s="36" t="str">
        <x:f>IF(AND(AL$5&gt;=$G49,AL$5&lt;=$H49),"■","")</x:f>
        <x:v>■</x:v>
      </x:c>
      <x:c r="AM49" s="36" t="str">
        <x:f>IF(AND(AM$5&gt;=$G49,AM$5&lt;=$H49),"■","")</x:f>
        <x:v>■</x:v>
      </x:c>
      <x:c r="AN49" s="36" t="str">
        <x:f>IF(AND(AN$5&gt;=$G49,AN$5&lt;=$H49),"■","")</x:f>
      </x:c>
      <x:c r="AO49" s="36" t="str">
        <x:f>IF(AND(AO$5&gt;=$G49,AO$5&lt;=$H49),"■","")</x:f>
      </x:c>
      <x:c r="AP49" s="36" t="str">
        <x:f>IF(AND(AP$5&gt;=$G49,AP$5&lt;=$H49),"■","")</x:f>
      </x:c>
      <x:c r="AQ49" s="36" t="str">
        <x:f>IF(AND(AQ$5&gt;=$G49,AQ$5&lt;=$H49),"■","")</x:f>
      </x:c>
      <x:c r="AR49" s="36" t="str">
        <x:f>IF(AND(AR$5&gt;=$G49,AR$5&lt;=$H49),"■","")</x:f>
      </x:c>
      <x:c r="AS49" s="36" t="str">
        <x:f>IF(AND(AS$5&gt;=$G49,AS$5&lt;=$H49),"■","")</x:f>
      </x:c>
      <x:c r="AT49" s="36" t="str">
        <x:f>IF(AND(AT$5&gt;=$G49,AT$5&lt;=$H49),"■","")</x:f>
      </x:c>
      <x:c r="AU49" s="36" t="str">
        <x:f>IF(AND(AU$5&gt;=$G49,AU$5&lt;=$H49),"■","")</x:f>
      </x:c>
      <x:c r="AV49" s="36" t="str">
        <x:f>IF(AND(AV$5&gt;=$G49,AV$5&lt;=$H49),"■","")</x:f>
      </x:c>
    </x:row>
    <x:row r="50" ht="31" customHeight="1">
      <x:c r="A50" s="37" t="str">
        <x:v>Agent·화면·리포트</x:v>
      </x:c>
      <x:c r="B50" s="37" t="str">
        <x:v>6.9</x:v>
      </x:c>
      <x:c r="C50" s="38" t="str">
        <x:v>보장 질문 8종 의도 해석·semantic plan 품질</x:v>
      </x:c>
      <x:c r="D50" s="38" t="str">
        <x:v>query plan 모듈</x:v>
      </x:c>
      <x:c r="E50" s="37" t="str">
        <x:v>윤대성·김재홍</x:v>
      </x:c>
      <x:c r="F50" s="37" t="str">
        <x:v>대기</x:v>
      </x:c>
      <x:c r="G50" s="39" t="n">
        <x:v>46234.5</x:v>
      </x:c>
      <x:c r="H50" s="39" t="n">
        <x:v>46237.5</x:v>
      </x:c>
      <x:c r="I50" s="39"/>
      <x:c r="J50" s="40" t="n">
        <x:f>IF(F50="완료",100%,IF(F50="검토",90%,IF(F50="진행",60%,IF(F50="진행중",60%,IF(F50="차단",25%,0%)))))</x:f>
        <x:v>0</x:v>
      </x:c>
      <x:c r="K50" s="36" t="str">
        <x:f>IF(AND(K$5&gt;=$G50,K$5&lt;=$H50),"■","")</x:f>
      </x:c>
      <x:c r="L50" s="36" t="str">
        <x:f>IF(AND(L$5&gt;=$G50,L$5&lt;=$H50),"■","")</x:f>
      </x:c>
      <x:c r="M50" s="36" t="str">
        <x:f>IF(AND(M$5&gt;=$G50,M$5&lt;=$H50),"■","")</x:f>
      </x:c>
      <x:c r="N50" s="36" t="str">
        <x:f>IF(AND(N$5&gt;=$G50,N$5&lt;=$H50),"■","")</x:f>
      </x:c>
      <x:c r="O50" s="36" t="str">
        <x:f>IF(AND(O$5&gt;=$G50,O$5&lt;=$H50),"■","")</x:f>
      </x:c>
      <x:c r="P50" s="36" t="str">
        <x:f>IF(AND(P$5&gt;=$G50,P$5&lt;=$H50),"■","")</x:f>
      </x:c>
      <x:c r="Q50" s="36" t="str">
        <x:f>IF(AND(Q$5&gt;=$G50,Q$5&lt;=$H50),"■","")</x:f>
      </x:c>
      <x:c r="R50" s="36" t="str">
        <x:f>IF(AND(R$5&gt;=$G50,R$5&lt;=$H50),"■","")</x:f>
      </x:c>
      <x:c r="S50" s="36" t="str">
        <x:f>IF(AND(S$5&gt;=$G50,S$5&lt;=$H50),"■","")</x:f>
      </x:c>
      <x:c r="T50" s="36" t="str">
        <x:f>IF(AND(T$5&gt;=$G50,T$5&lt;=$H50),"■","")</x:f>
      </x:c>
      <x:c r="U50" s="36" t="str">
        <x:f>IF(AND(U$5&gt;=$G50,U$5&lt;=$H50),"■","")</x:f>
      </x:c>
      <x:c r="V50" s="36" t="str">
        <x:f>IF(AND(V$5&gt;=$G50,V$5&lt;=$H50),"■","")</x:f>
      </x:c>
      <x:c r="W50" s="36" t="str">
        <x:f>IF(AND(W$5&gt;=$G50,W$5&lt;=$H50),"■","")</x:f>
      </x:c>
      <x:c r="X50" s="36" t="str">
        <x:f>IF(AND(X$5&gt;=$G50,X$5&lt;=$H50),"■","")</x:f>
      </x:c>
      <x:c r="Y50" s="36" t="str">
        <x:f>IF(AND(Y$5&gt;=$G50,Y$5&lt;=$H50),"■","")</x:f>
        <x:v>■</x:v>
      </x:c>
      <x:c r="Z50" s="36" t="str">
        <x:f>IF(AND(Z$5&gt;=$G50,Z$5&lt;=$H50),"■","")</x:f>
        <x:v>■</x:v>
      </x:c>
      <x:c r="AA50" s="36" t="str">
        <x:f>IF(AND(AA$5&gt;=$G50,AA$5&lt;=$H50),"■","")</x:f>
      </x:c>
      <x:c r="AB50" s="36" t="str">
        <x:f>IF(AND(AB$5&gt;=$G50,AB$5&lt;=$H50),"■","")</x:f>
      </x:c>
      <x:c r="AC50" s="36" t="str">
        <x:f>IF(AND(AC$5&gt;=$G50,AC$5&lt;=$H50),"■","")</x:f>
      </x:c>
      <x:c r="AD50" s="36" t="str">
        <x:f>IF(AND(AD$5&gt;=$G50,AD$5&lt;=$H50),"■","")</x:f>
      </x:c>
      <x:c r="AE50" s="36" t="str">
        <x:f>IF(AND(AE$5&gt;=$G50,AE$5&lt;=$H50),"■","")</x:f>
      </x:c>
      <x:c r="AF50" s="36" t="str">
        <x:f>IF(AND(AF$5&gt;=$G50,AF$5&lt;=$H50),"■","")</x:f>
      </x:c>
      <x:c r="AG50" s="36" t="str">
        <x:f>IF(AND(AG$5&gt;=$G50,AG$5&lt;=$H50),"■","")</x:f>
      </x:c>
      <x:c r="AH50" s="36" t="str">
        <x:f>IF(AND(AH$5&gt;=$G50,AH$5&lt;=$H50),"■","")</x:f>
      </x:c>
      <x:c r="AI50" s="36" t="str">
        <x:f>IF(AND(AI$5&gt;=$G50,AI$5&lt;=$H50),"■","")</x:f>
      </x:c>
      <x:c r="AJ50" s="36" t="str">
        <x:f>IF(AND(AJ$5&gt;=$G50,AJ$5&lt;=$H50),"■","")</x:f>
      </x:c>
      <x:c r="AK50" s="36" t="str">
        <x:f>IF(AND(AK$5&gt;=$G50,AK$5&lt;=$H50),"■","")</x:f>
      </x:c>
      <x:c r="AL50" s="36" t="str">
        <x:f>IF(AND(AL$5&gt;=$G50,AL$5&lt;=$H50),"■","")</x:f>
      </x:c>
      <x:c r="AM50" s="36" t="str">
        <x:f>IF(AND(AM$5&gt;=$G50,AM$5&lt;=$H50),"■","")</x:f>
      </x:c>
      <x:c r="AN50" s="36" t="str">
        <x:f>IF(AND(AN$5&gt;=$G50,AN$5&lt;=$H50),"■","")</x:f>
      </x:c>
      <x:c r="AO50" s="36" t="str">
        <x:f>IF(AND(AO$5&gt;=$G50,AO$5&lt;=$H50),"■","")</x:f>
      </x:c>
      <x:c r="AP50" s="36" t="str">
        <x:f>IF(AND(AP$5&gt;=$G50,AP$5&lt;=$H50),"■","")</x:f>
      </x:c>
      <x:c r="AQ50" s="36" t="str">
        <x:f>IF(AND(AQ$5&gt;=$G50,AQ$5&lt;=$H50),"■","")</x:f>
      </x:c>
      <x:c r="AR50" s="36" t="str">
        <x:f>IF(AND(AR$5&gt;=$G50,AR$5&lt;=$H50),"■","")</x:f>
      </x:c>
      <x:c r="AS50" s="36" t="str">
        <x:f>IF(AND(AS$5&gt;=$G50,AS$5&lt;=$H50),"■","")</x:f>
      </x:c>
      <x:c r="AT50" s="36" t="str">
        <x:f>IF(AND(AT$5&gt;=$G50,AT$5&lt;=$H50),"■","")</x:f>
      </x:c>
      <x:c r="AU50" s="36" t="str">
        <x:f>IF(AND(AU$5&gt;=$G50,AU$5&lt;=$H50),"■","")</x:f>
      </x:c>
      <x:c r="AV50" s="36" t="str">
        <x:f>IF(AND(AV$5&gt;=$G50,AV$5&lt;=$H50),"■","")</x:f>
      </x:c>
    </x:row>
    <x:row r="51" ht="31" customHeight="1">
      <x:c r="A51" s="37" t="str">
        <x:v>Agent·화면·리포트</x:v>
      </x:c>
      <x:c r="B51" s="37" t="str">
        <x:v>6.10</x:v>
      </x:c>
      <x:c r="C51" s="38" t="str">
        <x:v>규칙 기반 후속 질문·드릴다운 UX 재검토</x:v>
      </x:c>
      <x:c r="D51" s="38" t="str">
        <x:v>추천 질문 UX(보류·승인 후 후보)</x:v>
      </x:c>
      <x:c r="E51" s="37" t="str">
        <x:v>박준희·송민지</x:v>
      </x:c>
      <x:c r="F51" s="37" t="str">
        <x:v>대기</x:v>
      </x:c>
      <x:c r="G51" s="39" t="n">
        <x:v>46254.5</x:v>
      </x:c>
      <x:c r="H51" s="39" t="n">
        <x:v>46254.5</x:v>
      </x:c>
      <x:c r="I51" s="39"/>
      <x:c r="J51" s="40" t="n">
        <x:f>IF(F51="완료",100%,IF(F51="검토",90%,IF(F51="진행",60%,IF(F51="진행중",60%,IF(F51="차단",25%,0%)))))</x:f>
        <x:v>0</x:v>
      </x:c>
      <x:c r="K51" s="36" t="str">
        <x:f>IF(AND(K$5&gt;=$G51,K$5&lt;=$H51),"■","")</x:f>
      </x:c>
      <x:c r="L51" s="36" t="str">
        <x:f>IF(AND(L$5&gt;=$G51,L$5&lt;=$H51),"■","")</x:f>
      </x:c>
      <x:c r="M51" s="36" t="str">
        <x:f>IF(AND(M$5&gt;=$G51,M$5&lt;=$H51),"■","")</x:f>
      </x:c>
      <x:c r="N51" s="36" t="str">
        <x:f>IF(AND(N$5&gt;=$G51,N$5&lt;=$H51),"■","")</x:f>
      </x:c>
      <x:c r="O51" s="36" t="str">
        <x:f>IF(AND(O$5&gt;=$G51,O$5&lt;=$H51),"■","")</x:f>
      </x:c>
      <x:c r="P51" s="36" t="str">
        <x:f>IF(AND(P$5&gt;=$G51,P$5&lt;=$H51),"■","")</x:f>
      </x:c>
      <x:c r="Q51" s="36" t="str">
        <x:f>IF(AND(Q$5&gt;=$G51,Q$5&lt;=$H51),"■","")</x:f>
      </x:c>
      <x:c r="R51" s="36" t="str">
        <x:f>IF(AND(R$5&gt;=$G51,R$5&lt;=$H51),"■","")</x:f>
      </x:c>
      <x:c r="S51" s="36" t="str">
        <x:f>IF(AND(S$5&gt;=$G51,S$5&lt;=$H51),"■","")</x:f>
      </x:c>
      <x:c r="T51" s="36" t="str">
        <x:f>IF(AND(T$5&gt;=$G51,T$5&lt;=$H51),"■","")</x:f>
      </x:c>
      <x:c r="U51" s="36" t="str">
        <x:f>IF(AND(U$5&gt;=$G51,U$5&lt;=$H51),"■","")</x:f>
      </x:c>
      <x:c r="V51" s="36" t="str">
        <x:f>IF(AND(V$5&gt;=$G51,V$5&lt;=$H51),"■","")</x:f>
      </x:c>
      <x:c r="W51" s="36" t="str">
        <x:f>IF(AND(W$5&gt;=$G51,W$5&lt;=$H51),"■","")</x:f>
      </x:c>
      <x:c r="X51" s="36" t="str">
        <x:f>IF(AND(X$5&gt;=$G51,X$5&lt;=$H51),"■","")</x:f>
      </x:c>
      <x:c r="Y51" s="36" t="str">
        <x:f>IF(AND(Y$5&gt;=$G51,Y$5&lt;=$H51),"■","")</x:f>
      </x:c>
      <x:c r="Z51" s="36" t="str">
        <x:f>IF(AND(Z$5&gt;=$G51,Z$5&lt;=$H51),"■","")</x:f>
      </x:c>
      <x:c r="AA51" s="36" t="str">
        <x:f>IF(AND(AA$5&gt;=$G51,AA$5&lt;=$H51),"■","")</x:f>
      </x:c>
      <x:c r="AB51" s="36" t="str">
        <x:f>IF(AND(AB$5&gt;=$G51,AB$5&lt;=$H51),"■","")</x:f>
      </x:c>
      <x:c r="AC51" s="36" t="str">
        <x:f>IF(AND(AC$5&gt;=$G51,AC$5&lt;=$H51),"■","")</x:f>
      </x:c>
      <x:c r="AD51" s="36" t="str">
        <x:f>IF(AND(AD$5&gt;=$G51,AD$5&lt;=$H51),"■","")</x:f>
      </x:c>
      <x:c r="AE51" s="36" t="str">
        <x:f>IF(AND(AE$5&gt;=$G51,AE$5&lt;=$H51),"■","")</x:f>
      </x:c>
      <x:c r="AF51" s="36" t="str">
        <x:f>IF(AND(AF$5&gt;=$G51,AF$5&lt;=$H51),"■","")</x:f>
      </x:c>
      <x:c r="AG51" s="36" t="str">
        <x:f>IF(AND(AG$5&gt;=$G51,AG$5&lt;=$H51),"■","")</x:f>
      </x:c>
      <x:c r="AH51" s="36" t="str">
        <x:f>IF(AND(AH$5&gt;=$G51,AH$5&lt;=$H51),"■","")</x:f>
      </x:c>
      <x:c r="AI51" s="36" t="str">
        <x:f>IF(AND(AI$5&gt;=$G51,AI$5&lt;=$H51),"■","")</x:f>
      </x:c>
      <x:c r="AJ51" s="36" t="str">
        <x:f>IF(AND(AJ$5&gt;=$G51,AJ$5&lt;=$H51),"■","")</x:f>
      </x:c>
      <x:c r="AK51" s="36" t="str">
        <x:f>IF(AND(AK$5&gt;=$G51,AK$5&lt;=$H51),"■","")</x:f>
      </x:c>
      <x:c r="AL51" s="36" t="str">
        <x:f>IF(AND(AL$5&gt;=$G51,AL$5&lt;=$H51),"■","")</x:f>
        <x:v>■</x:v>
      </x:c>
      <x:c r="AM51" s="36" t="str">
        <x:f>IF(AND(AM$5&gt;=$G51,AM$5&lt;=$H51),"■","")</x:f>
      </x:c>
      <x:c r="AN51" s="36" t="str">
        <x:f>IF(AND(AN$5&gt;=$G51,AN$5&lt;=$H51),"■","")</x:f>
      </x:c>
      <x:c r="AO51" s="36" t="str">
        <x:f>IF(AND(AO$5&gt;=$G51,AO$5&lt;=$H51),"■","")</x:f>
      </x:c>
      <x:c r="AP51" s="36" t="str">
        <x:f>IF(AND(AP$5&gt;=$G51,AP$5&lt;=$H51),"■","")</x:f>
      </x:c>
      <x:c r="AQ51" s="36" t="str">
        <x:f>IF(AND(AQ$5&gt;=$G51,AQ$5&lt;=$H51),"■","")</x:f>
      </x:c>
      <x:c r="AR51" s="36" t="str">
        <x:f>IF(AND(AR$5&gt;=$G51,AR$5&lt;=$H51),"■","")</x:f>
      </x:c>
      <x:c r="AS51" s="36" t="str">
        <x:f>IF(AND(AS$5&gt;=$G51,AS$5&lt;=$H51),"■","")</x:f>
      </x:c>
      <x:c r="AT51" s="36" t="str">
        <x:f>IF(AND(AT$5&gt;=$G51,AT$5&lt;=$H51),"■","")</x:f>
      </x:c>
      <x:c r="AU51" s="36" t="str">
        <x:f>IF(AND(AU$5&gt;=$G51,AU$5&lt;=$H51),"■","")</x:f>
      </x:c>
      <x:c r="AV51" s="36" t="str">
        <x:f>IF(AND(AV$5&gt;=$G51,AV$5&lt;=$H51),"■","")</x:f>
      </x:c>
    </x:row>
    <x:row r="52" ht="31" customHeight="1">
      <x:c r="A52" s="37" t="str">
        <x:v>Agent·화면·리포트</x:v>
      </x:c>
      <x:c r="B52" s="37" t="str">
        <x:v>6.11</x:v>
      </x:c>
      <x:c r="C52" s="38" t="str">
        <x:v>Baseline build freeze·secret/권한/SQL/timeout 점검·smoke와 결함 분류</x:v>
      </x:c>
      <x:c r="D52" s="38" t="str">
        <x:v>안전 검증 evidence</x:v>
      </x:c>
      <x:c r="E52" s="37" t="str">
        <x:v>박준희·김재홍</x:v>
      </x:c>
      <x:c r="F52" s="37" t="str">
        <x:v>대기</x:v>
      </x:c>
      <x:c r="G52" s="39" t="n">
        <x:v>46246.5</x:v>
      </x:c>
      <x:c r="H52" s="39" t="n">
        <x:v>46246.5</x:v>
      </x:c>
      <x:c r="I52" s="39"/>
      <x:c r="J52" s="40" t="n">
        <x:f>IF(F52="완료",100%,IF(F52="검토",90%,IF(F52="진행",60%,IF(F52="진행중",60%,IF(F52="차단",25%,0%)))))</x:f>
        <x:v>0</x:v>
      </x:c>
      <x:c r="K52" s="36" t="str">
        <x:f>IF(AND(K$5&gt;=$G52,K$5&lt;=$H52),"■","")</x:f>
      </x:c>
      <x:c r="L52" s="36" t="str">
        <x:f>IF(AND(L$5&gt;=$G52,L$5&lt;=$H52),"■","")</x:f>
      </x:c>
      <x:c r="M52" s="36" t="str">
        <x:f>IF(AND(M$5&gt;=$G52,M$5&lt;=$H52),"■","")</x:f>
      </x:c>
      <x:c r="N52" s="36" t="str">
        <x:f>IF(AND(N$5&gt;=$G52,N$5&lt;=$H52),"■","")</x:f>
      </x:c>
      <x:c r="O52" s="36" t="str">
        <x:f>IF(AND(O$5&gt;=$G52,O$5&lt;=$H52),"■","")</x:f>
      </x:c>
      <x:c r="P52" s="36" t="str">
        <x:f>IF(AND(P$5&gt;=$G52,P$5&lt;=$H52),"■","")</x:f>
      </x:c>
      <x:c r="Q52" s="36" t="str">
        <x:f>IF(AND(Q$5&gt;=$G52,Q$5&lt;=$H52),"■","")</x:f>
      </x:c>
      <x:c r="R52" s="36" t="str">
        <x:f>IF(AND(R$5&gt;=$G52,R$5&lt;=$H52),"■","")</x:f>
      </x:c>
      <x:c r="S52" s="36" t="str">
        <x:f>IF(AND(S$5&gt;=$G52,S$5&lt;=$H52),"■","")</x:f>
      </x:c>
      <x:c r="T52" s="36" t="str">
        <x:f>IF(AND(T$5&gt;=$G52,T$5&lt;=$H52),"■","")</x:f>
      </x:c>
      <x:c r="U52" s="36" t="str">
        <x:f>IF(AND(U$5&gt;=$G52,U$5&lt;=$H52),"■","")</x:f>
      </x:c>
      <x:c r="V52" s="36" t="str">
        <x:f>IF(AND(V$5&gt;=$G52,V$5&lt;=$H52),"■","")</x:f>
      </x:c>
      <x:c r="W52" s="36" t="str">
        <x:f>IF(AND(W$5&gt;=$G52,W$5&lt;=$H52),"■","")</x:f>
      </x:c>
      <x:c r="X52" s="36" t="str">
        <x:f>IF(AND(X$5&gt;=$G52,X$5&lt;=$H52),"■","")</x:f>
      </x:c>
      <x:c r="Y52" s="36" t="str">
        <x:f>IF(AND(Y$5&gt;=$G52,Y$5&lt;=$H52),"■","")</x:f>
      </x:c>
      <x:c r="Z52" s="36" t="str">
        <x:f>IF(AND(Z$5&gt;=$G52,Z$5&lt;=$H52),"■","")</x:f>
      </x:c>
      <x:c r="AA52" s="36" t="str">
        <x:f>IF(AND(AA$5&gt;=$G52,AA$5&lt;=$H52),"■","")</x:f>
      </x:c>
      <x:c r="AB52" s="36" t="str">
        <x:f>IF(AND(AB$5&gt;=$G52,AB$5&lt;=$H52),"■","")</x:f>
      </x:c>
      <x:c r="AC52" s="36" t="str">
        <x:f>IF(AND(AC$5&gt;=$G52,AC$5&lt;=$H52),"■","")</x:f>
      </x:c>
      <x:c r="AD52" s="36" t="str">
        <x:f>IF(AND(AD$5&gt;=$G52,AD$5&lt;=$H52),"■","")</x:f>
      </x:c>
      <x:c r="AE52" s="36" t="str">
        <x:f>IF(AND(AE$5&gt;=$G52,AE$5&lt;=$H52),"■","")</x:f>
      </x:c>
      <x:c r="AF52" s="36" t="str">
        <x:f>IF(AND(AF$5&gt;=$G52,AF$5&lt;=$H52),"■","")</x:f>
      </x:c>
      <x:c r="AG52" s="36" t="str">
        <x:f>IF(AND(AG$5&gt;=$G52,AG$5&lt;=$H52),"■","")</x:f>
        <x:v>■</x:v>
      </x:c>
      <x:c r="AH52" s="36" t="str">
        <x:f>IF(AND(AH$5&gt;=$G52,AH$5&lt;=$H52),"■","")</x:f>
      </x:c>
      <x:c r="AI52" s="36" t="str">
        <x:f>IF(AND(AI$5&gt;=$G52,AI$5&lt;=$H52),"■","")</x:f>
      </x:c>
      <x:c r="AJ52" s="36" t="str">
        <x:f>IF(AND(AJ$5&gt;=$G52,AJ$5&lt;=$H52),"■","")</x:f>
      </x:c>
      <x:c r="AK52" s="36" t="str">
        <x:f>IF(AND(AK$5&gt;=$G52,AK$5&lt;=$H52),"■","")</x:f>
      </x:c>
      <x:c r="AL52" s="36" t="str">
        <x:f>IF(AND(AL$5&gt;=$G52,AL$5&lt;=$H52),"■","")</x:f>
      </x:c>
      <x:c r="AM52" s="36" t="str">
        <x:f>IF(AND(AM$5&gt;=$G52,AM$5&lt;=$H52),"■","")</x:f>
      </x:c>
      <x:c r="AN52" s="36" t="str">
        <x:f>IF(AND(AN$5&gt;=$G52,AN$5&lt;=$H52),"■","")</x:f>
      </x:c>
      <x:c r="AO52" s="36" t="str">
        <x:f>IF(AND(AO$5&gt;=$G52,AO$5&lt;=$H52),"■","")</x:f>
      </x:c>
      <x:c r="AP52" s="36" t="str">
        <x:f>IF(AND(AP$5&gt;=$G52,AP$5&lt;=$H52),"■","")</x:f>
      </x:c>
      <x:c r="AQ52" s="36" t="str">
        <x:f>IF(AND(AQ$5&gt;=$G52,AQ$5&lt;=$H52),"■","")</x:f>
      </x:c>
      <x:c r="AR52" s="36" t="str">
        <x:f>IF(AND(AR$5&gt;=$G52,AR$5&lt;=$H52),"■","")</x:f>
      </x:c>
      <x:c r="AS52" s="36" t="str">
        <x:f>IF(AND(AS$5&gt;=$G52,AS$5&lt;=$H52),"■","")</x:f>
      </x:c>
      <x:c r="AT52" s="36" t="str">
        <x:f>IF(AND(AT$5&gt;=$G52,AT$5&lt;=$H52),"■","")</x:f>
      </x:c>
      <x:c r="AU52" s="36" t="str">
        <x:f>IF(AND(AU$5&gt;=$G52,AU$5&lt;=$H52),"■","")</x:f>
      </x:c>
      <x:c r="AV52" s="36" t="str">
        <x:f>IF(AND(AV$5&gt;=$G52,AV$5&lt;=$H52),"■","")</x:f>
      </x:c>
    </x:row>
    <x:row r="53" ht="31" customHeight="1">
      <x:c r="A53" s="37" t="str">
        <x:v>Agent·화면·리포트</x:v>
      </x:c>
      <x:c r="B53" s="37" t="str">
        <x:v>6.12</x:v>
      </x:c>
      <x:c r="C53" s="38" t="str">
        <x:v>결정론적 SQL builder·read-only Guard·실행·job 연결</x:v>
      </x:c>
      <x:c r="D53" s="38" t="str">
        <x:v>SQL Guard·실행 모듈</x:v>
      </x:c>
      <x:c r="E53" s="37" t="str">
        <x:v>김재홍</x:v>
      </x:c>
      <x:c r="F53" s="37" t="str">
        <x:v>대기</x:v>
      </x:c>
      <x:c r="G53" s="39" t="n">
        <x:v>46239.5</x:v>
      </x:c>
      <x:c r="H53" s="39" t="n">
        <x:v>46244.5</x:v>
      </x:c>
      <x:c r="I53" s="39"/>
      <x:c r="J53" s="40" t="n">
        <x:f>IF(F53="완료",100%,IF(F53="검토",90%,IF(F53="진행",60%,IF(F53="진행중",60%,IF(F53="차단",25%,0%)))))</x:f>
        <x:v>0</x:v>
      </x:c>
      <x:c r="K53" s="36" t="str">
        <x:f>IF(AND(K$5&gt;=$G53,K$5&lt;=$H53),"■","")</x:f>
      </x:c>
      <x:c r="L53" s="36" t="str">
        <x:f>IF(AND(L$5&gt;=$G53,L$5&lt;=$H53),"■","")</x:f>
      </x:c>
      <x:c r="M53" s="36" t="str">
        <x:f>IF(AND(M$5&gt;=$G53,M$5&lt;=$H53),"■","")</x:f>
      </x:c>
      <x:c r="N53" s="36" t="str">
        <x:f>IF(AND(N$5&gt;=$G53,N$5&lt;=$H53),"■","")</x:f>
      </x:c>
      <x:c r="O53" s="36" t="str">
        <x:f>IF(AND(O$5&gt;=$G53,O$5&lt;=$H53),"■","")</x:f>
      </x:c>
      <x:c r="P53" s="36" t="str">
        <x:f>IF(AND(P$5&gt;=$G53,P$5&lt;=$H53),"■","")</x:f>
      </x:c>
      <x:c r="Q53" s="36" t="str">
        <x:f>IF(AND(Q$5&gt;=$G53,Q$5&lt;=$H53),"■","")</x:f>
      </x:c>
      <x:c r="R53" s="36" t="str">
        <x:f>IF(AND(R$5&gt;=$G53,R$5&lt;=$H53),"■","")</x:f>
      </x:c>
      <x:c r="S53" s="36" t="str">
        <x:f>IF(AND(S$5&gt;=$G53,S$5&lt;=$H53),"■","")</x:f>
      </x:c>
      <x:c r="T53" s="36" t="str">
        <x:f>IF(AND(T$5&gt;=$G53,T$5&lt;=$H53),"■","")</x:f>
      </x:c>
      <x:c r="U53" s="36" t="str">
        <x:f>IF(AND(U$5&gt;=$G53,U$5&lt;=$H53),"■","")</x:f>
      </x:c>
      <x:c r="V53" s="36" t="str">
        <x:f>IF(AND(V$5&gt;=$G53,V$5&lt;=$H53),"■","")</x:f>
      </x:c>
      <x:c r="W53" s="36" t="str">
        <x:f>IF(AND(W$5&gt;=$G53,W$5&lt;=$H53),"■","")</x:f>
      </x:c>
      <x:c r="X53" s="36" t="str">
        <x:f>IF(AND(X$5&gt;=$G53,X$5&lt;=$H53),"■","")</x:f>
      </x:c>
      <x:c r="Y53" s="36" t="str">
        <x:f>IF(AND(Y$5&gt;=$G53,Y$5&lt;=$H53),"■","")</x:f>
      </x:c>
      <x:c r="Z53" s="36" t="str">
        <x:f>IF(AND(Z$5&gt;=$G53,Z$5&lt;=$H53),"■","")</x:f>
      </x:c>
      <x:c r="AA53" s="36" t="str">
        <x:f>IF(AND(AA$5&gt;=$G53,AA$5&lt;=$H53),"■","")</x:f>
      </x:c>
      <x:c r="AB53" s="36" t="str">
        <x:f>IF(AND(AB$5&gt;=$G53,AB$5&lt;=$H53),"■","")</x:f>
        <x:v>■</x:v>
      </x:c>
      <x:c r="AC53" s="36" t="str">
        <x:f>IF(AND(AC$5&gt;=$G53,AC$5&lt;=$H53),"■","")</x:f>
        <x:v>■</x:v>
      </x:c>
      <x:c r="AD53" s="36" t="str">
        <x:f>IF(AND(AD$5&gt;=$G53,AD$5&lt;=$H53),"■","")</x:f>
        <x:v>■</x:v>
      </x:c>
      <x:c r="AE53" s="36" t="str">
        <x:f>IF(AND(AE$5&gt;=$G53,AE$5&lt;=$H53),"■","")</x:f>
        <x:v>■</x:v>
      </x:c>
      <x:c r="AF53" s="36" t="str">
        <x:f>IF(AND(AF$5&gt;=$G53,AF$5&lt;=$H53),"■","")</x:f>
      </x:c>
      <x:c r="AG53" s="36" t="str">
        <x:f>IF(AND(AG$5&gt;=$G53,AG$5&lt;=$H53),"■","")</x:f>
      </x:c>
      <x:c r="AH53" s="36" t="str">
        <x:f>IF(AND(AH$5&gt;=$G53,AH$5&lt;=$H53),"■","")</x:f>
      </x:c>
      <x:c r="AI53" s="36" t="str">
        <x:f>IF(AND(AI$5&gt;=$G53,AI$5&lt;=$H53),"■","")</x:f>
      </x:c>
      <x:c r="AJ53" s="36" t="str">
        <x:f>IF(AND(AJ$5&gt;=$G53,AJ$5&lt;=$H53),"■","")</x:f>
      </x:c>
      <x:c r="AK53" s="36" t="str">
        <x:f>IF(AND(AK$5&gt;=$G53,AK$5&lt;=$H53),"■","")</x:f>
      </x:c>
      <x:c r="AL53" s="36" t="str">
        <x:f>IF(AND(AL$5&gt;=$G53,AL$5&lt;=$H53),"■","")</x:f>
      </x:c>
      <x:c r="AM53" s="36" t="str">
        <x:f>IF(AND(AM$5&gt;=$G53,AM$5&lt;=$H53),"■","")</x:f>
      </x:c>
      <x:c r="AN53" s="36" t="str">
        <x:f>IF(AND(AN$5&gt;=$G53,AN$5&lt;=$H53),"■","")</x:f>
      </x:c>
      <x:c r="AO53" s="36" t="str">
        <x:f>IF(AND(AO$5&gt;=$G53,AO$5&lt;=$H53),"■","")</x:f>
      </x:c>
      <x:c r="AP53" s="36" t="str">
        <x:f>IF(AND(AP$5&gt;=$G53,AP$5&lt;=$H53),"■","")</x:f>
      </x:c>
      <x:c r="AQ53" s="36" t="str">
        <x:f>IF(AND(AQ$5&gt;=$G53,AQ$5&lt;=$H53),"■","")</x:f>
      </x:c>
      <x:c r="AR53" s="36" t="str">
        <x:f>IF(AND(AR$5&gt;=$G53,AR$5&lt;=$H53),"■","")</x:f>
      </x:c>
      <x:c r="AS53" s="36" t="str">
        <x:f>IF(AND(AS$5&gt;=$G53,AS$5&lt;=$H53),"■","")</x:f>
      </x:c>
      <x:c r="AT53" s="36" t="str">
        <x:f>IF(AND(AT$5&gt;=$G53,AT$5&lt;=$H53),"■","")</x:f>
      </x:c>
      <x:c r="AU53" s="36" t="str">
        <x:f>IF(AND(AU$5&gt;=$G53,AU$5&lt;=$H53),"■","")</x:f>
      </x:c>
      <x:c r="AV53" s="36" t="str">
        <x:f>IF(AND(AV$5&gt;=$G53,AV$5&lt;=$H53),"■","")</x:f>
      </x:c>
    </x:row>
    <x:row r="54" ht="31" customHeight="1">
      <x:c r="A54" s="37" t="str">
        <x:v>Agent·화면·리포트</x:v>
      </x:c>
      <x:c r="B54" s="37" t="str">
        <x:v>6.13</x:v>
      </x:c>
      <x:c r="C54" s="38" t="str">
        <x:v>기능 A 결과 유형별 표·차트·단위·기간 표시 연결</x:v>
      </x:c>
      <x:c r="D54" s="38" t="str">
        <x:v>query 결과 UI</x:v>
      </x:c>
      <x:c r="E54" s="37" t="str">
        <x:v>송민지</x:v>
      </x:c>
      <x:c r="F54" s="37" t="str">
        <x:v>대기</x:v>
      </x:c>
      <x:c r="G54" s="39" t="n">
        <x:v>46241.5</x:v>
      </x:c>
      <x:c r="H54" s="39" t="n">
        <x:v>46246.5</x:v>
      </x:c>
      <x:c r="I54" s="39"/>
      <x:c r="J54" s="40" t="n">
        <x:f>IF(F54="완료",100%,IF(F54="검토",90%,IF(F54="진행",60%,IF(F54="진행중",60%,IF(F54="차단",25%,0%)))))</x:f>
        <x:v>0</x:v>
      </x:c>
      <x:c r="K54" s="36" t="str">
        <x:f>IF(AND(K$5&gt;=$G54,K$5&lt;=$H54),"■","")</x:f>
      </x:c>
      <x:c r="L54" s="36" t="str">
        <x:f>IF(AND(L$5&gt;=$G54,L$5&lt;=$H54),"■","")</x:f>
      </x:c>
      <x:c r="M54" s="36" t="str">
        <x:f>IF(AND(M$5&gt;=$G54,M$5&lt;=$H54),"■","")</x:f>
      </x:c>
      <x:c r="N54" s="36" t="str">
        <x:f>IF(AND(N$5&gt;=$G54,N$5&lt;=$H54),"■","")</x:f>
      </x:c>
      <x:c r="O54" s="36" t="str">
        <x:f>IF(AND(O$5&gt;=$G54,O$5&lt;=$H54),"■","")</x:f>
      </x:c>
      <x:c r="P54" s="36" t="str">
        <x:f>IF(AND(P$5&gt;=$G54,P$5&lt;=$H54),"■","")</x:f>
      </x:c>
      <x:c r="Q54" s="36" t="str">
        <x:f>IF(AND(Q$5&gt;=$G54,Q$5&lt;=$H54),"■","")</x:f>
      </x:c>
      <x:c r="R54" s="36" t="str">
        <x:f>IF(AND(R$5&gt;=$G54,R$5&lt;=$H54),"■","")</x:f>
      </x:c>
      <x:c r="S54" s="36" t="str">
        <x:f>IF(AND(S$5&gt;=$G54,S$5&lt;=$H54),"■","")</x:f>
      </x:c>
      <x:c r="T54" s="36" t="str">
        <x:f>IF(AND(T$5&gt;=$G54,T$5&lt;=$H54),"■","")</x:f>
      </x:c>
      <x:c r="U54" s="36" t="str">
        <x:f>IF(AND(U$5&gt;=$G54,U$5&lt;=$H54),"■","")</x:f>
      </x:c>
      <x:c r="V54" s="36" t="str">
        <x:f>IF(AND(V$5&gt;=$G54,V$5&lt;=$H54),"■","")</x:f>
      </x:c>
      <x:c r="W54" s="36" t="str">
        <x:f>IF(AND(W$5&gt;=$G54,W$5&lt;=$H54),"■","")</x:f>
      </x:c>
      <x:c r="X54" s="36" t="str">
        <x:f>IF(AND(X$5&gt;=$G54,X$5&lt;=$H54),"■","")</x:f>
      </x:c>
      <x:c r="Y54" s="36" t="str">
        <x:f>IF(AND(Y$5&gt;=$G54,Y$5&lt;=$H54),"■","")</x:f>
      </x:c>
      <x:c r="Z54" s="36" t="str">
        <x:f>IF(AND(Z$5&gt;=$G54,Z$5&lt;=$H54),"■","")</x:f>
      </x:c>
      <x:c r="AA54" s="36" t="str">
        <x:f>IF(AND(AA$5&gt;=$G54,AA$5&lt;=$H54),"■","")</x:f>
      </x:c>
      <x:c r="AB54" s="36" t="str">
        <x:f>IF(AND(AB$5&gt;=$G54,AB$5&lt;=$H54),"■","")</x:f>
      </x:c>
      <x:c r="AC54" s="36" t="str">
        <x:f>IF(AND(AC$5&gt;=$G54,AC$5&lt;=$H54),"■","")</x:f>
      </x:c>
      <x:c r="AD54" s="36" t="str">
        <x:f>IF(AND(AD$5&gt;=$G54,AD$5&lt;=$H54),"■","")</x:f>
        <x:v>■</x:v>
      </x:c>
      <x:c r="AE54" s="36" t="str">
        <x:f>IF(AND(AE$5&gt;=$G54,AE$5&lt;=$H54),"■","")</x:f>
        <x:v>■</x:v>
      </x:c>
      <x:c r="AF54" s="36" t="str">
        <x:f>IF(AND(AF$5&gt;=$G54,AF$5&lt;=$H54),"■","")</x:f>
        <x:v>■</x:v>
      </x:c>
      <x:c r="AG54" s="36" t="str">
        <x:f>IF(AND(AG$5&gt;=$G54,AG$5&lt;=$H54),"■","")</x:f>
        <x:v>■</x:v>
      </x:c>
      <x:c r="AH54" s="36" t="str">
        <x:f>IF(AND(AH$5&gt;=$G54,AH$5&lt;=$H54),"■","")</x:f>
      </x:c>
      <x:c r="AI54" s="36" t="str">
        <x:f>IF(AND(AI$5&gt;=$G54,AI$5&lt;=$H54),"■","")</x:f>
      </x:c>
      <x:c r="AJ54" s="36" t="str">
        <x:f>IF(AND(AJ$5&gt;=$G54,AJ$5&lt;=$H54),"■","")</x:f>
      </x:c>
      <x:c r="AK54" s="36" t="str">
        <x:f>IF(AND(AK$5&gt;=$G54,AK$5&lt;=$H54),"■","")</x:f>
      </x:c>
      <x:c r="AL54" s="36" t="str">
        <x:f>IF(AND(AL$5&gt;=$G54,AL$5&lt;=$H54),"■","")</x:f>
      </x:c>
      <x:c r="AM54" s="36" t="str">
        <x:f>IF(AND(AM$5&gt;=$G54,AM$5&lt;=$H54),"■","")</x:f>
      </x:c>
      <x:c r="AN54" s="36" t="str">
        <x:f>IF(AND(AN$5&gt;=$G54,AN$5&lt;=$H54),"■","")</x:f>
      </x:c>
      <x:c r="AO54" s="36" t="str">
        <x:f>IF(AND(AO$5&gt;=$G54,AO$5&lt;=$H54),"■","")</x:f>
      </x:c>
      <x:c r="AP54" s="36" t="str">
        <x:f>IF(AND(AP$5&gt;=$G54,AP$5&lt;=$H54),"■","")</x:f>
      </x:c>
      <x:c r="AQ54" s="36" t="str">
        <x:f>IF(AND(AQ$5&gt;=$G54,AQ$5&lt;=$H54),"■","")</x:f>
      </x:c>
      <x:c r="AR54" s="36" t="str">
        <x:f>IF(AND(AR$5&gt;=$G54,AR$5&lt;=$H54),"■","")</x:f>
      </x:c>
      <x:c r="AS54" s="36" t="str">
        <x:f>IF(AND(AS$5&gt;=$G54,AS$5&lt;=$H54),"■","")</x:f>
      </x:c>
      <x:c r="AT54" s="36" t="str">
        <x:f>IF(AND(AT$5&gt;=$G54,AT$5&lt;=$H54),"■","")</x:f>
      </x:c>
      <x:c r="AU54" s="36" t="str">
        <x:f>IF(AND(AU$5&gt;=$G54,AU$5&lt;=$H54),"■","")</x:f>
      </x:c>
      <x:c r="AV54" s="36" t="str">
        <x:f>IF(AND(AV$5&gt;=$G54,AV$5&lt;=$H54),"■","")</x:f>
      </x:c>
    </x:row>
    <x:row r="55" ht="31" customHeight="1">
      <x:c r="A55" s="37" t="str">
        <x:v>Agent·화면·리포트</x:v>
      </x:c>
      <x:c r="B55" s="37" t="str">
        <x:v>6.14</x:v>
      </x:c>
      <x:c r="C55" s="38" t="str">
        <x:v>FastAPI 서비스 골격·내부 API 스텁</x:v>
      </x:c>
      <x:c r="D55" s="38" t="str">
        <x:v>내부 서비스 골격</x:v>
      </x:c>
      <x:c r="E55" s="37" t="str">
        <x:v>김재홍·윤대성</x:v>
      </x:c>
      <x:c r="F55" s="37" t="str">
        <x:v>대기</x:v>
      </x:c>
      <x:c r="G55" s="39" t="n">
        <x:v>46237.5</x:v>
      </x:c>
      <x:c r="H55" s="39" t="n">
        <x:v>46241.5</x:v>
      </x:c>
      <x:c r="I55" s="39"/>
      <x:c r="J55" s="40" t="n">
        <x:f>IF(F55="완료",100%,IF(F55="검토",90%,IF(F55="진행",60%,IF(F55="진행중",60%,IF(F55="차단",25%,0%)))))</x:f>
        <x:v>0</x:v>
      </x:c>
      <x:c r="K55" s="36" t="str">
        <x:f>IF(AND(K$5&gt;=$G55,K$5&lt;=$H55),"■","")</x:f>
      </x:c>
      <x:c r="L55" s="36" t="str">
        <x:f>IF(AND(L$5&gt;=$G55,L$5&lt;=$H55),"■","")</x:f>
      </x:c>
      <x:c r="M55" s="36" t="str">
        <x:f>IF(AND(M$5&gt;=$G55,M$5&lt;=$H55),"■","")</x:f>
      </x:c>
      <x:c r="N55" s="36" t="str">
        <x:f>IF(AND(N$5&gt;=$G55,N$5&lt;=$H55),"■","")</x:f>
      </x:c>
      <x:c r="O55" s="36" t="str">
        <x:f>IF(AND(O$5&gt;=$G55,O$5&lt;=$H55),"■","")</x:f>
      </x:c>
      <x:c r="P55" s="36" t="str">
        <x:f>IF(AND(P$5&gt;=$G55,P$5&lt;=$H55),"■","")</x:f>
      </x:c>
      <x:c r="Q55" s="36" t="str">
        <x:f>IF(AND(Q$5&gt;=$G55,Q$5&lt;=$H55),"■","")</x:f>
      </x:c>
      <x:c r="R55" s="36" t="str">
        <x:f>IF(AND(R$5&gt;=$G55,R$5&lt;=$H55),"■","")</x:f>
      </x:c>
      <x:c r="S55" s="36" t="str">
        <x:f>IF(AND(S$5&gt;=$G55,S$5&lt;=$H55),"■","")</x:f>
      </x:c>
      <x:c r="T55" s="36" t="str">
        <x:f>IF(AND(T$5&gt;=$G55,T$5&lt;=$H55),"■","")</x:f>
      </x:c>
      <x:c r="U55" s="36" t="str">
        <x:f>IF(AND(U$5&gt;=$G55,U$5&lt;=$H55),"■","")</x:f>
      </x:c>
      <x:c r="V55" s="36" t="str">
        <x:f>IF(AND(V$5&gt;=$G55,V$5&lt;=$H55),"■","")</x:f>
      </x:c>
      <x:c r="W55" s="36" t="str">
        <x:f>IF(AND(W$5&gt;=$G55,W$5&lt;=$H55),"■","")</x:f>
      </x:c>
      <x:c r="X55" s="36" t="str">
        <x:f>IF(AND(X$5&gt;=$G55,X$5&lt;=$H55),"■","")</x:f>
      </x:c>
      <x:c r="Y55" s="36" t="str">
        <x:f>IF(AND(Y$5&gt;=$G55,Y$5&lt;=$H55),"■","")</x:f>
      </x:c>
      <x:c r="Z55" s="36" t="str">
        <x:f>IF(AND(Z$5&gt;=$G55,Z$5&lt;=$H55),"■","")</x:f>
        <x:v>■</x:v>
      </x:c>
      <x:c r="AA55" s="36" t="str">
        <x:f>IF(AND(AA$5&gt;=$G55,AA$5&lt;=$H55),"■","")</x:f>
        <x:v>■</x:v>
      </x:c>
      <x:c r="AB55" s="36" t="str">
        <x:f>IF(AND(AB$5&gt;=$G55,AB$5&lt;=$H55),"■","")</x:f>
        <x:v>■</x:v>
      </x:c>
      <x:c r="AC55" s="36" t="str">
        <x:f>IF(AND(AC$5&gt;=$G55,AC$5&lt;=$H55),"■","")</x:f>
        <x:v>■</x:v>
      </x:c>
      <x:c r="AD55" s="36" t="str">
        <x:f>IF(AND(AD$5&gt;=$G55,AD$5&lt;=$H55),"■","")</x:f>
        <x:v>■</x:v>
      </x:c>
      <x:c r="AE55" s="36" t="str">
        <x:f>IF(AND(AE$5&gt;=$G55,AE$5&lt;=$H55),"■","")</x:f>
      </x:c>
      <x:c r="AF55" s="36" t="str">
        <x:f>IF(AND(AF$5&gt;=$G55,AF$5&lt;=$H55),"■","")</x:f>
      </x:c>
      <x:c r="AG55" s="36" t="str">
        <x:f>IF(AND(AG$5&gt;=$G55,AG$5&lt;=$H55),"■","")</x:f>
      </x:c>
      <x:c r="AH55" s="36" t="str">
        <x:f>IF(AND(AH$5&gt;=$G55,AH$5&lt;=$H55),"■","")</x:f>
      </x:c>
      <x:c r="AI55" s="36" t="str">
        <x:f>IF(AND(AI$5&gt;=$G55,AI$5&lt;=$H55),"■","")</x:f>
      </x:c>
      <x:c r="AJ55" s="36" t="str">
        <x:f>IF(AND(AJ$5&gt;=$G55,AJ$5&lt;=$H55),"■","")</x:f>
      </x:c>
      <x:c r="AK55" s="36" t="str">
        <x:f>IF(AND(AK$5&gt;=$G55,AK$5&lt;=$H55),"■","")</x:f>
      </x:c>
      <x:c r="AL55" s="36" t="str">
        <x:f>IF(AND(AL$5&gt;=$G55,AL$5&lt;=$H55),"■","")</x:f>
      </x:c>
      <x:c r="AM55" s="36" t="str">
        <x:f>IF(AND(AM$5&gt;=$G55,AM$5&lt;=$H55),"■","")</x:f>
      </x:c>
      <x:c r="AN55" s="36" t="str">
        <x:f>IF(AND(AN$5&gt;=$G55,AN$5&lt;=$H55),"■","")</x:f>
      </x:c>
      <x:c r="AO55" s="36" t="str">
        <x:f>IF(AND(AO$5&gt;=$G55,AO$5&lt;=$H55),"■","")</x:f>
      </x:c>
      <x:c r="AP55" s="36" t="str">
        <x:f>IF(AND(AP$5&gt;=$G55,AP$5&lt;=$H55),"■","")</x:f>
      </x:c>
      <x:c r="AQ55" s="36" t="str">
        <x:f>IF(AND(AQ$5&gt;=$G55,AQ$5&lt;=$H55),"■","")</x:f>
      </x:c>
      <x:c r="AR55" s="36" t="str">
        <x:f>IF(AND(AR$5&gt;=$G55,AR$5&lt;=$H55),"■","")</x:f>
      </x:c>
      <x:c r="AS55" s="36" t="str">
        <x:f>IF(AND(AS$5&gt;=$G55,AS$5&lt;=$H55),"■","")</x:f>
      </x:c>
      <x:c r="AT55" s="36" t="str">
        <x:f>IF(AND(AT$5&gt;=$G55,AT$5&lt;=$H55),"■","")</x:f>
      </x:c>
      <x:c r="AU55" s="36" t="str">
        <x:f>IF(AND(AU$5&gt;=$G55,AU$5&lt;=$H55),"■","")</x:f>
      </x:c>
      <x:c r="AV55" s="36" t="str">
        <x:f>IF(AND(AV$5&gt;=$G55,AV$5&lt;=$H55),"■","")</x:f>
      </x:c>
    </x:row>
    <x:row r="56" ht="31" customHeight="1">
      <x:c r="A56" s="37" t="str">
        <x:v>통합·테스트</x:v>
      </x:c>
      <x:c r="B56" s="37" t="str">
        <x:v>7.1</x:v>
      </x:c>
      <x:c r="C56" s="38" t="str">
        <x:v>기능 A/B 반례 세트 v2 21건·intent 역할 matrix·복수 seed Baseline Gate</x:v>
      </x:c>
      <x:c r="D56" s="38" t="str">
        <x:v>Gate 판정·통합 evidence</x:v>
      </x:c>
      <x:c r="E56" s="37" t="str">
        <x:v>전원</x:v>
      </x:c>
      <x:c r="F56" s="37" t="str">
        <x:v>대기</x:v>
      </x:c>
      <x:c r="G56" s="39" t="n">
        <x:v>46247.5</x:v>
      </x:c>
      <x:c r="H56" s="39" t="n">
        <x:v>46248.5</x:v>
      </x:c>
      <x:c r="I56" s="39"/>
      <x:c r="J56" s="40" t="n">
        <x:f>IF(F56="완료",100%,IF(F56="검토",90%,IF(F56="진행",60%,IF(F56="진행중",60%,IF(F56="차단",25%,0%)))))</x:f>
        <x:v>0</x:v>
      </x:c>
      <x:c r="K56" s="36" t="str">
        <x:f>IF(AND(K$5&gt;=$G56,K$5&lt;=$H56),"■","")</x:f>
      </x:c>
      <x:c r="L56" s="36" t="str">
        <x:f>IF(AND(L$5&gt;=$G56,L$5&lt;=$H56),"■","")</x:f>
      </x:c>
      <x:c r="M56" s="36" t="str">
        <x:f>IF(AND(M$5&gt;=$G56,M$5&lt;=$H56),"■","")</x:f>
      </x:c>
      <x:c r="N56" s="36" t="str">
        <x:f>IF(AND(N$5&gt;=$G56,N$5&lt;=$H56),"■","")</x:f>
      </x:c>
      <x:c r="O56" s="36" t="str">
        <x:f>IF(AND(O$5&gt;=$G56,O$5&lt;=$H56),"■","")</x:f>
      </x:c>
      <x:c r="P56" s="36" t="str">
        <x:f>IF(AND(P$5&gt;=$G56,P$5&lt;=$H56),"■","")</x:f>
      </x:c>
      <x:c r="Q56" s="36" t="str">
        <x:f>IF(AND(Q$5&gt;=$G56,Q$5&lt;=$H56),"■","")</x:f>
      </x:c>
      <x:c r="R56" s="36" t="str">
        <x:f>IF(AND(R$5&gt;=$G56,R$5&lt;=$H56),"■","")</x:f>
      </x:c>
      <x:c r="S56" s="36" t="str">
        <x:f>IF(AND(S$5&gt;=$G56,S$5&lt;=$H56),"■","")</x:f>
      </x:c>
      <x:c r="T56" s="36" t="str">
        <x:f>IF(AND(T$5&gt;=$G56,T$5&lt;=$H56),"■","")</x:f>
      </x:c>
      <x:c r="U56" s="36" t="str">
        <x:f>IF(AND(U$5&gt;=$G56,U$5&lt;=$H56),"■","")</x:f>
      </x:c>
      <x:c r="V56" s="36" t="str">
        <x:f>IF(AND(V$5&gt;=$G56,V$5&lt;=$H56),"■","")</x:f>
      </x:c>
      <x:c r="W56" s="36" t="str">
        <x:f>IF(AND(W$5&gt;=$G56,W$5&lt;=$H56),"■","")</x:f>
      </x:c>
      <x:c r="X56" s="36" t="str">
        <x:f>IF(AND(X$5&gt;=$G56,X$5&lt;=$H56),"■","")</x:f>
      </x:c>
      <x:c r="Y56" s="36" t="str">
        <x:f>IF(AND(Y$5&gt;=$G56,Y$5&lt;=$H56),"■","")</x:f>
      </x:c>
      <x:c r="Z56" s="36" t="str">
        <x:f>IF(AND(Z$5&gt;=$G56,Z$5&lt;=$H56),"■","")</x:f>
      </x:c>
      <x:c r="AA56" s="36" t="str">
        <x:f>IF(AND(AA$5&gt;=$G56,AA$5&lt;=$H56),"■","")</x:f>
      </x:c>
      <x:c r="AB56" s="36" t="str">
        <x:f>IF(AND(AB$5&gt;=$G56,AB$5&lt;=$H56),"■","")</x:f>
      </x:c>
      <x:c r="AC56" s="36" t="str">
        <x:f>IF(AND(AC$5&gt;=$G56,AC$5&lt;=$H56),"■","")</x:f>
      </x:c>
      <x:c r="AD56" s="36" t="str">
        <x:f>IF(AND(AD$5&gt;=$G56,AD$5&lt;=$H56),"■","")</x:f>
      </x:c>
      <x:c r="AE56" s="36" t="str">
        <x:f>IF(AND(AE$5&gt;=$G56,AE$5&lt;=$H56),"■","")</x:f>
      </x:c>
      <x:c r="AF56" s="36" t="str">
        <x:f>IF(AND(AF$5&gt;=$G56,AF$5&lt;=$H56),"■","")</x:f>
      </x:c>
      <x:c r="AG56" s="36" t="str">
        <x:f>IF(AND(AG$5&gt;=$G56,AG$5&lt;=$H56),"■","")</x:f>
      </x:c>
      <x:c r="AH56" s="36" t="str">
        <x:f>IF(AND(AH$5&gt;=$G56,AH$5&lt;=$H56),"■","")</x:f>
        <x:v>■</x:v>
      </x:c>
      <x:c r="AI56" s="36" t="str">
        <x:f>IF(AND(AI$5&gt;=$G56,AI$5&lt;=$H56),"■","")</x:f>
        <x:v>■</x:v>
      </x:c>
      <x:c r="AJ56" s="36" t="str">
        <x:f>IF(AND(AJ$5&gt;=$G56,AJ$5&lt;=$H56),"■","")</x:f>
      </x:c>
      <x:c r="AK56" s="36" t="str">
        <x:f>IF(AND(AK$5&gt;=$G56,AK$5&lt;=$H56),"■","")</x:f>
      </x:c>
      <x:c r="AL56" s="36" t="str">
        <x:f>IF(AND(AL$5&gt;=$G56,AL$5&lt;=$H56),"■","")</x:f>
      </x:c>
      <x:c r="AM56" s="36" t="str">
        <x:f>IF(AND(AM$5&gt;=$G56,AM$5&lt;=$H56),"■","")</x:f>
      </x:c>
      <x:c r="AN56" s="36" t="str">
        <x:f>IF(AND(AN$5&gt;=$G56,AN$5&lt;=$H56),"■","")</x:f>
      </x:c>
      <x:c r="AO56" s="36" t="str">
        <x:f>IF(AND(AO$5&gt;=$G56,AO$5&lt;=$H56),"■","")</x:f>
      </x:c>
      <x:c r="AP56" s="36" t="str">
        <x:f>IF(AND(AP$5&gt;=$G56,AP$5&lt;=$H56),"■","")</x:f>
      </x:c>
      <x:c r="AQ56" s="36" t="str">
        <x:f>IF(AND(AQ$5&gt;=$G56,AQ$5&lt;=$H56),"■","")</x:f>
      </x:c>
      <x:c r="AR56" s="36" t="str">
        <x:f>IF(AND(AR$5&gt;=$G56,AR$5&lt;=$H56),"■","")</x:f>
      </x:c>
      <x:c r="AS56" s="36" t="str">
        <x:f>IF(AND(AS$5&gt;=$G56,AS$5&lt;=$H56),"■","")</x:f>
      </x:c>
      <x:c r="AT56" s="36" t="str">
        <x:f>IF(AND(AT$5&gt;=$G56,AT$5&lt;=$H56),"■","")</x:f>
      </x:c>
      <x:c r="AU56" s="36" t="str">
        <x:f>IF(AND(AU$5&gt;=$G56,AU$5&lt;=$H56),"■","")</x:f>
      </x:c>
      <x:c r="AV56" s="36" t="str">
        <x:f>IF(AND(AV$5&gt;=$G56,AV$5&lt;=$H56),"■","")</x:f>
      </x:c>
    </x:row>
    <x:row r="57" ht="31" customHeight="1">
      <x:c r="A57" s="37" t="str">
        <x:v>통합·테스트</x:v>
      </x:c>
      <x:c r="B57" s="37" t="str">
        <x:v>7.2</x:v>
      </x:c>
      <x:c r="C57" s="38" t="str">
        <x:v>Gate 결함 분류·재검증 조율·테스트 결과 보고</x:v>
      </x:c>
      <x:c r="D57" s="38" t="str">
        <x:v>보완 기록·서비스 테스트 보고서</x:v>
      </x:c>
      <x:c r="E57" s="37" t="str">
        <x:v>박준희·김재홍·송민지</x:v>
      </x:c>
      <x:c r="F57" s="37" t="str">
        <x:v>대기</x:v>
      </x:c>
      <x:c r="G57" s="39" t="n">
        <x:v>46252.5</x:v>
      </x:c>
      <x:c r="H57" s="39" t="n">
        <x:v>46253.5</x:v>
      </x:c>
      <x:c r="I57" s="39" t="n">
        <x:v>46262.5</x:v>
      </x:c>
      <x:c r="J57" s="40" t="n">
        <x:f>IF(F57="완료",100%,IF(F57="검토",90%,IF(F57="진행",60%,IF(F57="진행중",60%,IF(F57="차단",25%,0%)))))</x:f>
        <x:v>0</x:v>
      </x:c>
      <x:c r="K57" s="36" t="str">
        <x:f>IF(AND(K$5&gt;=$G57,K$5&lt;=$H57),"■","")</x:f>
      </x:c>
      <x:c r="L57" s="36" t="str">
        <x:f>IF(AND(L$5&gt;=$G57,L$5&lt;=$H57),"■","")</x:f>
      </x:c>
      <x:c r="M57" s="36" t="str">
        <x:f>IF(AND(M$5&gt;=$G57,M$5&lt;=$H57),"■","")</x:f>
      </x:c>
      <x:c r="N57" s="36" t="str">
        <x:f>IF(AND(N$5&gt;=$G57,N$5&lt;=$H57),"■","")</x:f>
      </x:c>
      <x:c r="O57" s="36" t="str">
        <x:f>IF(AND(O$5&gt;=$G57,O$5&lt;=$H57),"■","")</x:f>
      </x:c>
      <x:c r="P57" s="36" t="str">
        <x:f>IF(AND(P$5&gt;=$G57,P$5&lt;=$H57),"■","")</x:f>
      </x:c>
      <x:c r="Q57" s="36" t="str">
        <x:f>IF(AND(Q$5&gt;=$G57,Q$5&lt;=$H57),"■","")</x:f>
      </x:c>
      <x:c r="R57" s="36" t="str">
        <x:f>IF(AND(R$5&gt;=$G57,R$5&lt;=$H57),"■","")</x:f>
      </x:c>
      <x:c r="S57" s="36" t="str">
        <x:f>IF(AND(S$5&gt;=$G57,S$5&lt;=$H57),"■","")</x:f>
      </x:c>
      <x:c r="T57" s="36" t="str">
        <x:f>IF(AND(T$5&gt;=$G57,T$5&lt;=$H57),"■","")</x:f>
      </x:c>
      <x:c r="U57" s="36" t="str">
        <x:f>IF(AND(U$5&gt;=$G57,U$5&lt;=$H57),"■","")</x:f>
      </x:c>
      <x:c r="V57" s="36" t="str">
        <x:f>IF(AND(V$5&gt;=$G57,V$5&lt;=$H57),"■","")</x:f>
      </x:c>
      <x:c r="W57" s="36" t="str">
        <x:f>IF(AND(W$5&gt;=$G57,W$5&lt;=$H57),"■","")</x:f>
      </x:c>
      <x:c r="X57" s="36" t="str">
        <x:f>IF(AND(X$5&gt;=$G57,X$5&lt;=$H57),"■","")</x:f>
      </x:c>
      <x:c r="Y57" s="36" t="str">
        <x:f>IF(AND(Y$5&gt;=$G57,Y$5&lt;=$H57),"■","")</x:f>
      </x:c>
      <x:c r="Z57" s="36" t="str">
        <x:f>IF(AND(Z$5&gt;=$G57,Z$5&lt;=$H57),"■","")</x:f>
      </x:c>
      <x:c r="AA57" s="36" t="str">
        <x:f>IF(AND(AA$5&gt;=$G57,AA$5&lt;=$H57),"■","")</x:f>
      </x:c>
      <x:c r="AB57" s="36" t="str">
        <x:f>IF(AND(AB$5&gt;=$G57,AB$5&lt;=$H57),"■","")</x:f>
      </x:c>
      <x:c r="AC57" s="36" t="str">
        <x:f>IF(AND(AC$5&gt;=$G57,AC$5&lt;=$H57),"■","")</x:f>
      </x:c>
      <x:c r="AD57" s="36" t="str">
        <x:f>IF(AND(AD$5&gt;=$G57,AD$5&lt;=$H57),"■","")</x:f>
      </x:c>
      <x:c r="AE57" s="36" t="str">
        <x:f>IF(AND(AE$5&gt;=$G57,AE$5&lt;=$H57),"■","")</x:f>
      </x:c>
      <x:c r="AF57" s="36" t="str">
        <x:f>IF(AND(AF$5&gt;=$G57,AF$5&lt;=$H57),"■","")</x:f>
      </x:c>
      <x:c r="AG57" s="36" t="str">
        <x:f>IF(AND(AG$5&gt;=$G57,AG$5&lt;=$H57),"■","")</x:f>
      </x:c>
      <x:c r="AH57" s="36" t="str">
        <x:f>IF(AND(AH$5&gt;=$G57,AH$5&lt;=$H57),"■","")</x:f>
      </x:c>
      <x:c r="AI57" s="36" t="str">
        <x:f>IF(AND(AI$5&gt;=$G57,AI$5&lt;=$H57),"■","")</x:f>
      </x:c>
      <x:c r="AJ57" s="36" t="str">
        <x:f>IF(AND(AJ$5&gt;=$G57,AJ$5&lt;=$H57),"■","")</x:f>
        <x:v>■</x:v>
      </x:c>
      <x:c r="AK57" s="36" t="str">
        <x:f>IF(AND(AK$5&gt;=$G57,AK$5&lt;=$H57),"■","")</x:f>
        <x:v>■</x:v>
      </x:c>
      <x:c r="AL57" s="36" t="str">
        <x:f>IF(AND(AL$5&gt;=$G57,AL$5&lt;=$H57),"■","")</x:f>
      </x:c>
      <x:c r="AM57" s="36" t="str">
        <x:f>IF(AND(AM$5&gt;=$G57,AM$5&lt;=$H57),"■","")</x:f>
      </x:c>
      <x:c r="AN57" s="36" t="str">
        <x:f>IF(AND(AN$5&gt;=$G57,AN$5&lt;=$H57),"■","")</x:f>
      </x:c>
      <x:c r="AO57" s="36" t="str">
        <x:f>IF(AND(AO$5&gt;=$G57,AO$5&lt;=$H57),"■","")</x:f>
      </x:c>
      <x:c r="AP57" s="36" t="str">
        <x:f>IF(AND(AP$5&gt;=$G57,AP$5&lt;=$H57),"■","")</x:f>
      </x:c>
      <x:c r="AQ57" s="36" t="str">
        <x:f>IF(AND(AQ$5&gt;=$G57,AQ$5&lt;=$H57),"■","")</x:f>
      </x:c>
      <x:c r="AR57" s="36" t="str">
        <x:f>IF(AND(AR$5&gt;=$G57,AR$5&lt;=$H57),"■","")</x:f>
      </x:c>
      <x:c r="AS57" s="36" t="str">
        <x:f>IF(AND(AS$5&gt;=$G57,AS$5&lt;=$H57),"■","")</x:f>
      </x:c>
      <x:c r="AT57" s="36" t="str">
        <x:f>IF(AND(AT$5&gt;=$G57,AT$5&lt;=$H57),"■","")</x:f>
      </x:c>
      <x:c r="AU57" s="36" t="str">
        <x:f>IF(AND(AU$5&gt;=$G57,AU$5&lt;=$H57),"■","")</x:f>
      </x:c>
      <x:c r="AV57" s="36" t="str">
        <x:f>IF(AND(AV$5&gt;=$G57,AV$5&lt;=$H57),"■","")</x:f>
      </x:c>
    </x:row>
    <x:row r="58" ht="31" customHeight="1">
      <x:c r="A58" s="37" t="str">
        <x:v>통합·테스트</x:v>
      </x:c>
      <x:c r="B58" s="37" t="str">
        <x:v>7.3</x:v>
      </x:c>
      <x:c r="C58" s="38" t="str">
        <x:v>Gate 판정 후 Baseline 배포·fallback·운영 이력 조회 최종 점검</x:v>
      </x:c>
      <x:c r="D58" s="38" t="str">
        <x:v>개발된 LLM 연동 웹 애플리케이션</x:v>
      </x:c>
      <x:c r="E58" s="37" t="str">
        <x:v>송민지·김재홍·정승·윤대성</x:v>
      </x:c>
      <x:c r="F58" s="37" t="str">
        <x:v>대기</x:v>
      </x:c>
      <x:c r="G58" s="39" t="n">
        <x:v>46252.5</x:v>
      </x:c>
      <x:c r="H58" s="39" t="n">
        <x:v>46262.5</x:v>
      </x:c>
      <x:c r="I58" s="39" t="n">
        <x:v>46262.5</x:v>
      </x:c>
      <x:c r="J58" s="40" t="n">
        <x:f>IF(F58="완료",100%,IF(F58="검토",90%,IF(F58="진행",60%,IF(F58="진행중",60%,IF(F58="차단",25%,0%)))))</x:f>
        <x:v>0</x:v>
      </x:c>
      <x:c r="K58" s="36" t="str">
        <x:f>IF(AND(K$5&gt;=$G58,K$5&lt;=$H58),"■","")</x:f>
      </x:c>
      <x:c r="L58" s="36" t="str">
        <x:f>IF(AND(L$5&gt;=$G58,L$5&lt;=$H58),"■","")</x:f>
      </x:c>
      <x:c r="M58" s="36" t="str">
        <x:f>IF(AND(M$5&gt;=$G58,M$5&lt;=$H58),"■","")</x:f>
      </x:c>
      <x:c r="N58" s="36" t="str">
        <x:f>IF(AND(N$5&gt;=$G58,N$5&lt;=$H58),"■","")</x:f>
      </x:c>
      <x:c r="O58" s="36" t="str">
        <x:f>IF(AND(O$5&gt;=$G58,O$5&lt;=$H58),"■","")</x:f>
      </x:c>
      <x:c r="P58" s="36" t="str">
        <x:f>IF(AND(P$5&gt;=$G58,P$5&lt;=$H58),"■","")</x:f>
      </x:c>
      <x:c r="Q58" s="36" t="str">
        <x:f>IF(AND(Q$5&gt;=$G58,Q$5&lt;=$H58),"■","")</x:f>
      </x:c>
      <x:c r="R58" s="36" t="str">
        <x:f>IF(AND(R$5&gt;=$G58,R$5&lt;=$H58),"■","")</x:f>
      </x:c>
      <x:c r="S58" s="36" t="str">
        <x:f>IF(AND(S$5&gt;=$G58,S$5&lt;=$H58),"■","")</x:f>
      </x:c>
      <x:c r="T58" s="36" t="str">
        <x:f>IF(AND(T$5&gt;=$G58,T$5&lt;=$H58),"■","")</x:f>
      </x:c>
      <x:c r="U58" s="36" t="str">
        <x:f>IF(AND(U$5&gt;=$G58,U$5&lt;=$H58),"■","")</x:f>
      </x:c>
      <x:c r="V58" s="36" t="str">
        <x:f>IF(AND(V$5&gt;=$G58,V$5&lt;=$H58),"■","")</x:f>
      </x:c>
      <x:c r="W58" s="36" t="str">
        <x:f>IF(AND(W$5&gt;=$G58,W$5&lt;=$H58),"■","")</x:f>
      </x:c>
      <x:c r="X58" s="36" t="str">
        <x:f>IF(AND(X$5&gt;=$G58,X$5&lt;=$H58),"■","")</x:f>
      </x:c>
      <x:c r="Y58" s="36" t="str">
        <x:f>IF(AND(Y$5&gt;=$G58,Y$5&lt;=$H58),"■","")</x:f>
      </x:c>
      <x:c r="Z58" s="36" t="str">
        <x:f>IF(AND(Z$5&gt;=$G58,Z$5&lt;=$H58),"■","")</x:f>
      </x:c>
      <x:c r="AA58" s="36" t="str">
        <x:f>IF(AND(AA$5&gt;=$G58,AA$5&lt;=$H58),"■","")</x:f>
      </x:c>
      <x:c r="AB58" s="36" t="str">
        <x:f>IF(AND(AB$5&gt;=$G58,AB$5&lt;=$H58),"■","")</x:f>
      </x:c>
      <x:c r="AC58" s="36" t="str">
        <x:f>IF(AND(AC$5&gt;=$G58,AC$5&lt;=$H58),"■","")</x:f>
      </x:c>
      <x:c r="AD58" s="36" t="str">
        <x:f>IF(AND(AD$5&gt;=$G58,AD$5&lt;=$H58),"■","")</x:f>
      </x:c>
      <x:c r="AE58" s="36" t="str">
        <x:f>IF(AND(AE$5&gt;=$G58,AE$5&lt;=$H58),"■","")</x:f>
      </x:c>
      <x:c r="AF58" s="36" t="str">
        <x:f>IF(AND(AF$5&gt;=$G58,AF$5&lt;=$H58),"■","")</x:f>
      </x:c>
      <x:c r="AG58" s="36" t="str">
        <x:f>IF(AND(AG$5&gt;=$G58,AG$5&lt;=$H58),"■","")</x:f>
      </x:c>
      <x:c r="AH58" s="36" t="str">
        <x:f>IF(AND(AH$5&gt;=$G58,AH$5&lt;=$H58),"■","")</x:f>
      </x:c>
      <x:c r="AI58" s="36" t="str">
        <x:f>IF(AND(AI$5&gt;=$G58,AI$5&lt;=$H58),"■","")</x:f>
      </x:c>
      <x:c r="AJ58" s="36" t="str">
        <x:f>IF(AND(AJ$5&gt;=$G58,AJ$5&lt;=$H58),"■","")</x:f>
        <x:v>■</x:v>
      </x:c>
      <x:c r="AK58" s="36" t="str">
        <x:f>IF(AND(AK$5&gt;=$G58,AK$5&lt;=$H58),"■","")</x:f>
        <x:v>■</x:v>
      </x:c>
      <x:c r="AL58" s="36" t="str">
        <x:f>IF(AND(AL$5&gt;=$G58,AL$5&lt;=$H58),"■","")</x:f>
        <x:v>■</x:v>
      </x:c>
      <x:c r="AM58" s="36" t="str">
        <x:f>IF(AND(AM$5&gt;=$G58,AM$5&lt;=$H58),"■","")</x:f>
        <x:v>■</x:v>
      </x:c>
      <x:c r="AN58" s="36" t="str">
        <x:f>IF(AND(AN$5&gt;=$G58,AN$5&lt;=$H58),"■","")</x:f>
        <x:v>■</x:v>
      </x:c>
      <x:c r="AO58" s="36" t="str">
        <x:f>IF(AND(AO$5&gt;=$G58,AO$5&lt;=$H58),"■","")</x:f>
        <x:v>■</x:v>
      </x:c>
      <x:c r="AP58" s="36" t="str">
        <x:f>IF(AND(AP$5&gt;=$G58,AP$5&lt;=$H58),"■","")</x:f>
        <x:v>■</x:v>
      </x:c>
      <x:c r="AQ58" s="36" t="str">
        <x:f>IF(AND(AQ$5&gt;=$G58,AQ$5&lt;=$H58),"■","")</x:f>
        <x:v>■</x:v>
      </x:c>
      <x:c r="AR58" s="36" t="str">
        <x:f>IF(AND(AR$5&gt;=$G58,AR$5&lt;=$H58),"■","")</x:f>
        <x:v>■</x:v>
      </x:c>
      <x:c r="AS58" s="36" t="str">
        <x:f>IF(AND(AS$5&gt;=$G58,AS$5&lt;=$H58),"■","")</x:f>
      </x:c>
      <x:c r="AT58" s="36" t="str">
        <x:f>IF(AND(AT$5&gt;=$G58,AT$5&lt;=$H58),"■","")</x:f>
      </x:c>
      <x:c r="AU58" s="36" t="str">
        <x:f>IF(AND(AU$5&gt;=$G58,AU$5&lt;=$H58),"■","")</x:f>
      </x:c>
      <x:c r="AV58" s="36" t="str">
        <x:f>IF(AND(AV$5&gt;=$G58,AV$5&lt;=$H58),"■","")</x:f>
      </x:c>
    </x:row>
    <x:row r="59" ht="31" customHeight="1">
      <x:c r="A59" s="37" t="str">
        <x:v>통합·테스트</x:v>
      </x:c>
      <x:c r="B59" s="37" t="str">
        <x:v>7.4</x:v>
      </x:c>
      <x:c r="C59" s="38" t="str">
        <x:v>Gate 통과 후 팀이 별도 승인한 보류 후보 1~2건·회귀 테스트(미승인 시 자동 취소)</x:v>
      </x:c>
      <x:c r="D59" s="38" t="str">
        <x:v>선택 기능</x:v>
      </x:c>
      <x:c r="E59" s="37" t="str">
        <x:v>전원</x:v>
      </x:c>
      <x:c r="F59" s="37" t="str">
        <x:v>대기</x:v>
      </x:c>
      <x:c r="G59" s="39" t="n">
        <x:v>46258.5</x:v>
      </x:c>
      <x:c r="H59" s="39" t="n">
        <x:v>46262.5</x:v>
      </x:c>
      <x:c r="I59" s="39"/>
      <x:c r="J59" s="40" t="n">
        <x:f>IF(F59="완료",100%,IF(F59="검토",90%,IF(F59="진행",60%,IF(F59="진행중",60%,IF(F59="차단",25%,0%)))))</x:f>
        <x:v>0</x:v>
      </x:c>
      <x:c r="K59" s="36" t="str">
        <x:f>IF(AND(K$5&gt;=$G59,K$5&lt;=$H59),"■","")</x:f>
      </x:c>
      <x:c r="L59" s="36" t="str">
        <x:f>IF(AND(L$5&gt;=$G59,L$5&lt;=$H59),"■","")</x:f>
      </x:c>
      <x:c r="M59" s="36" t="str">
        <x:f>IF(AND(M$5&gt;=$G59,M$5&lt;=$H59),"■","")</x:f>
      </x:c>
      <x:c r="N59" s="36" t="str">
        <x:f>IF(AND(N$5&gt;=$G59,N$5&lt;=$H59),"■","")</x:f>
      </x:c>
      <x:c r="O59" s="36" t="str">
        <x:f>IF(AND(O$5&gt;=$G59,O$5&lt;=$H59),"■","")</x:f>
      </x:c>
      <x:c r="P59" s="36" t="str">
        <x:f>IF(AND(P$5&gt;=$G59,P$5&lt;=$H59),"■","")</x:f>
      </x:c>
      <x:c r="Q59" s="36" t="str">
        <x:f>IF(AND(Q$5&gt;=$G59,Q$5&lt;=$H59),"■","")</x:f>
      </x:c>
      <x:c r="R59" s="36" t="str">
        <x:f>IF(AND(R$5&gt;=$G59,R$5&lt;=$H59),"■","")</x:f>
      </x:c>
      <x:c r="S59" s="36" t="str">
        <x:f>IF(AND(S$5&gt;=$G59,S$5&lt;=$H59),"■","")</x:f>
      </x:c>
      <x:c r="T59" s="36" t="str">
        <x:f>IF(AND(T$5&gt;=$G59,T$5&lt;=$H59),"■","")</x:f>
      </x:c>
      <x:c r="U59" s="36" t="str">
        <x:f>IF(AND(U$5&gt;=$G59,U$5&lt;=$H59),"■","")</x:f>
      </x:c>
      <x:c r="V59" s="36" t="str">
        <x:f>IF(AND(V$5&gt;=$G59,V$5&lt;=$H59),"■","")</x:f>
      </x:c>
      <x:c r="W59" s="36" t="str">
        <x:f>IF(AND(W$5&gt;=$G59,W$5&lt;=$H59),"■","")</x:f>
      </x:c>
      <x:c r="X59" s="36" t="str">
        <x:f>IF(AND(X$5&gt;=$G59,X$5&lt;=$H59),"■","")</x:f>
      </x:c>
      <x:c r="Y59" s="36" t="str">
        <x:f>IF(AND(Y$5&gt;=$G59,Y$5&lt;=$H59),"■","")</x:f>
      </x:c>
      <x:c r="Z59" s="36" t="str">
        <x:f>IF(AND(Z$5&gt;=$G59,Z$5&lt;=$H59),"■","")</x:f>
      </x:c>
      <x:c r="AA59" s="36" t="str">
        <x:f>IF(AND(AA$5&gt;=$G59,AA$5&lt;=$H59),"■","")</x:f>
      </x:c>
      <x:c r="AB59" s="36" t="str">
        <x:f>IF(AND(AB$5&gt;=$G59,AB$5&lt;=$H59),"■","")</x:f>
      </x:c>
      <x:c r="AC59" s="36" t="str">
        <x:f>IF(AND(AC$5&gt;=$G59,AC$5&lt;=$H59),"■","")</x:f>
      </x:c>
      <x:c r="AD59" s="36" t="str">
        <x:f>IF(AND(AD$5&gt;=$G59,AD$5&lt;=$H59),"■","")</x:f>
      </x:c>
      <x:c r="AE59" s="36" t="str">
        <x:f>IF(AND(AE$5&gt;=$G59,AE$5&lt;=$H59),"■","")</x:f>
      </x:c>
      <x:c r="AF59" s="36" t="str">
        <x:f>IF(AND(AF$5&gt;=$G59,AF$5&lt;=$H59),"■","")</x:f>
      </x:c>
      <x:c r="AG59" s="36" t="str">
        <x:f>IF(AND(AG$5&gt;=$G59,AG$5&lt;=$H59),"■","")</x:f>
      </x:c>
      <x:c r="AH59" s="36" t="str">
        <x:f>IF(AND(AH$5&gt;=$G59,AH$5&lt;=$H59),"■","")</x:f>
      </x:c>
      <x:c r="AI59" s="36" t="str">
        <x:f>IF(AND(AI$5&gt;=$G59,AI$5&lt;=$H59),"■","")</x:f>
      </x:c>
      <x:c r="AJ59" s="36" t="str">
        <x:f>IF(AND(AJ$5&gt;=$G59,AJ$5&lt;=$H59),"■","")</x:f>
      </x:c>
      <x:c r="AK59" s="36" t="str">
        <x:f>IF(AND(AK$5&gt;=$G59,AK$5&lt;=$H59),"■","")</x:f>
      </x:c>
      <x:c r="AL59" s="36" t="str">
        <x:f>IF(AND(AL$5&gt;=$G59,AL$5&lt;=$H59),"■","")</x:f>
      </x:c>
      <x:c r="AM59" s="36" t="str">
        <x:f>IF(AND(AM$5&gt;=$G59,AM$5&lt;=$H59),"■","")</x:f>
      </x:c>
      <x:c r="AN59" s="36" t="str">
        <x:f>IF(AND(AN$5&gt;=$G59,AN$5&lt;=$H59),"■","")</x:f>
        <x:v>■</x:v>
      </x:c>
      <x:c r="AO59" s="36" t="str">
        <x:f>IF(AND(AO$5&gt;=$G59,AO$5&lt;=$H59),"■","")</x:f>
        <x:v>■</x:v>
      </x:c>
      <x:c r="AP59" s="36" t="str">
        <x:f>IF(AND(AP$5&gt;=$G59,AP$5&lt;=$H59),"■","")</x:f>
        <x:v>■</x:v>
      </x:c>
      <x:c r="AQ59" s="36" t="str">
        <x:f>IF(AND(AQ$5&gt;=$G59,AQ$5&lt;=$H59),"■","")</x:f>
        <x:v>■</x:v>
      </x:c>
      <x:c r="AR59" s="36" t="str">
        <x:f>IF(AND(AR$5&gt;=$G59,AR$5&lt;=$H59),"■","")</x:f>
        <x:v>■</x:v>
      </x:c>
      <x:c r="AS59" s="36" t="str">
        <x:f>IF(AND(AS$5&gt;=$G59,AS$5&lt;=$H59),"■","")</x:f>
      </x:c>
      <x:c r="AT59" s="36" t="str">
        <x:f>IF(AND(AT$5&gt;=$G59,AT$5&lt;=$H59),"■","")</x:f>
      </x:c>
      <x:c r="AU59" s="36" t="str">
        <x:f>IF(AND(AU$5&gt;=$G59,AU$5&lt;=$H59),"■","")</x:f>
      </x:c>
      <x:c r="AV59" s="36" t="str">
        <x:f>IF(AND(AV$5&gt;=$G59,AV$5&lt;=$H59),"■","")</x:f>
      </x:c>
    </x:row>
    <x:row r="60" ht="31" customHeight="1">
      <x:c r="A60" s="37" t="str">
        <x:v>통합·테스트</x:v>
      </x:c>
      <x:c r="B60" s="37" t="str">
        <x:v>7.5</x:v>
      </x:c>
      <x:c r="C60" s="38" t="str">
        <x:v>대표 합성 데모 scenario·fallback 발표 자료 확정</x:v>
      </x:c>
      <x:c r="D60" s="38" t="str">
        <x:v>데모 시나리오</x:v>
      </x:c>
      <x:c r="E60" s="37" t="str">
        <x:v>정승</x:v>
      </x:c>
      <x:c r="F60" s="37" t="str">
        <x:v>대기</x:v>
      </x:c>
      <x:c r="G60" s="39" t="n">
        <x:v>46258.5</x:v>
      </x:c>
      <x:c r="H60" s="39" t="n">
        <x:v>46262.5</x:v>
      </x:c>
      <x:c r="I60" s="39"/>
      <x:c r="J60" s="40" t="n">
        <x:f>IF(F60="완료",100%,IF(F60="검토",90%,IF(F60="진행",60%,IF(F60="진행중",60%,IF(F60="차단",25%,0%)))))</x:f>
        <x:v>0</x:v>
      </x:c>
      <x:c r="K60" s="36" t="str">
        <x:f>IF(AND(K$5&gt;=$G60,K$5&lt;=$H60),"■","")</x:f>
      </x:c>
      <x:c r="L60" s="36" t="str">
        <x:f>IF(AND(L$5&gt;=$G60,L$5&lt;=$H60),"■","")</x:f>
      </x:c>
      <x:c r="M60" s="36" t="str">
        <x:f>IF(AND(M$5&gt;=$G60,M$5&lt;=$H60),"■","")</x:f>
      </x:c>
      <x:c r="N60" s="36" t="str">
        <x:f>IF(AND(N$5&gt;=$G60,N$5&lt;=$H60),"■","")</x:f>
      </x:c>
      <x:c r="O60" s="36" t="str">
        <x:f>IF(AND(O$5&gt;=$G60,O$5&lt;=$H60),"■","")</x:f>
      </x:c>
      <x:c r="P60" s="36" t="str">
        <x:f>IF(AND(P$5&gt;=$G60,P$5&lt;=$H60),"■","")</x:f>
      </x:c>
      <x:c r="Q60" s="36" t="str">
        <x:f>IF(AND(Q$5&gt;=$G60,Q$5&lt;=$H60),"■","")</x:f>
      </x:c>
      <x:c r="R60" s="36" t="str">
        <x:f>IF(AND(R$5&gt;=$G60,R$5&lt;=$H60),"■","")</x:f>
      </x:c>
      <x:c r="S60" s="36" t="str">
        <x:f>IF(AND(S$5&gt;=$G60,S$5&lt;=$H60),"■","")</x:f>
      </x:c>
      <x:c r="T60" s="36" t="str">
        <x:f>IF(AND(T$5&gt;=$G60,T$5&lt;=$H60),"■","")</x:f>
      </x:c>
      <x:c r="U60" s="36" t="str">
        <x:f>IF(AND(U$5&gt;=$G60,U$5&lt;=$H60),"■","")</x:f>
      </x:c>
      <x:c r="V60" s="36" t="str">
        <x:f>IF(AND(V$5&gt;=$G60,V$5&lt;=$H60),"■","")</x:f>
      </x:c>
      <x:c r="W60" s="36" t="str">
        <x:f>IF(AND(W$5&gt;=$G60,W$5&lt;=$H60),"■","")</x:f>
      </x:c>
      <x:c r="X60" s="36" t="str">
        <x:f>IF(AND(X$5&gt;=$G60,X$5&lt;=$H60),"■","")</x:f>
      </x:c>
      <x:c r="Y60" s="36" t="str">
        <x:f>IF(AND(Y$5&gt;=$G60,Y$5&lt;=$H60),"■","")</x:f>
      </x:c>
      <x:c r="Z60" s="36" t="str">
        <x:f>IF(AND(Z$5&gt;=$G60,Z$5&lt;=$H60),"■","")</x:f>
      </x:c>
      <x:c r="AA60" s="36" t="str">
        <x:f>IF(AND(AA$5&gt;=$G60,AA$5&lt;=$H60),"■","")</x:f>
      </x:c>
      <x:c r="AB60" s="36" t="str">
        <x:f>IF(AND(AB$5&gt;=$G60,AB$5&lt;=$H60),"■","")</x:f>
      </x:c>
      <x:c r="AC60" s="36" t="str">
        <x:f>IF(AND(AC$5&gt;=$G60,AC$5&lt;=$H60),"■","")</x:f>
      </x:c>
      <x:c r="AD60" s="36" t="str">
        <x:f>IF(AND(AD$5&gt;=$G60,AD$5&lt;=$H60),"■","")</x:f>
      </x:c>
      <x:c r="AE60" s="36" t="str">
        <x:f>IF(AND(AE$5&gt;=$G60,AE$5&lt;=$H60),"■","")</x:f>
      </x:c>
      <x:c r="AF60" s="36" t="str">
        <x:f>IF(AND(AF$5&gt;=$G60,AF$5&lt;=$H60),"■","")</x:f>
      </x:c>
      <x:c r="AG60" s="36" t="str">
        <x:f>IF(AND(AG$5&gt;=$G60,AG$5&lt;=$H60),"■","")</x:f>
      </x:c>
      <x:c r="AH60" s="36" t="str">
        <x:f>IF(AND(AH$5&gt;=$G60,AH$5&lt;=$H60),"■","")</x:f>
      </x:c>
      <x:c r="AI60" s="36" t="str">
        <x:f>IF(AND(AI$5&gt;=$G60,AI$5&lt;=$H60),"■","")</x:f>
      </x:c>
      <x:c r="AJ60" s="36" t="str">
        <x:f>IF(AND(AJ$5&gt;=$G60,AJ$5&lt;=$H60),"■","")</x:f>
      </x:c>
      <x:c r="AK60" s="36" t="str">
        <x:f>IF(AND(AK$5&gt;=$G60,AK$5&lt;=$H60),"■","")</x:f>
      </x:c>
      <x:c r="AL60" s="36" t="str">
        <x:f>IF(AND(AL$5&gt;=$G60,AL$5&lt;=$H60),"■","")</x:f>
      </x:c>
      <x:c r="AM60" s="36" t="str">
        <x:f>IF(AND(AM$5&gt;=$G60,AM$5&lt;=$H60),"■","")</x:f>
      </x:c>
      <x:c r="AN60" s="36" t="str">
        <x:f>IF(AND(AN$5&gt;=$G60,AN$5&lt;=$H60),"■","")</x:f>
        <x:v>■</x:v>
      </x:c>
      <x:c r="AO60" s="36" t="str">
        <x:f>IF(AND(AO$5&gt;=$G60,AO$5&lt;=$H60),"■","")</x:f>
        <x:v>■</x:v>
      </x:c>
      <x:c r="AP60" s="36" t="str">
        <x:f>IF(AND(AP$5&gt;=$G60,AP$5&lt;=$H60),"■","")</x:f>
        <x:v>■</x:v>
      </x:c>
      <x:c r="AQ60" s="36" t="str">
        <x:f>IF(AND(AQ$5&gt;=$G60,AQ$5&lt;=$H60),"■","")</x:f>
        <x:v>■</x:v>
      </x:c>
      <x:c r="AR60" s="36" t="str">
        <x:f>IF(AND(AR$5&gt;=$G60,AR$5&lt;=$H60),"■","")</x:f>
        <x:v>■</x:v>
      </x:c>
      <x:c r="AS60" s="36" t="str">
        <x:f>IF(AND(AS$5&gt;=$G60,AS$5&lt;=$H60),"■","")</x:f>
      </x:c>
      <x:c r="AT60" s="36" t="str">
        <x:f>IF(AND(AT$5&gt;=$G60,AT$5&lt;=$H60),"■","")</x:f>
      </x:c>
      <x:c r="AU60" s="36" t="str">
        <x:f>IF(AND(AU$5&gt;=$G60,AU$5&lt;=$H60),"■","")</x:f>
      </x:c>
      <x:c r="AV60" s="36" t="str">
        <x:f>IF(AND(AV$5&gt;=$G60,AV$5&lt;=$H60),"■","")</x:f>
      </x:c>
    </x:row>
    <x:row r="61" ht="31" customHeight="1">
      <x:c r="A61" s="37" t="str">
        <x:v>통합·테스트</x:v>
      </x:c>
      <x:c r="B61" s="37" t="str">
        <x:v>7.6</x:v>
      </x:c>
      <x:c r="C61" s="38" t="str">
        <x:v>반례 세트 v2 Gate 자동 채점·후속 회귀 결과 보고와 결함 조율</x:v>
      </x:c>
      <x:c r="D61" s="38" t="str">
        <x:v>정확도 리포트</x:v>
      </x:c>
      <x:c r="E61" s="37" t="str">
        <x:v>박준희·윤대성·김재홍</x:v>
      </x:c>
      <x:c r="F61" s="37" t="str">
        <x:v>대기</x:v>
      </x:c>
      <x:c r="G61" s="39" t="n">
        <x:v>46247.5</x:v>
      </x:c>
      <x:c r="H61" s="39" t="n">
        <x:v>46262.5</x:v>
      </x:c>
      <x:c r="I61" s="39"/>
      <x:c r="J61" s="40" t="n">
        <x:f>IF(F61="완료",100%,IF(F61="검토",90%,IF(F61="진행",60%,IF(F61="진행중",60%,IF(F61="차단",25%,0%)))))</x:f>
        <x:v>0</x:v>
      </x:c>
      <x:c r="K61" s="36" t="str">
        <x:f>IF(AND(K$5&gt;=$G61,K$5&lt;=$H61),"■","")</x:f>
      </x:c>
      <x:c r="L61" s="36" t="str">
        <x:f>IF(AND(L$5&gt;=$G61,L$5&lt;=$H61),"■","")</x:f>
      </x:c>
      <x:c r="M61" s="36" t="str">
        <x:f>IF(AND(M$5&gt;=$G61,M$5&lt;=$H61),"■","")</x:f>
      </x:c>
      <x:c r="N61" s="36" t="str">
        <x:f>IF(AND(N$5&gt;=$G61,N$5&lt;=$H61),"■","")</x:f>
      </x:c>
      <x:c r="O61" s="36" t="str">
        <x:f>IF(AND(O$5&gt;=$G61,O$5&lt;=$H61),"■","")</x:f>
      </x:c>
      <x:c r="P61" s="36" t="str">
        <x:f>IF(AND(P$5&gt;=$G61,P$5&lt;=$H61),"■","")</x:f>
      </x:c>
      <x:c r="Q61" s="36" t="str">
        <x:f>IF(AND(Q$5&gt;=$G61,Q$5&lt;=$H61),"■","")</x:f>
      </x:c>
      <x:c r="R61" s="36" t="str">
        <x:f>IF(AND(R$5&gt;=$G61,R$5&lt;=$H61),"■","")</x:f>
      </x:c>
      <x:c r="S61" s="36" t="str">
        <x:f>IF(AND(S$5&gt;=$G61,S$5&lt;=$H61),"■","")</x:f>
      </x:c>
      <x:c r="T61" s="36" t="str">
        <x:f>IF(AND(T$5&gt;=$G61,T$5&lt;=$H61),"■","")</x:f>
      </x:c>
      <x:c r="U61" s="36" t="str">
        <x:f>IF(AND(U$5&gt;=$G61,U$5&lt;=$H61),"■","")</x:f>
      </x:c>
      <x:c r="V61" s="36" t="str">
        <x:f>IF(AND(V$5&gt;=$G61,V$5&lt;=$H61),"■","")</x:f>
      </x:c>
      <x:c r="W61" s="36" t="str">
        <x:f>IF(AND(W$5&gt;=$G61,W$5&lt;=$H61),"■","")</x:f>
      </x:c>
      <x:c r="X61" s="36" t="str">
        <x:f>IF(AND(X$5&gt;=$G61,X$5&lt;=$H61),"■","")</x:f>
      </x:c>
      <x:c r="Y61" s="36" t="str">
        <x:f>IF(AND(Y$5&gt;=$G61,Y$5&lt;=$H61),"■","")</x:f>
      </x:c>
      <x:c r="Z61" s="36" t="str">
        <x:f>IF(AND(Z$5&gt;=$G61,Z$5&lt;=$H61),"■","")</x:f>
      </x:c>
      <x:c r="AA61" s="36" t="str">
        <x:f>IF(AND(AA$5&gt;=$G61,AA$5&lt;=$H61),"■","")</x:f>
      </x:c>
      <x:c r="AB61" s="36" t="str">
        <x:f>IF(AND(AB$5&gt;=$G61,AB$5&lt;=$H61),"■","")</x:f>
      </x:c>
      <x:c r="AC61" s="36" t="str">
        <x:f>IF(AND(AC$5&gt;=$G61,AC$5&lt;=$H61),"■","")</x:f>
      </x:c>
      <x:c r="AD61" s="36" t="str">
        <x:f>IF(AND(AD$5&gt;=$G61,AD$5&lt;=$H61),"■","")</x:f>
      </x:c>
      <x:c r="AE61" s="36" t="str">
        <x:f>IF(AND(AE$5&gt;=$G61,AE$5&lt;=$H61),"■","")</x:f>
      </x:c>
      <x:c r="AF61" s="36" t="str">
        <x:f>IF(AND(AF$5&gt;=$G61,AF$5&lt;=$H61),"■","")</x:f>
      </x:c>
      <x:c r="AG61" s="36" t="str">
        <x:f>IF(AND(AG$5&gt;=$G61,AG$5&lt;=$H61),"■","")</x:f>
      </x:c>
      <x:c r="AH61" s="36" t="str">
        <x:f>IF(AND(AH$5&gt;=$G61,AH$5&lt;=$H61),"■","")</x:f>
        <x:v>■</x:v>
      </x:c>
      <x:c r="AI61" s="36" t="str">
        <x:f>IF(AND(AI$5&gt;=$G61,AI$5&lt;=$H61),"■","")</x:f>
        <x:v>■</x:v>
      </x:c>
      <x:c r="AJ61" s="36" t="str">
        <x:f>IF(AND(AJ$5&gt;=$G61,AJ$5&lt;=$H61),"■","")</x:f>
        <x:v>■</x:v>
      </x:c>
      <x:c r="AK61" s="36" t="str">
        <x:f>IF(AND(AK$5&gt;=$G61,AK$5&lt;=$H61),"■","")</x:f>
        <x:v>■</x:v>
      </x:c>
      <x:c r="AL61" s="36" t="str">
        <x:f>IF(AND(AL$5&gt;=$G61,AL$5&lt;=$H61),"■","")</x:f>
        <x:v>■</x:v>
      </x:c>
      <x:c r="AM61" s="36" t="str">
        <x:f>IF(AND(AM$5&gt;=$G61,AM$5&lt;=$H61),"■","")</x:f>
        <x:v>■</x:v>
      </x:c>
      <x:c r="AN61" s="36" t="str">
        <x:f>IF(AND(AN$5&gt;=$G61,AN$5&lt;=$H61),"■","")</x:f>
        <x:v>■</x:v>
      </x:c>
      <x:c r="AO61" s="36" t="str">
        <x:f>IF(AND(AO$5&gt;=$G61,AO$5&lt;=$H61),"■","")</x:f>
        <x:v>■</x:v>
      </x:c>
      <x:c r="AP61" s="36" t="str">
        <x:f>IF(AND(AP$5&gt;=$G61,AP$5&lt;=$H61),"■","")</x:f>
        <x:v>■</x:v>
      </x:c>
      <x:c r="AQ61" s="36" t="str">
        <x:f>IF(AND(AQ$5&gt;=$G61,AQ$5&lt;=$H61),"■","")</x:f>
        <x:v>■</x:v>
      </x:c>
      <x:c r="AR61" s="36" t="str">
        <x:f>IF(AND(AR$5&gt;=$G61,AR$5&lt;=$H61),"■","")</x:f>
        <x:v>■</x:v>
      </x:c>
      <x:c r="AS61" s="36" t="str">
        <x:f>IF(AND(AS$5&gt;=$G61,AS$5&lt;=$H61),"■","")</x:f>
      </x:c>
      <x:c r="AT61" s="36" t="str">
        <x:f>IF(AND(AT$5&gt;=$G61,AT$5&lt;=$H61),"■","")</x:f>
      </x:c>
      <x:c r="AU61" s="36" t="str">
        <x:f>IF(AND(AU$5&gt;=$G61,AU$5&lt;=$H61),"■","")</x:f>
      </x:c>
      <x:c r="AV61" s="36" t="str">
        <x:f>IF(AND(AV$5&gt;=$G61,AV$5&lt;=$H61),"■","")</x:f>
      </x:c>
    </x:row>
    <x:row r="62" ht="31" customHeight="1">
      <x:c r="A62" s="37" t="str">
        <x:v>통합·테스트</x:v>
      </x:c>
      <x:c r="B62" s="37" t="str">
        <x:v>7.7</x:v>
      </x:c>
      <x:c r="C62" s="38" t="str">
        <x:v>외부 전달 필요성·대상 채널·연동 방식 검토</x:v>
      </x:c>
      <x:c r="D62" s="38" t="str">
        <x:v>외부 전달 검토안(보류·승인 후 후보)</x:v>
      </x:c>
      <x:c r="E62" s="37" t="str">
        <x:v>박준희</x:v>
      </x:c>
      <x:c r="F62" s="37" t="str">
        <x:v>대기</x:v>
      </x:c>
      <x:c r="G62" s="39" t="n">
        <x:v>46255.5</x:v>
      </x:c>
      <x:c r="H62" s="39" t="n">
        <x:v>46255.5</x:v>
      </x:c>
      <x:c r="I62" s="39"/>
      <x:c r="J62" s="40" t="n">
        <x:f>IF(F62="완료",100%,IF(F62="검토",90%,IF(F62="진행",60%,IF(F62="진행중",60%,IF(F62="차단",25%,0%)))))</x:f>
        <x:v>0</x:v>
      </x:c>
      <x:c r="K62" s="36" t="str">
        <x:f>IF(AND(K$5&gt;=$G62,K$5&lt;=$H62),"■","")</x:f>
      </x:c>
      <x:c r="L62" s="36" t="str">
        <x:f>IF(AND(L$5&gt;=$G62,L$5&lt;=$H62),"■","")</x:f>
      </x:c>
      <x:c r="M62" s="36" t="str">
        <x:f>IF(AND(M$5&gt;=$G62,M$5&lt;=$H62),"■","")</x:f>
      </x:c>
      <x:c r="N62" s="36" t="str">
        <x:f>IF(AND(N$5&gt;=$G62,N$5&lt;=$H62),"■","")</x:f>
      </x:c>
      <x:c r="O62" s="36" t="str">
        <x:f>IF(AND(O$5&gt;=$G62,O$5&lt;=$H62),"■","")</x:f>
      </x:c>
      <x:c r="P62" s="36" t="str">
        <x:f>IF(AND(P$5&gt;=$G62,P$5&lt;=$H62),"■","")</x:f>
      </x:c>
      <x:c r="Q62" s="36" t="str">
        <x:f>IF(AND(Q$5&gt;=$G62,Q$5&lt;=$H62),"■","")</x:f>
      </x:c>
      <x:c r="R62" s="36" t="str">
        <x:f>IF(AND(R$5&gt;=$G62,R$5&lt;=$H62),"■","")</x:f>
      </x:c>
      <x:c r="S62" s="36" t="str">
        <x:f>IF(AND(S$5&gt;=$G62,S$5&lt;=$H62),"■","")</x:f>
      </x:c>
      <x:c r="T62" s="36" t="str">
        <x:f>IF(AND(T$5&gt;=$G62,T$5&lt;=$H62),"■","")</x:f>
      </x:c>
      <x:c r="U62" s="36" t="str">
        <x:f>IF(AND(U$5&gt;=$G62,U$5&lt;=$H62),"■","")</x:f>
      </x:c>
      <x:c r="V62" s="36" t="str">
        <x:f>IF(AND(V$5&gt;=$G62,V$5&lt;=$H62),"■","")</x:f>
      </x:c>
      <x:c r="W62" s="36" t="str">
        <x:f>IF(AND(W$5&gt;=$G62,W$5&lt;=$H62),"■","")</x:f>
      </x:c>
      <x:c r="X62" s="36" t="str">
        <x:f>IF(AND(X$5&gt;=$G62,X$5&lt;=$H62),"■","")</x:f>
      </x:c>
      <x:c r="Y62" s="36" t="str">
        <x:f>IF(AND(Y$5&gt;=$G62,Y$5&lt;=$H62),"■","")</x:f>
      </x:c>
      <x:c r="Z62" s="36" t="str">
        <x:f>IF(AND(Z$5&gt;=$G62,Z$5&lt;=$H62),"■","")</x:f>
      </x:c>
      <x:c r="AA62" s="36" t="str">
        <x:f>IF(AND(AA$5&gt;=$G62,AA$5&lt;=$H62),"■","")</x:f>
      </x:c>
      <x:c r="AB62" s="36" t="str">
        <x:f>IF(AND(AB$5&gt;=$G62,AB$5&lt;=$H62),"■","")</x:f>
      </x:c>
      <x:c r="AC62" s="36" t="str">
        <x:f>IF(AND(AC$5&gt;=$G62,AC$5&lt;=$H62),"■","")</x:f>
      </x:c>
      <x:c r="AD62" s="36" t="str">
        <x:f>IF(AND(AD$5&gt;=$G62,AD$5&lt;=$H62),"■","")</x:f>
      </x:c>
      <x:c r="AE62" s="36" t="str">
        <x:f>IF(AND(AE$5&gt;=$G62,AE$5&lt;=$H62),"■","")</x:f>
      </x:c>
      <x:c r="AF62" s="36" t="str">
        <x:f>IF(AND(AF$5&gt;=$G62,AF$5&lt;=$H62),"■","")</x:f>
      </x:c>
      <x:c r="AG62" s="36" t="str">
        <x:f>IF(AND(AG$5&gt;=$G62,AG$5&lt;=$H62),"■","")</x:f>
      </x:c>
      <x:c r="AH62" s="36" t="str">
        <x:f>IF(AND(AH$5&gt;=$G62,AH$5&lt;=$H62),"■","")</x:f>
      </x:c>
      <x:c r="AI62" s="36" t="str">
        <x:f>IF(AND(AI$5&gt;=$G62,AI$5&lt;=$H62),"■","")</x:f>
      </x:c>
      <x:c r="AJ62" s="36" t="str">
        <x:f>IF(AND(AJ$5&gt;=$G62,AJ$5&lt;=$H62),"■","")</x:f>
      </x:c>
      <x:c r="AK62" s="36" t="str">
        <x:f>IF(AND(AK$5&gt;=$G62,AK$5&lt;=$H62),"■","")</x:f>
      </x:c>
      <x:c r="AL62" s="36" t="str">
        <x:f>IF(AND(AL$5&gt;=$G62,AL$5&lt;=$H62),"■","")</x:f>
      </x:c>
      <x:c r="AM62" s="36" t="str">
        <x:f>IF(AND(AM$5&gt;=$G62,AM$5&lt;=$H62),"■","")</x:f>
        <x:v>■</x:v>
      </x:c>
      <x:c r="AN62" s="36" t="str">
        <x:f>IF(AND(AN$5&gt;=$G62,AN$5&lt;=$H62),"■","")</x:f>
      </x:c>
      <x:c r="AO62" s="36" t="str">
        <x:f>IF(AND(AO$5&gt;=$G62,AO$5&lt;=$H62),"■","")</x:f>
      </x:c>
      <x:c r="AP62" s="36" t="str">
        <x:f>IF(AND(AP$5&gt;=$G62,AP$5&lt;=$H62),"■","")</x:f>
      </x:c>
      <x:c r="AQ62" s="36" t="str">
        <x:f>IF(AND(AQ$5&gt;=$G62,AQ$5&lt;=$H62),"■","")</x:f>
      </x:c>
      <x:c r="AR62" s="36" t="str">
        <x:f>IF(AND(AR$5&gt;=$G62,AR$5&lt;=$H62),"■","")</x:f>
      </x:c>
      <x:c r="AS62" s="36" t="str">
        <x:f>IF(AND(AS$5&gt;=$G62,AS$5&lt;=$H62),"■","")</x:f>
      </x:c>
      <x:c r="AT62" s="36" t="str">
        <x:f>IF(AND(AT$5&gt;=$G62,AT$5&lt;=$H62),"■","")</x:f>
      </x:c>
      <x:c r="AU62" s="36" t="str">
        <x:f>IF(AND(AU$5&gt;=$G62,AU$5&lt;=$H62),"■","")</x:f>
      </x:c>
      <x:c r="AV62" s="36" t="str">
        <x:f>IF(AND(AV$5&gt;=$G62,AV$5&lt;=$H62),"■","")</x:f>
      </x:c>
    </x:row>
    <x:row r="63" ht="31" customHeight="1">
      <x:c r="A63" s="37" t="str">
        <x:v>통합·테스트</x:v>
      </x:c>
      <x:c r="B63" s="37" t="str">
        <x:v>7.8</x:v>
      </x:c>
      <x:c r="C63" s="38" t="str">
        <x:v>합성 데이터 모델 편차 점검</x:v>
      </x:c>
      <x:c r="D63" s="38" t="str">
        <x:v>AI 윤리/편향성 점검 결과서(독립 실험)</x:v>
      </x:c>
      <x:c r="E63" s="37" t="str">
        <x:v>윤대성</x:v>
      </x:c>
      <x:c r="F63" s="37" t="str">
        <x:v>대기</x:v>
      </x:c>
      <x:c r="G63" s="39" t="n">
        <x:v>46252.5</x:v>
      </x:c>
      <x:c r="H63" s="39" t="n">
        <x:v>46255.5</x:v>
      </x:c>
      <x:c r="I63" s="39"/>
      <x:c r="J63" s="40" t="n">
        <x:f>IF(F63="완료",100%,IF(F63="검토",90%,IF(F63="진행",60%,IF(F63="진행중",60%,IF(F63="차단",25%,0%)))))</x:f>
        <x:v>0</x:v>
      </x:c>
      <x:c r="K63" s="36" t="str">
        <x:f>IF(AND(K$5&gt;=$G63,K$5&lt;=$H63),"■","")</x:f>
      </x:c>
      <x:c r="L63" s="36" t="str">
        <x:f>IF(AND(L$5&gt;=$G63,L$5&lt;=$H63),"■","")</x:f>
      </x:c>
      <x:c r="M63" s="36" t="str">
        <x:f>IF(AND(M$5&gt;=$G63,M$5&lt;=$H63),"■","")</x:f>
      </x:c>
      <x:c r="N63" s="36" t="str">
        <x:f>IF(AND(N$5&gt;=$G63,N$5&lt;=$H63),"■","")</x:f>
      </x:c>
      <x:c r="O63" s="36" t="str">
        <x:f>IF(AND(O$5&gt;=$G63,O$5&lt;=$H63),"■","")</x:f>
      </x:c>
      <x:c r="P63" s="36" t="str">
        <x:f>IF(AND(P$5&gt;=$G63,P$5&lt;=$H63),"■","")</x:f>
      </x:c>
      <x:c r="Q63" s="36" t="str">
        <x:f>IF(AND(Q$5&gt;=$G63,Q$5&lt;=$H63),"■","")</x:f>
      </x:c>
      <x:c r="R63" s="36" t="str">
        <x:f>IF(AND(R$5&gt;=$G63,R$5&lt;=$H63),"■","")</x:f>
      </x:c>
      <x:c r="S63" s="36" t="str">
        <x:f>IF(AND(S$5&gt;=$G63,S$5&lt;=$H63),"■","")</x:f>
      </x:c>
      <x:c r="T63" s="36" t="str">
        <x:f>IF(AND(T$5&gt;=$G63,T$5&lt;=$H63),"■","")</x:f>
      </x:c>
      <x:c r="U63" s="36" t="str">
        <x:f>IF(AND(U$5&gt;=$G63,U$5&lt;=$H63),"■","")</x:f>
      </x:c>
      <x:c r="V63" s="36" t="str">
        <x:f>IF(AND(V$5&gt;=$G63,V$5&lt;=$H63),"■","")</x:f>
      </x:c>
      <x:c r="W63" s="36" t="str">
        <x:f>IF(AND(W$5&gt;=$G63,W$5&lt;=$H63),"■","")</x:f>
      </x:c>
      <x:c r="X63" s="36" t="str">
        <x:f>IF(AND(X$5&gt;=$G63,X$5&lt;=$H63),"■","")</x:f>
      </x:c>
      <x:c r="Y63" s="36" t="str">
        <x:f>IF(AND(Y$5&gt;=$G63,Y$5&lt;=$H63),"■","")</x:f>
      </x:c>
      <x:c r="Z63" s="36" t="str">
        <x:f>IF(AND(Z$5&gt;=$G63,Z$5&lt;=$H63),"■","")</x:f>
      </x:c>
      <x:c r="AA63" s="36" t="str">
        <x:f>IF(AND(AA$5&gt;=$G63,AA$5&lt;=$H63),"■","")</x:f>
      </x:c>
      <x:c r="AB63" s="36" t="str">
        <x:f>IF(AND(AB$5&gt;=$G63,AB$5&lt;=$H63),"■","")</x:f>
      </x:c>
      <x:c r="AC63" s="36" t="str">
        <x:f>IF(AND(AC$5&gt;=$G63,AC$5&lt;=$H63),"■","")</x:f>
      </x:c>
      <x:c r="AD63" s="36" t="str">
        <x:f>IF(AND(AD$5&gt;=$G63,AD$5&lt;=$H63),"■","")</x:f>
      </x:c>
      <x:c r="AE63" s="36" t="str">
        <x:f>IF(AND(AE$5&gt;=$G63,AE$5&lt;=$H63),"■","")</x:f>
      </x:c>
      <x:c r="AF63" s="36" t="str">
        <x:f>IF(AND(AF$5&gt;=$G63,AF$5&lt;=$H63),"■","")</x:f>
      </x:c>
      <x:c r="AG63" s="36" t="str">
        <x:f>IF(AND(AG$5&gt;=$G63,AG$5&lt;=$H63),"■","")</x:f>
      </x:c>
      <x:c r="AH63" s="36" t="str">
        <x:f>IF(AND(AH$5&gt;=$G63,AH$5&lt;=$H63),"■","")</x:f>
      </x:c>
      <x:c r="AI63" s="36" t="str">
        <x:f>IF(AND(AI$5&gt;=$G63,AI$5&lt;=$H63),"■","")</x:f>
      </x:c>
      <x:c r="AJ63" s="36" t="str">
        <x:f>IF(AND(AJ$5&gt;=$G63,AJ$5&lt;=$H63),"■","")</x:f>
        <x:v>■</x:v>
      </x:c>
      <x:c r="AK63" s="36" t="str">
        <x:f>IF(AND(AK$5&gt;=$G63,AK$5&lt;=$H63),"■","")</x:f>
        <x:v>■</x:v>
      </x:c>
      <x:c r="AL63" s="36" t="str">
        <x:f>IF(AND(AL$5&gt;=$G63,AL$5&lt;=$H63),"■","")</x:f>
        <x:v>■</x:v>
      </x:c>
      <x:c r="AM63" s="36" t="str">
        <x:f>IF(AND(AM$5&gt;=$G63,AM$5&lt;=$H63),"■","")</x:f>
        <x:v>■</x:v>
      </x:c>
      <x:c r="AN63" s="36" t="str">
        <x:f>IF(AND(AN$5&gt;=$G63,AN$5&lt;=$H63),"■","")</x:f>
      </x:c>
      <x:c r="AO63" s="36" t="str">
        <x:f>IF(AND(AO$5&gt;=$G63,AO$5&lt;=$H63),"■","")</x:f>
      </x:c>
      <x:c r="AP63" s="36" t="str">
        <x:f>IF(AND(AP$5&gt;=$G63,AP$5&lt;=$H63),"■","")</x:f>
      </x:c>
      <x:c r="AQ63" s="36" t="str">
        <x:f>IF(AND(AQ$5&gt;=$G63,AQ$5&lt;=$H63),"■","")</x:f>
      </x:c>
      <x:c r="AR63" s="36" t="str">
        <x:f>IF(AND(AR$5&gt;=$G63,AR$5&lt;=$H63),"■","")</x:f>
      </x:c>
      <x:c r="AS63" s="36" t="str">
        <x:f>IF(AND(AS$5&gt;=$G63,AS$5&lt;=$H63),"■","")</x:f>
      </x:c>
      <x:c r="AT63" s="36" t="str">
        <x:f>IF(AND(AT$5&gt;=$G63,AT$5&lt;=$H63),"■","")</x:f>
      </x:c>
      <x:c r="AU63" s="36" t="str">
        <x:f>IF(AND(AU$5&gt;=$G63,AU$5&lt;=$H63),"■","")</x:f>
      </x:c>
      <x:c r="AV63" s="36" t="str">
        <x:f>IF(AND(AV$5&gt;=$G63,AV$5&lt;=$H63),"■","")</x:f>
      </x:c>
    </x:row>
    <x:row r="64" ht="31" customHeight="1">
      <x:c r="A64" s="37" t="str">
        <x:v>최종 발표 준비</x:v>
      </x:c>
      <x:c r="B64" s="37" t="str">
        <x:v>8.1</x:v>
      </x:c>
      <x:c r="C64" s="38" t="str">
        <x:v>최종 발표자료·비즈니스 연계·대본 작성</x:v>
      </x:c>
      <x:c r="D64" s="38" t="str">
        <x:v>최종 발표 PT 자료</x:v>
      </x:c>
      <x:c r="E64" s="37" t="str">
        <x:v>정승</x:v>
      </x:c>
      <x:c r="F64" s="37" t="str">
        <x:v>대기</x:v>
      </x:c>
      <x:c r="G64" s="39" t="n">
        <x:v>46261.5</x:v>
      </x:c>
      <x:c r="H64" s="39" t="n">
        <x:v>46268.5</x:v>
      </x:c>
      <x:c r="I64" s="39" t="n">
        <x:v>46268.5</x:v>
      </x:c>
      <x:c r="J64" s="40" t="n">
        <x:f>IF(F64="완료",100%,IF(F64="검토",90%,IF(F64="진행",60%,IF(F64="진행중",60%,IF(F64="차단",25%,0%)))))</x:f>
        <x:v>0</x:v>
      </x:c>
      <x:c r="K64" s="36" t="str">
        <x:f>IF(AND(K$5&gt;=$G64,K$5&lt;=$H64),"■","")</x:f>
      </x:c>
      <x:c r="L64" s="36" t="str">
        <x:f>IF(AND(L$5&gt;=$G64,L$5&lt;=$H64),"■","")</x:f>
      </x:c>
      <x:c r="M64" s="36" t="str">
        <x:f>IF(AND(M$5&gt;=$G64,M$5&lt;=$H64),"■","")</x:f>
      </x:c>
      <x:c r="N64" s="36" t="str">
        <x:f>IF(AND(N$5&gt;=$G64,N$5&lt;=$H64),"■","")</x:f>
      </x:c>
      <x:c r="O64" s="36" t="str">
        <x:f>IF(AND(O$5&gt;=$G64,O$5&lt;=$H64),"■","")</x:f>
      </x:c>
      <x:c r="P64" s="36" t="str">
        <x:f>IF(AND(P$5&gt;=$G64,P$5&lt;=$H64),"■","")</x:f>
      </x:c>
      <x:c r="Q64" s="36" t="str">
        <x:f>IF(AND(Q$5&gt;=$G64,Q$5&lt;=$H64),"■","")</x:f>
      </x:c>
      <x:c r="R64" s="36" t="str">
        <x:f>IF(AND(R$5&gt;=$G64,R$5&lt;=$H64),"■","")</x:f>
      </x:c>
      <x:c r="S64" s="36" t="str">
        <x:f>IF(AND(S$5&gt;=$G64,S$5&lt;=$H64),"■","")</x:f>
      </x:c>
      <x:c r="T64" s="36" t="str">
        <x:f>IF(AND(T$5&gt;=$G64,T$5&lt;=$H64),"■","")</x:f>
      </x:c>
      <x:c r="U64" s="36" t="str">
        <x:f>IF(AND(U$5&gt;=$G64,U$5&lt;=$H64),"■","")</x:f>
      </x:c>
      <x:c r="V64" s="36" t="str">
        <x:f>IF(AND(V$5&gt;=$G64,V$5&lt;=$H64),"■","")</x:f>
      </x:c>
      <x:c r="W64" s="36" t="str">
        <x:f>IF(AND(W$5&gt;=$G64,W$5&lt;=$H64),"■","")</x:f>
      </x:c>
      <x:c r="X64" s="36" t="str">
        <x:f>IF(AND(X$5&gt;=$G64,X$5&lt;=$H64),"■","")</x:f>
      </x:c>
      <x:c r="Y64" s="36" t="str">
        <x:f>IF(AND(Y$5&gt;=$G64,Y$5&lt;=$H64),"■","")</x:f>
      </x:c>
      <x:c r="Z64" s="36" t="str">
        <x:f>IF(AND(Z$5&gt;=$G64,Z$5&lt;=$H64),"■","")</x:f>
      </x:c>
      <x:c r="AA64" s="36" t="str">
        <x:f>IF(AND(AA$5&gt;=$G64,AA$5&lt;=$H64),"■","")</x:f>
      </x:c>
      <x:c r="AB64" s="36" t="str">
        <x:f>IF(AND(AB$5&gt;=$G64,AB$5&lt;=$H64),"■","")</x:f>
      </x:c>
      <x:c r="AC64" s="36" t="str">
        <x:f>IF(AND(AC$5&gt;=$G64,AC$5&lt;=$H64),"■","")</x:f>
      </x:c>
      <x:c r="AD64" s="36" t="str">
        <x:f>IF(AND(AD$5&gt;=$G64,AD$5&lt;=$H64),"■","")</x:f>
      </x:c>
      <x:c r="AE64" s="36" t="str">
        <x:f>IF(AND(AE$5&gt;=$G64,AE$5&lt;=$H64),"■","")</x:f>
      </x:c>
      <x:c r="AF64" s="36" t="str">
        <x:f>IF(AND(AF$5&gt;=$G64,AF$5&lt;=$H64),"■","")</x:f>
      </x:c>
      <x:c r="AG64" s="36" t="str">
        <x:f>IF(AND(AG$5&gt;=$G64,AG$5&lt;=$H64),"■","")</x:f>
      </x:c>
      <x:c r="AH64" s="36" t="str">
        <x:f>IF(AND(AH$5&gt;=$G64,AH$5&lt;=$H64),"■","")</x:f>
      </x:c>
      <x:c r="AI64" s="36" t="str">
        <x:f>IF(AND(AI$5&gt;=$G64,AI$5&lt;=$H64),"■","")</x:f>
      </x:c>
      <x:c r="AJ64" s="36" t="str">
        <x:f>IF(AND(AJ$5&gt;=$G64,AJ$5&lt;=$H64),"■","")</x:f>
      </x:c>
      <x:c r="AK64" s="36" t="str">
        <x:f>IF(AND(AK$5&gt;=$G64,AK$5&lt;=$H64),"■","")</x:f>
      </x:c>
      <x:c r="AL64" s="36" t="str">
        <x:f>IF(AND(AL$5&gt;=$G64,AL$5&lt;=$H64),"■","")</x:f>
      </x:c>
      <x:c r="AM64" s="36" t="str">
        <x:f>IF(AND(AM$5&gt;=$G64,AM$5&lt;=$H64),"■","")</x:f>
      </x:c>
      <x:c r="AN64" s="36" t="str">
        <x:f>IF(AND(AN$5&gt;=$G64,AN$5&lt;=$H64),"■","")</x:f>
      </x:c>
      <x:c r="AO64" s="36" t="str">
        <x:f>IF(AND(AO$5&gt;=$G64,AO$5&lt;=$H64),"■","")</x:f>
      </x:c>
      <x:c r="AP64" s="36" t="str">
        <x:f>IF(AND(AP$5&gt;=$G64,AP$5&lt;=$H64),"■","")</x:f>
      </x:c>
      <x:c r="AQ64" s="36" t="str">
        <x:f>IF(AND(AQ$5&gt;=$G64,AQ$5&lt;=$H64),"■","")</x:f>
        <x:v>■</x:v>
      </x:c>
      <x:c r="AR64" s="36" t="str">
        <x:f>IF(AND(AR$5&gt;=$G64,AR$5&lt;=$H64),"■","")</x:f>
        <x:v>■</x:v>
      </x:c>
      <x:c r="AS64" s="36" t="str">
        <x:f>IF(AND(AS$5&gt;=$G64,AS$5&lt;=$H64),"■","")</x:f>
        <x:v>■</x:v>
      </x:c>
      <x:c r="AT64" s="36" t="str">
        <x:f>IF(AND(AT$5&gt;=$G64,AT$5&lt;=$H64),"■","")</x:f>
        <x:v>■</x:v>
      </x:c>
      <x:c r="AU64" s="36" t="str">
        <x:f>IF(AND(AU$5&gt;=$G64,AU$5&lt;=$H64),"■","")</x:f>
        <x:v>■</x:v>
      </x:c>
      <x:c r="AV64" s="36" t="str">
        <x:f>IF(AND(AV$5&gt;=$G64,AV$5&lt;=$H64),"■","")</x:f>
        <x:v>■</x:v>
      </x:c>
    </x:row>
    <x:row r="65" ht="31" customHeight="1">
      <x:c r="A65" s="37" t="str">
        <x:v>최종 발표 준비</x:v>
      </x:c>
      <x:c r="B65" s="37" t="str">
        <x:v>8.2</x:v>
      </x:c>
      <x:c r="C65" s="38" t="str">
        <x:v>README·기술문서·소스코드 정리</x:v>
      </x:c>
      <x:c r="D65" s="38" t="str">
        <x:v>프로젝트 개발 소스코드</x:v>
      </x:c>
      <x:c r="E65" s="37" t="str">
        <x:v>김재홍·정승·윤대성</x:v>
      </x:c>
      <x:c r="F65" s="37" t="str">
        <x:v>대기</x:v>
      </x:c>
      <x:c r="G65" s="39" t="n">
        <x:v>46261.5</x:v>
      </x:c>
      <x:c r="H65" s="39" t="n">
        <x:v>46268.5</x:v>
      </x:c>
      <x:c r="I65" s="39" t="n">
        <x:v>46268.5</x:v>
      </x:c>
      <x:c r="J65" s="40" t="n">
        <x:f>IF(F65="완료",100%,IF(F65="검토",90%,IF(F65="진행",60%,IF(F65="진행중",60%,IF(F65="차단",25%,0%)))))</x:f>
        <x:v>0</x:v>
      </x:c>
      <x:c r="K65" s="36" t="str">
        <x:f>IF(AND(K$5&gt;=$G65,K$5&lt;=$H65),"■","")</x:f>
      </x:c>
      <x:c r="L65" s="36" t="str">
        <x:f>IF(AND(L$5&gt;=$G65,L$5&lt;=$H65),"■","")</x:f>
      </x:c>
      <x:c r="M65" s="36" t="str">
        <x:f>IF(AND(M$5&gt;=$G65,M$5&lt;=$H65),"■","")</x:f>
      </x:c>
      <x:c r="N65" s="36" t="str">
        <x:f>IF(AND(N$5&gt;=$G65,N$5&lt;=$H65),"■","")</x:f>
      </x:c>
      <x:c r="O65" s="36" t="str">
        <x:f>IF(AND(O$5&gt;=$G65,O$5&lt;=$H65),"■","")</x:f>
      </x:c>
      <x:c r="P65" s="36" t="str">
        <x:f>IF(AND(P$5&gt;=$G65,P$5&lt;=$H65),"■","")</x:f>
      </x:c>
      <x:c r="Q65" s="36" t="str">
        <x:f>IF(AND(Q$5&gt;=$G65,Q$5&lt;=$H65),"■","")</x:f>
      </x:c>
      <x:c r="R65" s="36" t="str">
        <x:f>IF(AND(R$5&gt;=$G65,R$5&lt;=$H65),"■","")</x:f>
      </x:c>
      <x:c r="S65" s="36" t="str">
        <x:f>IF(AND(S$5&gt;=$G65,S$5&lt;=$H65),"■","")</x:f>
      </x:c>
      <x:c r="T65" s="36" t="str">
        <x:f>IF(AND(T$5&gt;=$G65,T$5&lt;=$H65),"■","")</x:f>
      </x:c>
      <x:c r="U65" s="36" t="str">
        <x:f>IF(AND(U$5&gt;=$G65,U$5&lt;=$H65),"■","")</x:f>
      </x:c>
      <x:c r="V65" s="36" t="str">
        <x:f>IF(AND(V$5&gt;=$G65,V$5&lt;=$H65),"■","")</x:f>
      </x:c>
      <x:c r="W65" s="36" t="str">
        <x:f>IF(AND(W$5&gt;=$G65,W$5&lt;=$H65),"■","")</x:f>
      </x:c>
      <x:c r="X65" s="36" t="str">
        <x:f>IF(AND(X$5&gt;=$G65,X$5&lt;=$H65),"■","")</x:f>
      </x:c>
      <x:c r="Y65" s="36" t="str">
        <x:f>IF(AND(Y$5&gt;=$G65,Y$5&lt;=$H65),"■","")</x:f>
      </x:c>
      <x:c r="Z65" s="36" t="str">
        <x:f>IF(AND(Z$5&gt;=$G65,Z$5&lt;=$H65),"■","")</x:f>
      </x:c>
      <x:c r="AA65" s="36" t="str">
        <x:f>IF(AND(AA$5&gt;=$G65,AA$5&lt;=$H65),"■","")</x:f>
      </x:c>
      <x:c r="AB65" s="36" t="str">
        <x:f>IF(AND(AB$5&gt;=$G65,AB$5&lt;=$H65),"■","")</x:f>
      </x:c>
      <x:c r="AC65" s="36" t="str">
        <x:f>IF(AND(AC$5&gt;=$G65,AC$5&lt;=$H65),"■","")</x:f>
      </x:c>
      <x:c r="AD65" s="36" t="str">
        <x:f>IF(AND(AD$5&gt;=$G65,AD$5&lt;=$H65),"■","")</x:f>
      </x:c>
      <x:c r="AE65" s="36" t="str">
        <x:f>IF(AND(AE$5&gt;=$G65,AE$5&lt;=$H65),"■","")</x:f>
      </x:c>
      <x:c r="AF65" s="36" t="str">
        <x:f>IF(AND(AF$5&gt;=$G65,AF$5&lt;=$H65),"■","")</x:f>
      </x:c>
      <x:c r="AG65" s="36" t="str">
        <x:f>IF(AND(AG$5&gt;=$G65,AG$5&lt;=$H65),"■","")</x:f>
      </x:c>
      <x:c r="AH65" s="36" t="str">
        <x:f>IF(AND(AH$5&gt;=$G65,AH$5&lt;=$H65),"■","")</x:f>
      </x:c>
      <x:c r="AI65" s="36" t="str">
        <x:f>IF(AND(AI$5&gt;=$G65,AI$5&lt;=$H65),"■","")</x:f>
      </x:c>
      <x:c r="AJ65" s="36" t="str">
        <x:f>IF(AND(AJ$5&gt;=$G65,AJ$5&lt;=$H65),"■","")</x:f>
      </x:c>
      <x:c r="AK65" s="36" t="str">
        <x:f>IF(AND(AK$5&gt;=$G65,AK$5&lt;=$H65),"■","")</x:f>
      </x:c>
      <x:c r="AL65" s="36" t="str">
        <x:f>IF(AND(AL$5&gt;=$G65,AL$5&lt;=$H65),"■","")</x:f>
      </x:c>
      <x:c r="AM65" s="36" t="str">
        <x:f>IF(AND(AM$5&gt;=$G65,AM$5&lt;=$H65),"■","")</x:f>
      </x:c>
      <x:c r="AN65" s="36" t="str">
        <x:f>IF(AND(AN$5&gt;=$G65,AN$5&lt;=$H65),"■","")</x:f>
      </x:c>
      <x:c r="AO65" s="36" t="str">
        <x:f>IF(AND(AO$5&gt;=$G65,AO$5&lt;=$H65),"■","")</x:f>
      </x:c>
      <x:c r="AP65" s="36" t="str">
        <x:f>IF(AND(AP$5&gt;=$G65,AP$5&lt;=$H65),"■","")</x:f>
      </x:c>
      <x:c r="AQ65" s="36" t="str">
        <x:f>IF(AND(AQ$5&gt;=$G65,AQ$5&lt;=$H65),"■","")</x:f>
        <x:v>■</x:v>
      </x:c>
      <x:c r="AR65" s="36" t="str">
        <x:f>IF(AND(AR$5&gt;=$G65,AR$5&lt;=$H65),"■","")</x:f>
        <x:v>■</x:v>
      </x:c>
      <x:c r="AS65" s="36" t="str">
        <x:f>IF(AND(AS$5&gt;=$G65,AS$5&lt;=$H65),"■","")</x:f>
        <x:v>■</x:v>
      </x:c>
      <x:c r="AT65" s="36" t="str">
        <x:f>IF(AND(AT$5&gt;=$G65,AT$5&lt;=$H65),"■","")</x:f>
        <x:v>■</x:v>
      </x:c>
      <x:c r="AU65" s="36" t="str">
        <x:f>IF(AND(AU$5&gt;=$G65,AU$5&lt;=$H65),"■","")</x:f>
        <x:v>■</x:v>
      </x:c>
      <x:c r="AV65" s="36" t="str">
        <x:f>IF(AND(AV$5&gt;=$G65,AV$5&lt;=$H65),"■","")</x:f>
        <x:v>■</x:v>
      </x:c>
    </x:row>
    <x:row r="66" ht="31" customHeight="1">
      <x:c r="A66" s="37" t="str">
        <x:v>최종 발표 준비</x:v>
      </x:c>
      <x:c r="B66" s="37" t="str">
        <x:v>8.3</x:v>
      </x:c>
      <x:c r="C66" s="38" t="str">
        <x:v>대표 시나리오 발표 녹화·편집</x:v>
      </x:c>
      <x:c r="D66" s="38" t="str">
        <x:v>시연영상</x:v>
      </x:c>
      <x:c r="E66" s="37" t="str">
        <x:v>정승</x:v>
      </x:c>
      <x:c r="F66" s="37" t="str">
        <x:v>대기</x:v>
      </x:c>
      <x:c r="G66" s="39" t="n">
        <x:v>46265.5</x:v>
      </x:c>
      <x:c r="H66" s="39" t="n">
        <x:v>46267.5</x:v>
      </x:c>
      <x:c r="I66" s="39" t="n">
        <x:v>46268.5</x:v>
      </x:c>
      <x:c r="J66" s="40" t="n">
        <x:f>IF(F66="완료",100%,IF(F66="검토",90%,IF(F66="진행",60%,IF(F66="진행중",60%,IF(F66="차단",25%,0%)))))</x:f>
        <x:v>0</x:v>
      </x:c>
      <x:c r="K66" s="36" t="str">
        <x:f>IF(AND(K$5&gt;=$G66,K$5&lt;=$H66),"■","")</x:f>
      </x:c>
      <x:c r="L66" s="36" t="str">
        <x:f>IF(AND(L$5&gt;=$G66,L$5&lt;=$H66),"■","")</x:f>
      </x:c>
      <x:c r="M66" s="36" t="str">
        <x:f>IF(AND(M$5&gt;=$G66,M$5&lt;=$H66),"■","")</x:f>
      </x:c>
      <x:c r="N66" s="36" t="str">
        <x:f>IF(AND(N$5&gt;=$G66,N$5&lt;=$H66),"■","")</x:f>
      </x:c>
      <x:c r="O66" s="36" t="str">
        <x:f>IF(AND(O$5&gt;=$G66,O$5&lt;=$H66),"■","")</x:f>
      </x:c>
      <x:c r="P66" s="36" t="str">
        <x:f>IF(AND(P$5&gt;=$G66,P$5&lt;=$H66),"■","")</x:f>
      </x:c>
      <x:c r="Q66" s="36" t="str">
        <x:f>IF(AND(Q$5&gt;=$G66,Q$5&lt;=$H66),"■","")</x:f>
      </x:c>
      <x:c r="R66" s="36" t="str">
        <x:f>IF(AND(R$5&gt;=$G66,R$5&lt;=$H66),"■","")</x:f>
      </x:c>
      <x:c r="S66" s="36" t="str">
        <x:f>IF(AND(S$5&gt;=$G66,S$5&lt;=$H66),"■","")</x:f>
      </x:c>
      <x:c r="T66" s="36" t="str">
        <x:f>IF(AND(T$5&gt;=$G66,T$5&lt;=$H66),"■","")</x:f>
      </x:c>
      <x:c r="U66" s="36" t="str">
        <x:f>IF(AND(U$5&gt;=$G66,U$5&lt;=$H66),"■","")</x:f>
      </x:c>
      <x:c r="V66" s="36" t="str">
        <x:f>IF(AND(V$5&gt;=$G66,V$5&lt;=$H66),"■","")</x:f>
      </x:c>
      <x:c r="W66" s="36" t="str">
        <x:f>IF(AND(W$5&gt;=$G66,W$5&lt;=$H66),"■","")</x:f>
      </x:c>
      <x:c r="X66" s="36" t="str">
        <x:f>IF(AND(X$5&gt;=$G66,X$5&lt;=$H66),"■","")</x:f>
      </x:c>
      <x:c r="Y66" s="36" t="str">
        <x:f>IF(AND(Y$5&gt;=$G66,Y$5&lt;=$H66),"■","")</x:f>
      </x:c>
      <x:c r="Z66" s="36" t="str">
        <x:f>IF(AND(Z$5&gt;=$G66,Z$5&lt;=$H66),"■","")</x:f>
      </x:c>
      <x:c r="AA66" s="36" t="str">
        <x:f>IF(AND(AA$5&gt;=$G66,AA$5&lt;=$H66),"■","")</x:f>
      </x:c>
      <x:c r="AB66" s="36" t="str">
        <x:f>IF(AND(AB$5&gt;=$G66,AB$5&lt;=$H66),"■","")</x:f>
      </x:c>
      <x:c r="AC66" s="36" t="str">
        <x:f>IF(AND(AC$5&gt;=$G66,AC$5&lt;=$H66),"■","")</x:f>
      </x:c>
      <x:c r="AD66" s="36" t="str">
        <x:f>IF(AND(AD$5&gt;=$G66,AD$5&lt;=$H66),"■","")</x:f>
      </x:c>
      <x:c r="AE66" s="36" t="str">
        <x:f>IF(AND(AE$5&gt;=$G66,AE$5&lt;=$H66),"■","")</x:f>
      </x:c>
      <x:c r="AF66" s="36" t="str">
        <x:f>IF(AND(AF$5&gt;=$G66,AF$5&lt;=$H66),"■","")</x:f>
      </x:c>
      <x:c r="AG66" s="36" t="str">
        <x:f>IF(AND(AG$5&gt;=$G66,AG$5&lt;=$H66),"■","")</x:f>
      </x:c>
      <x:c r="AH66" s="36" t="str">
        <x:f>IF(AND(AH$5&gt;=$G66,AH$5&lt;=$H66),"■","")</x:f>
      </x:c>
      <x:c r="AI66" s="36" t="str">
        <x:f>IF(AND(AI$5&gt;=$G66,AI$5&lt;=$H66),"■","")</x:f>
      </x:c>
      <x:c r="AJ66" s="36" t="str">
        <x:f>IF(AND(AJ$5&gt;=$G66,AJ$5&lt;=$H66),"■","")</x:f>
      </x:c>
      <x:c r="AK66" s="36" t="str">
        <x:f>IF(AND(AK$5&gt;=$G66,AK$5&lt;=$H66),"■","")</x:f>
      </x:c>
      <x:c r="AL66" s="36" t="str">
        <x:f>IF(AND(AL$5&gt;=$G66,AL$5&lt;=$H66),"■","")</x:f>
      </x:c>
      <x:c r="AM66" s="36" t="str">
        <x:f>IF(AND(AM$5&gt;=$G66,AM$5&lt;=$H66),"■","")</x:f>
      </x:c>
      <x:c r="AN66" s="36" t="str">
        <x:f>IF(AND(AN$5&gt;=$G66,AN$5&lt;=$H66),"■","")</x:f>
      </x:c>
      <x:c r="AO66" s="36" t="str">
        <x:f>IF(AND(AO$5&gt;=$G66,AO$5&lt;=$H66),"■","")</x:f>
      </x:c>
      <x:c r="AP66" s="36" t="str">
        <x:f>IF(AND(AP$5&gt;=$G66,AP$5&lt;=$H66),"■","")</x:f>
      </x:c>
      <x:c r="AQ66" s="36" t="str">
        <x:f>IF(AND(AQ$5&gt;=$G66,AQ$5&lt;=$H66),"■","")</x:f>
      </x:c>
      <x:c r="AR66" s="36" t="str">
        <x:f>IF(AND(AR$5&gt;=$G66,AR$5&lt;=$H66),"■","")</x:f>
      </x:c>
      <x:c r="AS66" s="36" t="str">
        <x:f>IF(AND(AS$5&gt;=$G66,AS$5&lt;=$H66),"■","")</x:f>
        <x:v>■</x:v>
      </x:c>
      <x:c r="AT66" s="36" t="str">
        <x:f>IF(AND(AT$5&gt;=$G66,AT$5&lt;=$H66),"■","")</x:f>
        <x:v>■</x:v>
      </x:c>
      <x:c r="AU66" s="36" t="str">
        <x:f>IF(AND(AU$5&gt;=$G66,AU$5&lt;=$H66),"■","")</x:f>
        <x:v>■</x:v>
      </x:c>
      <x:c r="AV66" s="36" t="str">
        <x:f>IF(AND(AV$5&gt;=$G66,AV$5&lt;=$H66),"■","")</x:f>
      </x:c>
    </x:row>
    <x:row r="67" ht="31" customHeight="1">
      <x:c r="A67" s="37" t="str">
        <x:v>최종 발표 준비</x:v>
      </x:c>
      <x:c r="B67" s="37" t="str">
        <x:v>8.4</x:v>
      </x:c>
      <x:c r="C67" s="38" t="str">
        <x:v>Golden Path 연속 5회·기술 시연 점검</x:v>
      </x:c>
      <x:c r="D67" s="38" t="str">
        <x:v>최종 안정화 evidence</x:v>
      </x:c>
      <x:c r="E67" s="37" t="str">
        <x:v>전원</x:v>
      </x:c>
      <x:c r="F67" s="37" t="str">
        <x:v>대기</x:v>
      </x:c>
      <x:c r="G67" s="39" t="n">
        <x:v>46265.5</x:v>
      </x:c>
      <x:c r="H67" s="39" t="n">
        <x:v>46267.5</x:v>
      </x:c>
      <x:c r="I67" s="39"/>
      <x:c r="J67" s="40" t="n">
        <x:f>IF(F67="완료",100%,IF(F67="검토",90%,IF(F67="진행",60%,IF(F67="진행중",60%,IF(F67="차단",25%,0%)))))</x:f>
        <x:v>0</x:v>
      </x:c>
      <x:c r="K67" s="36" t="str">
        <x:f>IF(AND(K$5&gt;=$G67,K$5&lt;=$H67),"■","")</x:f>
      </x:c>
      <x:c r="L67" s="36" t="str">
        <x:f>IF(AND(L$5&gt;=$G67,L$5&lt;=$H67),"■","")</x:f>
      </x:c>
      <x:c r="M67" s="36" t="str">
        <x:f>IF(AND(M$5&gt;=$G67,M$5&lt;=$H67),"■","")</x:f>
      </x:c>
      <x:c r="N67" s="36" t="str">
        <x:f>IF(AND(N$5&gt;=$G67,N$5&lt;=$H67),"■","")</x:f>
      </x:c>
      <x:c r="O67" s="36" t="str">
        <x:f>IF(AND(O$5&gt;=$G67,O$5&lt;=$H67),"■","")</x:f>
      </x:c>
      <x:c r="P67" s="36" t="str">
        <x:f>IF(AND(P$5&gt;=$G67,P$5&lt;=$H67),"■","")</x:f>
      </x:c>
      <x:c r="Q67" s="36" t="str">
        <x:f>IF(AND(Q$5&gt;=$G67,Q$5&lt;=$H67),"■","")</x:f>
      </x:c>
      <x:c r="R67" s="36" t="str">
        <x:f>IF(AND(R$5&gt;=$G67,R$5&lt;=$H67),"■","")</x:f>
      </x:c>
      <x:c r="S67" s="36" t="str">
        <x:f>IF(AND(S$5&gt;=$G67,S$5&lt;=$H67),"■","")</x:f>
      </x:c>
      <x:c r="T67" s="36" t="str">
        <x:f>IF(AND(T$5&gt;=$G67,T$5&lt;=$H67),"■","")</x:f>
      </x:c>
      <x:c r="U67" s="36" t="str">
        <x:f>IF(AND(U$5&gt;=$G67,U$5&lt;=$H67),"■","")</x:f>
      </x:c>
      <x:c r="V67" s="36" t="str">
        <x:f>IF(AND(V$5&gt;=$G67,V$5&lt;=$H67),"■","")</x:f>
      </x:c>
      <x:c r="W67" s="36" t="str">
        <x:f>IF(AND(W$5&gt;=$G67,W$5&lt;=$H67),"■","")</x:f>
      </x:c>
      <x:c r="X67" s="36" t="str">
        <x:f>IF(AND(X$5&gt;=$G67,X$5&lt;=$H67),"■","")</x:f>
      </x:c>
      <x:c r="Y67" s="36" t="str">
        <x:f>IF(AND(Y$5&gt;=$G67,Y$5&lt;=$H67),"■","")</x:f>
      </x:c>
      <x:c r="Z67" s="36" t="str">
        <x:f>IF(AND(Z$5&gt;=$G67,Z$5&lt;=$H67),"■","")</x:f>
      </x:c>
      <x:c r="AA67" s="36" t="str">
        <x:f>IF(AND(AA$5&gt;=$G67,AA$5&lt;=$H67),"■","")</x:f>
      </x:c>
      <x:c r="AB67" s="36" t="str">
        <x:f>IF(AND(AB$5&gt;=$G67,AB$5&lt;=$H67),"■","")</x:f>
      </x:c>
      <x:c r="AC67" s="36" t="str">
        <x:f>IF(AND(AC$5&gt;=$G67,AC$5&lt;=$H67),"■","")</x:f>
      </x:c>
      <x:c r="AD67" s="36" t="str">
        <x:f>IF(AND(AD$5&gt;=$G67,AD$5&lt;=$H67),"■","")</x:f>
      </x:c>
      <x:c r="AE67" s="36" t="str">
        <x:f>IF(AND(AE$5&gt;=$G67,AE$5&lt;=$H67),"■","")</x:f>
      </x:c>
      <x:c r="AF67" s="36" t="str">
        <x:f>IF(AND(AF$5&gt;=$G67,AF$5&lt;=$H67),"■","")</x:f>
      </x:c>
      <x:c r="AG67" s="36" t="str">
        <x:f>IF(AND(AG$5&gt;=$G67,AG$5&lt;=$H67),"■","")</x:f>
      </x:c>
      <x:c r="AH67" s="36" t="str">
        <x:f>IF(AND(AH$5&gt;=$G67,AH$5&lt;=$H67),"■","")</x:f>
      </x:c>
      <x:c r="AI67" s="36" t="str">
        <x:f>IF(AND(AI$5&gt;=$G67,AI$5&lt;=$H67),"■","")</x:f>
      </x:c>
      <x:c r="AJ67" s="36" t="str">
        <x:f>IF(AND(AJ$5&gt;=$G67,AJ$5&lt;=$H67),"■","")</x:f>
      </x:c>
      <x:c r="AK67" s="36" t="str">
        <x:f>IF(AND(AK$5&gt;=$G67,AK$5&lt;=$H67),"■","")</x:f>
      </x:c>
      <x:c r="AL67" s="36" t="str">
        <x:f>IF(AND(AL$5&gt;=$G67,AL$5&lt;=$H67),"■","")</x:f>
      </x:c>
      <x:c r="AM67" s="36" t="str">
        <x:f>IF(AND(AM$5&gt;=$G67,AM$5&lt;=$H67),"■","")</x:f>
      </x:c>
      <x:c r="AN67" s="36" t="str">
        <x:f>IF(AND(AN$5&gt;=$G67,AN$5&lt;=$H67),"■","")</x:f>
      </x:c>
      <x:c r="AO67" s="36" t="str">
        <x:f>IF(AND(AO$5&gt;=$G67,AO$5&lt;=$H67),"■","")</x:f>
      </x:c>
      <x:c r="AP67" s="36" t="str">
        <x:f>IF(AND(AP$5&gt;=$G67,AP$5&lt;=$H67),"■","")</x:f>
      </x:c>
      <x:c r="AQ67" s="36" t="str">
        <x:f>IF(AND(AQ$5&gt;=$G67,AQ$5&lt;=$H67),"■","")</x:f>
      </x:c>
      <x:c r="AR67" s="36" t="str">
        <x:f>IF(AND(AR$5&gt;=$G67,AR$5&lt;=$H67),"■","")</x:f>
      </x:c>
      <x:c r="AS67" s="36" t="str">
        <x:f>IF(AND(AS$5&gt;=$G67,AS$5&lt;=$H67),"■","")</x:f>
        <x:v>■</x:v>
      </x:c>
      <x:c r="AT67" s="36" t="str">
        <x:f>IF(AND(AT$5&gt;=$G67,AT$5&lt;=$H67),"■","")</x:f>
        <x:v>■</x:v>
      </x:c>
      <x:c r="AU67" s="36" t="str">
        <x:f>IF(AND(AU$5&gt;=$G67,AU$5&lt;=$H67),"■","")</x:f>
        <x:v>■</x:v>
      </x:c>
      <x:c r="AV67" s="36" t="str">
        <x:f>IF(AND(AV$5&gt;=$G67,AV$5&lt;=$H67),"■","")</x:f>
      </x:c>
    </x:row>
    <x:row r="68" ht="31" customHeight="1">
      <x:c r="A68" s="37" t="str">
        <x:v>최종 발표 준비</x:v>
      </x:c>
      <x:c r="B68" s="37" t="str">
        <x:v>8.5</x:v>
      </x:c>
      <x:c r="C68" s="38" t="str">
        <x:v>최종 발표·발표자료 제출</x:v>
      </x:c>
      <x:c r="D68" s="38" t="str">
        <x:v>최종 발표</x:v>
      </x:c>
      <x:c r="E68" s="37" t="str">
        <x:v>정승</x:v>
      </x:c>
      <x:c r="F68" s="37" t="str">
        <x:v>대기</x:v>
      </x:c>
      <x:c r="G68" s="39" t="n">
        <x:v>46268.5</x:v>
      </x:c>
      <x:c r="H68" s="39" t="n">
        <x:v>46268.5</x:v>
      </x:c>
      <x:c r="I68" s="39"/>
      <x:c r="J68" s="40" t="n">
        <x:f>IF(F68="완료",100%,IF(F68="검토",90%,IF(F68="진행",60%,IF(F68="진행중",60%,IF(F68="차단",25%,0%)))))</x:f>
        <x:v>0</x:v>
      </x:c>
      <x:c r="K68" s="36" t="str">
        <x:f>IF(AND(K$5&gt;=$G68,K$5&lt;=$H68),"■","")</x:f>
      </x:c>
      <x:c r="L68" s="36" t="str">
        <x:f>IF(AND(L$5&gt;=$G68,L$5&lt;=$H68),"■","")</x:f>
      </x:c>
      <x:c r="M68" s="36" t="str">
        <x:f>IF(AND(M$5&gt;=$G68,M$5&lt;=$H68),"■","")</x:f>
      </x:c>
      <x:c r="N68" s="36" t="str">
        <x:f>IF(AND(N$5&gt;=$G68,N$5&lt;=$H68),"■","")</x:f>
      </x:c>
      <x:c r="O68" s="36" t="str">
        <x:f>IF(AND(O$5&gt;=$G68,O$5&lt;=$H68),"■","")</x:f>
      </x:c>
      <x:c r="P68" s="36" t="str">
        <x:f>IF(AND(P$5&gt;=$G68,P$5&lt;=$H68),"■","")</x:f>
      </x:c>
      <x:c r="Q68" s="36" t="str">
        <x:f>IF(AND(Q$5&gt;=$G68,Q$5&lt;=$H68),"■","")</x:f>
      </x:c>
      <x:c r="R68" s="36" t="str">
        <x:f>IF(AND(R$5&gt;=$G68,R$5&lt;=$H68),"■","")</x:f>
      </x:c>
      <x:c r="S68" s="36" t="str">
        <x:f>IF(AND(S$5&gt;=$G68,S$5&lt;=$H68),"■","")</x:f>
      </x:c>
      <x:c r="T68" s="36" t="str">
        <x:f>IF(AND(T$5&gt;=$G68,T$5&lt;=$H68),"■","")</x:f>
      </x:c>
      <x:c r="U68" s="36" t="str">
        <x:f>IF(AND(U$5&gt;=$G68,U$5&lt;=$H68),"■","")</x:f>
      </x:c>
      <x:c r="V68" s="36" t="str">
        <x:f>IF(AND(V$5&gt;=$G68,V$5&lt;=$H68),"■","")</x:f>
      </x:c>
      <x:c r="W68" s="36" t="str">
        <x:f>IF(AND(W$5&gt;=$G68,W$5&lt;=$H68),"■","")</x:f>
      </x:c>
      <x:c r="X68" s="36" t="str">
        <x:f>IF(AND(X$5&gt;=$G68,X$5&lt;=$H68),"■","")</x:f>
      </x:c>
      <x:c r="Y68" s="36" t="str">
        <x:f>IF(AND(Y$5&gt;=$G68,Y$5&lt;=$H68),"■","")</x:f>
      </x:c>
      <x:c r="Z68" s="36" t="str">
        <x:f>IF(AND(Z$5&gt;=$G68,Z$5&lt;=$H68),"■","")</x:f>
      </x:c>
      <x:c r="AA68" s="36" t="str">
        <x:f>IF(AND(AA$5&gt;=$G68,AA$5&lt;=$H68),"■","")</x:f>
      </x:c>
      <x:c r="AB68" s="36" t="str">
        <x:f>IF(AND(AB$5&gt;=$G68,AB$5&lt;=$H68),"■","")</x:f>
      </x:c>
      <x:c r="AC68" s="36" t="str">
        <x:f>IF(AND(AC$5&gt;=$G68,AC$5&lt;=$H68),"■","")</x:f>
      </x:c>
      <x:c r="AD68" s="36" t="str">
        <x:f>IF(AND(AD$5&gt;=$G68,AD$5&lt;=$H68),"■","")</x:f>
      </x:c>
      <x:c r="AE68" s="36" t="str">
        <x:f>IF(AND(AE$5&gt;=$G68,AE$5&lt;=$H68),"■","")</x:f>
      </x:c>
      <x:c r="AF68" s="36" t="str">
        <x:f>IF(AND(AF$5&gt;=$G68,AF$5&lt;=$H68),"■","")</x:f>
      </x:c>
      <x:c r="AG68" s="36" t="str">
        <x:f>IF(AND(AG$5&gt;=$G68,AG$5&lt;=$H68),"■","")</x:f>
      </x:c>
      <x:c r="AH68" s="36" t="str">
        <x:f>IF(AND(AH$5&gt;=$G68,AH$5&lt;=$H68),"■","")</x:f>
      </x:c>
      <x:c r="AI68" s="36" t="str">
        <x:f>IF(AND(AI$5&gt;=$G68,AI$5&lt;=$H68),"■","")</x:f>
      </x:c>
      <x:c r="AJ68" s="36" t="str">
        <x:f>IF(AND(AJ$5&gt;=$G68,AJ$5&lt;=$H68),"■","")</x:f>
      </x:c>
      <x:c r="AK68" s="36" t="str">
        <x:f>IF(AND(AK$5&gt;=$G68,AK$5&lt;=$H68),"■","")</x:f>
      </x:c>
      <x:c r="AL68" s="36" t="str">
        <x:f>IF(AND(AL$5&gt;=$G68,AL$5&lt;=$H68),"■","")</x:f>
      </x:c>
      <x:c r="AM68" s="36" t="str">
        <x:f>IF(AND(AM$5&gt;=$G68,AM$5&lt;=$H68),"■","")</x:f>
      </x:c>
      <x:c r="AN68" s="36" t="str">
        <x:f>IF(AND(AN$5&gt;=$G68,AN$5&lt;=$H68),"■","")</x:f>
      </x:c>
      <x:c r="AO68" s="36" t="str">
        <x:f>IF(AND(AO$5&gt;=$G68,AO$5&lt;=$H68),"■","")</x:f>
      </x:c>
      <x:c r="AP68" s="36" t="str">
        <x:f>IF(AND(AP$5&gt;=$G68,AP$5&lt;=$H68),"■","")</x:f>
      </x:c>
      <x:c r="AQ68" s="36" t="str">
        <x:f>IF(AND(AQ$5&gt;=$G68,AQ$5&lt;=$H68),"■","")</x:f>
      </x:c>
      <x:c r="AR68" s="36" t="str">
        <x:f>IF(AND(AR$5&gt;=$G68,AR$5&lt;=$H68),"■","")</x:f>
      </x:c>
      <x:c r="AS68" s="36" t="str">
        <x:f>IF(AND(AS$5&gt;=$G68,AS$5&lt;=$H68),"■","")</x:f>
      </x:c>
      <x:c r="AT68" s="36" t="str">
        <x:f>IF(AND(AT$5&gt;=$G68,AT$5&lt;=$H68),"■","")</x:f>
      </x:c>
      <x:c r="AU68" s="36" t="str">
        <x:f>IF(AND(AU$5&gt;=$G68,AU$5&lt;=$H68),"■","")</x:f>
      </x:c>
      <x:c r="AV68" s="36" t="str">
        <x:f>IF(AND(AV$5&gt;=$G68,AV$5&lt;=$H68),"■","")</x:f>
        <x:v>■</x:v>
      </x:c>
    </x:row>
  </x:sheetData>
  <x:mergeCells>
    <x:mergeCell ref="A1:AV1"/>
    <x:mergeCell ref="A2:AV2"/>
    <x:mergeCell ref="A3:AV3"/>
    <x:mergeCell ref="K4:AV4"/>
  </x:mergeCells>
  <x:conditionalFormatting sqref="A6:A68">
    <x:cfRule type="containsText" dxfId="0" priority="1" operator="containsText" text="기획 및 설계"/>
    <x:cfRule type="containsText" dxfId="1" priority="2" operator="containsText" text="데이터 수집·전처리·DB"/>
    <x:cfRule type="containsText" dxfId="2" priority="3" operator="containsText" text="AI·NLP 분석"/>
    <x:cfRule type="containsText" dxfId="3" priority="4" operator="containsText" text="프로토타입·중간발표"/>
    <x:cfRule type="containsText" dxfId="4" priority="5" operator="containsText" text="운영 분석 엔진"/>
    <x:cfRule type="containsText" dxfId="5" priority="6" operator="containsText" text="Agent·화면·리포트"/>
    <x:cfRule type="containsText" dxfId="6" priority="7" operator="containsText" text="통합·테스트"/>
    <x:cfRule type="containsText" dxfId="7" priority="8" operator="containsText" text="최종 발표 준비"/>
  </x:conditionalFormatting>
  <x:conditionalFormatting sqref="F6:F68">
    <x:cfRule type="containsText" dxfId="8" priority="9" operator="containsText" text="완료"/>
    <x:cfRule type="containsText" dxfId="9" priority="10" operator="containsText" text="검토"/>
    <x:cfRule type="containsText" dxfId="10" priority="11" operator="containsText" text="진행"/>
    <x:cfRule type="containsText" dxfId="11" priority="12" operator="containsText" text="차단"/>
  </x:conditionalFormatting>
  <x:conditionalFormatting sqref="K6:AV68">
    <x:cfRule type="containsText" dxfId="12" priority="13" operator="containsText" text="■"/>
  </x:conditionalFormatting>
  <x:conditionalFormatting sqref="I6:I68">
    <x:cfRule type="notContainsBlanks" dxfId="13" priority="14"/>
  </x:conditionalFormatting>
  <x:conditionalFormatting sqref="J6:J68">
    <x:cfRule type="dataBar" priority="15">
      <x:dataBar>
        <x:cfvo type="min"/>
        <x:cfvo type="max"/>
        <x:color rgb="FF63BE7B"/>
      </x:dataBar>
      <x:extLst>
        <x:ext xmlns:x14="http://schemas.microsoft.com/office/spreadsheetml/2009/9/main" uri="{B025F937-C7B1-47D3-B67F-A62EFF666E3E}">
          <x14:id>{09974070-64E5-4082-A99E-98DD7CFB0C84}</x14:id>
        </x:ext>
      </x:extLst>
    </x:cfRule>
  </x:conditionalFormatting>
  <x:dataValidations count="3">
    <x:dataValidation type="list" sqref="A6:A68">
      <x:formula1>"기획 및 설계,데이터 수집·전처리·DB,AI·NLP 분석,프로토타입·중간발표,운영 분석 엔진,Agent·화면·리포트,통합·테스트,최종 발표 준비"</x:formula1>
    </x:dataValidation>
    <x:dataValidation type="list" sqref="E6:E68">
      <x:formula1>"전원,박준희·송민지,송민지,박준희·김재홍·정승·윤대성,정승·윤대성,정승,정승·김재홍,김재홍·정승,박준희·정승,윤대성,김재홍,윤대성·정승,송민지·박준희,박준희,윤대성·정승·박준희,김재홍·윤대성,윤대성·김재홍·박준희,송민지·김재홍,김재홍·윤대성·송민지·박준희,윤대성·박준희,윤대성·김재홍,박준희·김재홍,박준희·김재홍·송민지,송민지·김재홍·정승·윤대성,박준희·윤대성·김재홍,김재홍·정승·윤대성"</x:formula1>
    </x:dataValidation>
    <x:dataValidation type="list" sqref="F6:F68">
      <x:formula1>"대기,진행,진행중,검토,차단,완료,취소"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5" id="{09974070-64E5-4082-A99E-98DD7CFB0C84}">
            <x14:dataBar gradient="1">
              <x14:cfvo type="min"/>
              <x14:cfvo type="max"/>
              <x14:fillColor rgb="FF63BE7B"/>
            </x14:dataBar>
          </x14:cfRule>
          <xm:sqref>J6:J68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.380001068115234" hidden="0" customWidth="1"/>
    <x:col min="2" max="2" width="34" hidden="0" customWidth="1"/>
    <x:col min="3" max="3" width="9.5" hidden="0" customWidth="1"/>
    <x:col min="4" max="4" width="7.25" hidden="0" customWidth="1"/>
    <x:col min="5" max="5" width="8.130000114440918" hidden="0" customWidth="1"/>
    <x:col min="6" max="6" width="28" hidden="0" customWidth="1"/>
    <x:col min="7" max="7" width="7.25" hidden="0" customWidth="1"/>
    <x:col min="8" max="8" width="20" hidden="0" customWidth="1"/>
  </x:cols>
  <x:sheetData>
    <x:row r="1">
      <x:c r="A1" s="45" t="str">
        <x:v>공식 산출물 21건 + 옵션 1건 제출 일정</x:v>
      </x:c>
      <x:c r="B1" s="45"/>
      <x:c r="C1" s="45"/>
      <x:c r="D1" s="45"/>
      <x:c r="E1" s="45"/>
      <x:c r="F1" s="45"/>
      <x:c r="G1" s="45"/>
      <x:c r="H1" s="45"/>
    </x:row>
    <x:row r="2">
      <x:c r="A2" s="48" t="str">
        <x:v>출처: docs/markdown/02_WBS.md · 공식 제출일 우선</x:v>
      </x:c>
      <x:c r="B2" s="48"/>
      <x:c r="C2" s="48"/>
      <x:c r="D2" s="48"/>
      <x:c r="E2" s="48"/>
      <x:c r="F2" s="48"/>
      <x:c r="G2" s="48"/>
      <x:c r="H2" s="48"/>
    </x:row>
    <x:row r="4">
      <x:c r="A4" s="52" t="str">
        <x:v>단계</x:v>
      </x:c>
      <x:c r="B4" s="52" t="str">
        <x:v>산출물</x:v>
      </x:c>
      <x:c r="C4" s="52" t="str">
        <x:v>공식 제출일</x:v>
      </x:c>
      <x:c r="D4" s="52" t="str">
        <x:v>내부검토</x:v>
      </x:c>
      <x:c r="E4" s="52" t="str">
        <x:v>연결 WBS</x:v>
      </x:c>
      <x:c r="F4" s="52" t="str">
        <x:v>담당자</x:v>
      </x:c>
      <x:c r="G4" s="52" t="str">
        <x:v>진행현황</x:v>
      </x:c>
      <x:c r="H4" s="52" t="str">
        <x:v>비고</x:v>
      </x:c>
    </x:row>
    <x:row r="5">
      <x:c r="A5" s="55" t="str">
        <x:v>모델 배포</x:v>
      </x:c>
      <x:c r="B5" s="55" t="str">
        <x:v>요구사항 정의서</x:v>
      </x:c>
      <x:c r="C5" s="56" t="n">
        <x:v>46219.5</x:v>
      </x:c>
      <x:c r="D5" s="56" t="n">
        <x:v>46218.5</x:v>
      </x:c>
      <x:c r="E5" s="55" t="str">
        <x:v>1.3</x:v>
      </x:c>
      <x:c r="F5" s="55" t="str">
        <x:v>박준희·송민지</x:v>
      </x:c>
      <x:c r="G5" s="55" t="str">
        <x:v>검토</x:v>
      </x:c>
      <x:c r="H5" s="55" t="str"/>
    </x:row>
    <x:row r="6">
      <x:c r="A6" s="55" t="str">
        <x:v>기획</x:v>
      </x:c>
      <x:c r="B6" s="55" t="str">
        <x:v>WBS</x:v>
      </x:c>
      <x:c r="C6" s="56" t="n">
        <x:v>46219.5</x:v>
      </x:c>
      <x:c r="D6" s="56" t="n">
        <x:v>46218.5</x:v>
      </x:c>
      <x:c r="E6" s="55" t="str">
        <x:v>1.4</x:v>
      </x:c>
      <x:c r="F6" s="55" t="str">
        <x:v>송민지</x:v>
      </x:c>
      <x:c r="G6" s="55" t="str">
        <x:v>완료</x:v>
      </x:c>
      <x:c r="H6" s="55" t="str"/>
    </x:row>
    <x:row r="7">
      <x:c r="A7" s="55" t="str">
        <x:v>기획</x:v>
      </x:c>
      <x:c r="B7" s="55" t="str">
        <x:v>프로젝트 기획서</x:v>
      </x:c>
      <x:c r="C7" s="56" t="n">
        <x:v>46227.5</x:v>
      </x:c>
      <x:c r="D7" s="56" t="n">
        <x:v>46226.5</x:v>
      </x:c>
      <x:c r="E7" s="55" t="str">
        <x:v>1.5</x:v>
      </x:c>
      <x:c r="F7" s="55" t="str">
        <x:v>박준희·송민지</x:v>
      </x:c>
      <x:c r="G7" s="55" t="str">
        <x:v>검토</x:v>
      </x:c>
      <x:c r="H7" s="55" t="str"/>
    </x:row>
    <x:row r="8">
      <x:c r="A8" s="55" t="str">
        <x:v>데이터 수집 및 저장</x:v>
      </x:c>
      <x:c r="B8" s="55" t="str">
        <x:v>수집 데이터 보고서</x:v>
      </x:c>
      <x:c r="C8" s="56" t="n">
        <x:v>46227.5</x:v>
      </x:c>
      <x:c r="D8" s="56" t="n">
        <x:v>46226.5</x:v>
      </x:c>
      <x:c r="E8" s="55" t="str">
        <x:v>2.4</x:v>
      </x:c>
      <x:c r="F8" s="55" t="str">
        <x:v>정승</x:v>
      </x:c>
      <x:c r="G8" s="55" t="str">
        <x:v>대기</x:v>
      </x:c>
      <x:c r="H8" s="55" t="str"/>
    </x:row>
    <x:row r="9">
      <x:c r="A9" s="55" t="str">
        <x:v>모델 배포</x:v>
      </x:c>
      <x:c r="B9" s="55" t="str">
        <x:v>화면설계서</x:v>
      </x:c>
      <x:c r="C9" s="56" t="n">
        <x:v>46227.5</x:v>
      </x:c>
      <x:c r="D9" s="56" t="n">
        <x:v>46226.5</x:v>
      </x:c>
      <x:c r="E9" s="55" t="str">
        <x:v>1.6</x:v>
      </x:c>
      <x:c r="F9" s="55" t="str">
        <x:v>송민지</x:v>
      </x:c>
      <x:c r="G9" s="55" t="str">
        <x:v>대기</x:v>
      </x:c>
      <x:c r="H9" s="55" t="str"/>
    </x:row>
    <x:row r="10">
      <x:c r="A10" s="55" t="str">
        <x:v>데이터 수집 및 저장</x:v>
      </x:c>
      <x:c r="B10" s="55" t="str">
        <x:v>데이터베이스/저장소 설계 문서</x:v>
      </x:c>
      <x:c r="C10" s="56" t="n">
        <x:v>46234.5</x:v>
      </x:c>
      <x:c r="D10" s="56" t="n">
        <x:v>46233.5</x:v>
      </x:c>
      <x:c r="E10" s="55" t="str">
        <x:v>2.8</x:v>
      </x:c>
      <x:c r="F10" s="55" t="str">
        <x:v>정승·김재홍</x:v>
      </x:c>
      <x:c r="G10" s="55" t="str">
        <x:v>대기</x:v>
      </x:c>
      <x:c r="H10" s="55" t="str"/>
    </x:row>
    <x:row r="11">
      <x:c r="A11" s="55" t="str">
        <x:v>데이터 전처리</x:v>
      </x:c>
      <x:c r="B11" s="55" t="str">
        <x:v>데이터 전처리 결과서</x:v>
      </x:c>
      <x:c r="C11" s="56" t="n">
        <x:v>46234.5</x:v>
      </x:c>
      <x:c r="D11" s="56" t="n">
        <x:v>46233.5</x:v>
      </x:c>
      <x:c r="E11" s="55" t="str">
        <x:v>2.6</x:v>
      </x:c>
      <x:c r="F11" s="55" t="str">
        <x:v>정승</x:v>
      </x:c>
      <x:c r="G11" s="55" t="str">
        <x:v>대기</x:v>
      </x:c>
      <x:c r="H11" s="55" t="str"/>
    </x:row>
    <x:row r="12">
      <x:c r="A12" s="55" t="str">
        <x:v>발표 및 시연</x:v>
      </x:c>
      <x:c r="B12" s="55" t="str">
        <x:v>중간 발표 PT 자료</x:v>
      </x:c>
      <x:c r="C12" s="56" t="n">
        <x:v>46240.5</x:v>
      </x:c>
      <x:c r="D12" s="56" t="n">
        <x:v>46239.5</x:v>
      </x:c>
      <x:c r="E12" s="55" t="str">
        <x:v>4.3</x:v>
      </x:c>
      <x:c r="F12" s="55" t="str">
        <x:v>정승</x:v>
      </x:c>
      <x:c r="G12" s="55" t="str">
        <x:v>대기</x:v>
      </x:c>
      <x:c r="H12" s="55" t="str"/>
    </x:row>
    <x:row r="13">
      <x:c r="A13" s="55" t="str">
        <x:v>데이터 전처리</x:v>
      </x:c>
      <x:c r="B13" s="55" t="str">
        <x:v>머신러닝/딥러닝 학습결과서</x:v>
      </x:c>
      <x:c r="C13" s="56" t="n">
        <x:v>46241.5</x:v>
      </x:c>
      <x:c r="D13" s="56" t="n">
        <x:v>46239.5</x:v>
      </x:c>
      <x:c r="E13" s="55" t="str">
        <x:v>3.4</x:v>
      </x:c>
      <x:c r="F13" s="55" t="str">
        <x:v>윤대성</x:v>
      </x:c>
      <x:c r="G13" s="55" t="str">
        <x:v>대기</x:v>
      </x:c>
      <x:c r="H13" s="55" t="str"/>
    </x:row>
    <x:row r="14">
      <x:c r="A14" s="55" t="str">
        <x:v>데이터 전처리</x:v>
      </x:c>
      <x:c r="B14" s="55" t="str">
        <x:v>학습한 ML/DL 모델</x:v>
      </x:c>
      <x:c r="C14" s="56" t="n">
        <x:v>46241.5</x:v>
      </x:c>
      <x:c r="D14" s="56" t="n">
        <x:v>46239.5</x:v>
      </x:c>
      <x:c r="E14" s="55" t="str">
        <x:v>3.5</x:v>
      </x:c>
      <x:c r="F14" s="55" t="str">
        <x:v>윤대성</x:v>
      </x:c>
      <x:c r="G14" s="55" t="str">
        <x:v>대기</x:v>
      </x:c>
      <x:c r="H14" s="55" t="str"/>
    </x:row>
    <x:row r="15">
      <x:c r="A15" s="55" t="str">
        <x:v>모델링 및 평가</x:v>
      </x:c>
      <x:c r="B15" s="55" t="str">
        <x:v>벡터DB/GraphDB 구축 결과서</x:v>
      </x:c>
      <x:c r="C15" s="56" t="n">
        <x:v>46241.5</x:v>
      </x:c>
      <x:c r="D15" s="56" t="n">
        <x:v>46239.5</x:v>
      </x:c>
      <x:c r="E15" s="55" t="str">
        <x:v>3.6</x:v>
      </x:c>
      <x:c r="F15" s="55" t="str">
        <x:v>김재홍·윤대성</x:v>
      </x:c>
      <x:c r="G15" s="55" t="str">
        <x:v>대기</x:v>
      </x:c>
      <x:c r="H15" s="55" t="str"/>
    </x:row>
    <x:row r="16">
      <x:c r="A16" s="55" t="str">
        <x:v>모델링 및 평가</x:v>
      </x:c>
      <x:c r="B16" s="55" t="str">
        <x:v>AI 시스템 아키텍처</x:v>
      </x:c>
      <x:c r="C16" s="56" t="n">
        <x:v>46248.5</x:v>
      </x:c>
      <x:c r="D16" s="56" t="n">
        <x:v>46247.5</x:v>
      </x:c>
      <x:c r="E16" s="55" t="str">
        <x:v>5.6</x:v>
      </x:c>
      <x:c r="F16" s="55" t="str">
        <x:v>박준희</x:v>
      </x:c>
      <x:c r="G16" s="55" t="str">
        <x:v>대기</x:v>
      </x:c>
      <x:c r="H16" s="55" t="str"/>
    </x:row>
    <x:row r="17">
      <x:c r="A17" s="55" t="str">
        <x:v>모델링 및 평가</x:v>
      </x:c>
      <x:c r="B17" s="55" t="str">
        <x:v>LLM 활용 소프트웨어</x:v>
      </x:c>
      <x:c r="C17" s="56" t="n">
        <x:v>46248.5</x:v>
      </x:c>
      <x:c r="D17" s="56" t="n">
        <x:v>46247.5</x:v>
      </x:c>
      <x:c r="E17" s="55" t="str">
        <x:v>5.7</x:v>
      </x:c>
      <x:c r="F17" s="55" t="str">
        <x:v>김재홍·윤대성</x:v>
      </x:c>
      <x:c r="G17" s="55" t="str">
        <x:v>대기</x:v>
      </x:c>
      <x:c r="H17" s="55" t="str"/>
    </x:row>
    <x:row r="18">
      <x:c r="A18" s="55" t="str">
        <x:v>모델링 및 평가</x:v>
      </x:c>
      <x:c r="B18" s="55" t="str">
        <x:v>자체 sLLM 인공지능</x:v>
      </x:c>
      <x:c r="C18" s="56" t="n">
        <x:v>46248.5</x:v>
      </x:c>
      <x:c r="D18" s="56" t="n">
        <x:v>46247.5</x:v>
      </x:c>
      <x:c r="E18" s="55" t="str">
        <x:v>5.8</x:v>
      </x:c>
      <x:c r="F18" s="55" t="str">
        <x:v>윤대성</x:v>
      </x:c>
      <x:c r="G18" s="55" t="str">
        <x:v>대기</x:v>
      </x:c>
      <x:c r="H18" s="55" t="str"/>
    </x:row>
    <x:row r="19">
      <x:c r="A19" s="55" t="str">
        <x:v>모델링 및 평가</x:v>
      </x:c>
      <x:c r="B19" s="55" t="str">
        <x:v>멀티 에이전트 테스트 계획 및 결과 보고서</x:v>
      </x:c>
      <x:c r="C19" s="56" t="n">
        <x:v>46255.5</x:v>
      </x:c>
      <x:c r="D19" s="56" t="n">
        <x:v>46254.5</x:v>
      </x:c>
      <x:c r="E19" s="55" t="str">
        <x:v>6.7</x:v>
      </x:c>
      <x:c r="F19" s="55" t="str">
        <x:v>윤대성·박준희</x:v>
      </x:c>
      <x:c r="G19" s="55" t="str">
        <x:v>대기</x:v>
      </x:c>
      <x:c r="H19" s="55" t="str"/>
    </x:row>
    <x:row r="20">
      <x:c r="A20" s="55" t="str">
        <x:v>모델 배포</x:v>
      </x:c>
      <x:c r="B20" s="55" t="str">
        <x:v>시스템 구성도</x:v>
      </x:c>
      <x:c r="C20" s="56" t="n">
        <x:v>46255.5</x:v>
      </x:c>
      <x:c r="D20" s="56" t="n">
        <x:v>46254.5</x:v>
      </x:c>
      <x:c r="E20" s="55" t="str">
        <x:v>6.8</x:v>
      </x:c>
      <x:c r="F20" s="55" t="str">
        <x:v>김재홍</x:v>
      </x:c>
      <x:c r="G20" s="55" t="str">
        <x:v>대기</x:v>
      </x:c>
      <x:c r="H20" s="55" t="str"/>
    </x:row>
    <x:row r="21">
      <x:c r="A21" s="55" t="str">
        <x:v>모델 배포</x:v>
      </x:c>
      <x:c r="B21" s="55" t="str">
        <x:v>개발된 LLM 연동 웹 애플리케이션</x:v>
      </x:c>
      <x:c r="C21" s="56" t="n">
        <x:v>46262.5</x:v>
      </x:c>
      <x:c r="D21" s="56" t="n">
        <x:v>46261.5</x:v>
      </x:c>
      <x:c r="E21" s="55" t="str">
        <x:v>7.3</x:v>
      </x:c>
      <x:c r="F21" s="55" t="str">
        <x:v>송민지·김재홍·정승·윤대성</x:v>
      </x:c>
      <x:c r="G21" s="55" t="str">
        <x:v>대기</x:v>
      </x:c>
      <x:c r="H21" s="55" t="str"/>
    </x:row>
    <x:row r="22">
      <x:c r="A22" s="55" t="str">
        <x:v>모델 배포</x:v>
      </x:c>
      <x:c r="B22" s="55" t="str">
        <x:v>서비스 테스트 계획 및 결과 보고서</x:v>
      </x:c>
      <x:c r="C22" s="56" t="n">
        <x:v>46262.5</x:v>
      </x:c>
      <x:c r="D22" s="56" t="n">
        <x:v>46261.5</x:v>
      </x:c>
      <x:c r="E22" s="55" t="str">
        <x:v>7.2</x:v>
      </x:c>
      <x:c r="F22" s="55" t="str">
        <x:v>박준희·김재홍·송민지</x:v>
      </x:c>
      <x:c r="G22" s="55" t="str">
        <x:v>대기</x:v>
      </x:c>
      <x:c r="H22" s="55" t="str"/>
    </x:row>
    <x:row r="23">
      <x:c r="A23" s="55" t="str">
        <x:v>발표 및 시연</x:v>
      </x:c>
      <x:c r="B23" s="55" t="str">
        <x:v>최종 발표 PT 자료</x:v>
      </x:c>
      <x:c r="C23" s="56" t="n">
        <x:v>46268.5</x:v>
      </x:c>
      <x:c r="D23" s="56" t="n">
        <x:v>46267.5</x:v>
      </x:c>
      <x:c r="E23" s="55" t="str">
        <x:v>8.1</x:v>
      </x:c>
      <x:c r="F23" s="55" t="str">
        <x:v>정승</x:v>
      </x:c>
      <x:c r="G23" s="55" t="str">
        <x:v>대기</x:v>
      </x:c>
      <x:c r="H23" s="55" t="str"/>
    </x:row>
    <x:row r="24">
      <x:c r="A24" s="55" t="str">
        <x:v>발표 및 시연</x:v>
      </x:c>
      <x:c r="B24" s="55" t="str">
        <x:v>프로젝트 개발 소스코드</x:v>
      </x:c>
      <x:c r="C24" s="56" t="n">
        <x:v>46268.5</x:v>
      </x:c>
      <x:c r="D24" s="56" t="n">
        <x:v>46267.5</x:v>
      </x:c>
      <x:c r="E24" s="55" t="str">
        <x:v>8.2</x:v>
      </x:c>
      <x:c r="F24" s="55" t="str">
        <x:v>김재홍·정승·윤대성</x:v>
      </x:c>
      <x:c r="G24" s="55" t="str">
        <x:v>대기</x:v>
      </x:c>
      <x:c r="H24" s="55" t="str"/>
    </x:row>
    <x:row r="25">
      <x:c r="A25" s="55" t="str">
        <x:v>발표 및 시연</x:v>
      </x:c>
      <x:c r="B25" s="55" t="str">
        <x:v>시연영상</x:v>
      </x:c>
      <x:c r="C25" s="56" t="n">
        <x:v>46268.5</x:v>
      </x:c>
      <x:c r="D25" s="56" t="n">
        <x:v>46267.5</x:v>
      </x:c>
      <x:c r="E25" s="55" t="str">
        <x:v>8.3</x:v>
      </x:c>
      <x:c r="F25" s="55" t="str">
        <x:v>정승</x:v>
      </x:c>
      <x:c r="G25" s="55" t="str">
        <x:v>대기</x:v>
      </x:c>
      <x:c r="H25" s="55" t="str"/>
    </x:row>
    <x:row r="26">
      <x:c r="A26" s="55" t="str">
        <x:v>모델링 및 평가</x:v>
      </x:c>
      <x:c r="B26" s="55" t="str">
        <x:v>AI 윤리/편향성 점검 결과서(옵션)</x:v>
      </x:c>
      <x:c r="C26" s="56" t="str">
        <x:v>옵션</x:v>
      </x:c>
      <x:c r="D26" s="56" t="n">
        <x:v>46260.5</x:v>
      </x:c>
      <x:c r="E26" s="55" t="str">
        <x:v>7.8</x:v>
      </x:c>
      <x:c r="F26" s="55" t="str">
        <x:v>윤대성</x:v>
      </x:c>
      <x:c r="G26" s="55" t="str">
        <x:v>대기</x:v>
      </x:c>
      <x:c r="H26" s="55" t="str">
        <x:v>팀 합의 후 제출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5.75" hidden="0" customWidth="1"/>
    <x:col min="2" max="2" width="19.5" hidden="0" customWidth="1"/>
    <x:col min="3" max="3" width="7.25" hidden="0" customWidth="1"/>
  </x:cols>
  <x:sheetData>
    <x:row r="1">
      <x:c r="A1" s="51" t="str">
        <x:v>단계</x:v>
      </x:c>
      <x:c r="B1" s="51" t="str">
        <x:v>담당자</x:v>
      </x:c>
      <x:c r="C1" s="51" t="str">
        <x:v>진행현황</x:v>
      </x:c>
    </x:row>
    <x:row r="2">
      <x:c r="A2" s="54" t="str">
        <x:v>기획 및 설계</x:v>
      </x:c>
      <x:c r="B2" s="54" t="str">
        <x:v>전원</x:v>
      </x:c>
      <x:c r="C2" s="54" t="str">
        <x:v>대기</x:v>
      </x:c>
    </x:row>
    <x:row r="3">
      <x:c r="A3" s="54" t="str">
        <x:v>데이터 수집·전처리·DB</x:v>
      </x:c>
      <x:c r="B3" s="54" t="str">
        <x:v>박준희·송민지</x:v>
      </x:c>
      <x:c r="C3" s="54" t="str">
        <x:v>진행</x:v>
      </x:c>
    </x:row>
    <x:row r="4">
      <x:c r="A4" s="54" t="str">
        <x:v>AI·NLP 분석</x:v>
      </x:c>
      <x:c r="B4" s="54" t="str">
        <x:v>송민지</x:v>
      </x:c>
      <x:c r="C4" s="54" t="str">
        <x:v>진행중</x:v>
      </x:c>
    </x:row>
    <x:row r="5">
      <x:c r="A5" s="54" t="str">
        <x:v>프로토타입·중간발표</x:v>
      </x:c>
      <x:c r="B5" s="54" t="str">
        <x:v>박준희·김재홍·정승·윤대성</x:v>
      </x:c>
      <x:c r="C5" s="54" t="str">
        <x:v>검토</x:v>
      </x:c>
    </x:row>
    <x:row r="6">
      <x:c r="A6" s="54" t="str">
        <x:v>운영 분석 엔진</x:v>
      </x:c>
      <x:c r="B6" s="54" t="str">
        <x:v>정승·윤대성</x:v>
      </x:c>
      <x:c r="C6" s="54" t="str">
        <x:v>차단</x:v>
      </x:c>
    </x:row>
    <x:row r="7">
      <x:c r="A7" s="54" t="str">
        <x:v>Agent·화면·리포트</x:v>
      </x:c>
      <x:c r="B7" s="54" t="str">
        <x:v>정승</x:v>
      </x:c>
      <x:c r="C7" s="54" t="str">
        <x:v>완료</x:v>
      </x:c>
    </x:row>
    <x:row r="8">
      <x:c r="A8" s="54" t="str">
        <x:v>통합·테스트</x:v>
      </x:c>
      <x:c r="B8" s="54" t="str">
        <x:v>정승·김재홍</x:v>
      </x:c>
      <x:c r="C8" s="54" t="str">
        <x:v>취소</x:v>
      </x:c>
    </x:row>
    <x:row r="9">
      <x:c r="A9" s="54" t="str">
        <x:v>최종 발표 준비</x:v>
      </x:c>
      <x:c r="B9" s="54" t="str">
        <x:v>김재홍·정승</x:v>
      </x:c>
      <x:c r="C9" s="54"/>
    </x:row>
    <x:row r="10">
      <x:c r="A10" s="54"/>
      <x:c r="B10" s="54" t="str">
        <x:v>박준희·정승</x:v>
      </x:c>
      <x:c r="C10" s="54"/>
    </x:row>
    <x:row r="11">
      <x:c r="A11" s="54"/>
      <x:c r="B11" s="54" t="str">
        <x:v>윤대성</x:v>
      </x:c>
      <x:c r="C11" s="54"/>
    </x:row>
    <x:row r="12">
      <x:c r="A12" s="54"/>
      <x:c r="B12" s="54" t="str">
        <x:v>김재홍</x:v>
      </x:c>
      <x:c r="C12" s="54"/>
    </x:row>
    <x:row r="13">
      <x:c r="A13" s="54"/>
      <x:c r="B13" s="54" t="str">
        <x:v>윤대성·정승</x:v>
      </x:c>
      <x:c r="C13" s="54"/>
    </x:row>
    <x:row r="14">
      <x:c r="A14" s="54"/>
      <x:c r="B14" s="54" t="str">
        <x:v>송민지·박준희</x:v>
      </x:c>
      <x:c r="C14" s="54"/>
    </x:row>
    <x:row r="15">
      <x:c r="A15" s="54"/>
      <x:c r="B15" s="54" t="str">
        <x:v>박준희</x:v>
      </x:c>
      <x:c r="C15" s="54"/>
    </x:row>
    <x:row r="16">
      <x:c r="A16" s="54"/>
      <x:c r="B16" s="54" t="str">
        <x:v>윤대성·정승·박준희</x:v>
      </x:c>
      <x:c r="C16" s="54"/>
    </x:row>
    <x:row r="17">
      <x:c r="A17" s="54"/>
      <x:c r="B17" s="54" t="str">
        <x:v>김재홍·윤대성</x:v>
      </x:c>
      <x:c r="C17" s="54"/>
    </x:row>
    <x:row r="18">
      <x:c r="A18" s="54"/>
      <x:c r="B18" s="54" t="str">
        <x:v>윤대성·김재홍·박준희</x:v>
      </x:c>
      <x:c r="C18" s="54"/>
    </x:row>
    <x:row r="19">
      <x:c r="A19" s="54"/>
      <x:c r="B19" s="54" t="str">
        <x:v>송민지·김재홍</x:v>
      </x:c>
      <x:c r="C19" s="54"/>
    </x:row>
    <x:row r="20">
      <x:c r="A20" s="54"/>
      <x:c r="B20" s="54" t="str">
        <x:v>김재홍·윤대성·송민지·박준희</x:v>
      </x:c>
      <x:c r="C20" s="54"/>
    </x:row>
    <x:row r="21">
      <x:c r="A21" s="54"/>
      <x:c r="B21" s="54" t="str">
        <x:v>윤대성·박준희</x:v>
      </x:c>
      <x:c r="C21" s="54"/>
    </x:row>
    <x:row r="22">
      <x:c r="A22" s="54"/>
      <x:c r="B22" s="54" t="str">
        <x:v>윤대성·김재홍</x:v>
      </x:c>
      <x:c r="C22" s="54"/>
    </x:row>
    <x:row r="23">
      <x:c r="A23" s="54"/>
      <x:c r="B23" s="54" t="str">
        <x:v>박준희·김재홍</x:v>
      </x:c>
      <x:c r="C23" s="54"/>
    </x:row>
    <x:row r="24">
      <x:c r="A24" s="54"/>
      <x:c r="B24" s="54" t="str">
        <x:v>박준희·김재홍·송민지</x:v>
      </x:c>
      <x:c r="C24" s="54"/>
    </x:row>
    <x:row r="25">
      <x:c r="A25" s="54"/>
      <x:c r="B25" s="54" t="str">
        <x:v>송민지·김재홍·정승·윤대성</x:v>
      </x:c>
      <x:c r="C25" s="54"/>
    </x:row>
    <x:row r="26">
      <x:c r="A26" s="54"/>
      <x:c r="B26" s="54" t="str">
        <x:v>박준희·윤대성·김재홍</x:v>
      </x:c>
      <x:c r="C26" s="54"/>
    </x:row>
    <x:row r="27">
      <x:c r="A27" s="54"/>
      <x:c r="B27" s="54" t="str">
        <x:v>김재홍·정승·윤대성</x:v>
      </x:c>
      <x:c r="C27" s="54"/>
    </x:row>
  </x:sheetData>
  <x:pageMargins left="0.7" right="0.7" top="0.75" bottom="0.75" header="0.3" footer="0.3"/>
</x:worksheet>
</file>