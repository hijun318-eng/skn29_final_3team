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eda2f30cd34e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표지" sheetId="1" r:id="Rc3a5af5f888a41c3"/>
    <x:sheet xmlns:r="http://schemas.openxmlformats.org/officeDocument/2006/relationships" name="01_개요" sheetId="2" r:id="Re53f8d1205fa4e45"/>
    <x:sheet xmlns:r="http://schemas.openxmlformats.org/officeDocument/2006/relationships" name="02_테이블목록" sheetId="3" r:id="R1063f2a926404913"/>
    <x:sheet xmlns:r="http://schemas.openxmlformats.org/officeDocument/2006/relationships" name="03_참조관계검증" sheetId="4" r:id="R753cf07c92ed4be4"/>
    <x:sheet xmlns:r="http://schemas.openxmlformats.org/officeDocument/2006/relationships" name="AN01_analysis_definitions" sheetId="5" r:id="R8f3dac43251842b5"/>
    <x:sheet xmlns:r="http://schemas.openxmlformats.org/officeDocument/2006/relationships" name="AN02_analysis_run_links" sheetId="6" r:id="R3ebda72498c54193"/>
    <x:sheet xmlns:r="http://schemas.openxmlformats.org/officeDocument/2006/relationships" name="A01_analysis_artifacts" sheetId="7" r:id="R9a63218ecf7c41c2"/>
    <x:sheet xmlns:r="http://schemas.openxmlformats.org/officeDocument/2006/relationships" name="APP01_view_specs" sheetId="8" r:id="R3c7b5c19229f4caa"/>
    <x:sheet xmlns:r="http://schemas.openxmlformats.org/officeDocument/2006/relationships" name="CH02_analysis_requests" sheetId="9" r:id="Rdd01720b3f514811"/>
    <x:sheet xmlns:r="http://schemas.openxmlformats.org/officeDocument/2006/relationships" name="APP02_analysis_state_transition" sheetId="10" r:id="R9be0ecdb6cae40eb"/>
    <x:sheet xmlns:r="http://schemas.openxmlformats.org/officeDocument/2006/relationships" name="CH01_conversations" sheetId="11" r:id="R973a3dcb61aa41ab"/>
    <x:sheet xmlns:r="http://schemas.openxmlformats.org/officeDocument/2006/relationships" name="APP03_turn_commands" sheetId="12" r:id="R72eaa9481906479a"/>
    <x:sheet xmlns:r="http://schemas.openxmlformats.org/officeDocument/2006/relationships" name="APP04_turns" sheetId="13" r:id="R7c76ce24108a4886"/>
    <x:sheet xmlns:r="http://schemas.openxmlformats.org/officeDocument/2006/relationships" name="C01_data_sources" sheetId="14" r:id="Rffaf0ae189054738"/>
    <x:sheet xmlns:r="http://schemas.openxmlformats.org/officeDocument/2006/relationships" name="C02_ingestion_runs" sheetId="15" r:id="Rb6926d98ee9c4fce"/>
    <x:sheet xmlns:r="http://schemas.openxmlformats.org/officeDocument/2006/relationships" name="APP05_analysis_templates" sheetId="16" r:id="R640f33a3e5a347b2"/>
    <x:sheet xmlns:r="http://schemas.openxmlformats.org/officeDocument/2006/relationships" name="CTX03_context_packages" sheetId="17" r:id="Rf4cd3a66e5d14a64"/>
    <x:sheet xmlns:r="http://schemas.openxmlformats.org/officeDocument/2006/relationships" name="CTX01_context_records" sheetId="18" r:id="R7067f440fe1c4ef8"/>
    <x:sheet xmlns:r="http://schemas.openxmlformats.org/officeDocument/2006/relationships" name="CTX02_context_releases" sheetId="19" r:id="Re0afa5fcc2944312"/>
    <x:sheet xmlns:r="http://schemas.openxmlformats.org/officeDocument/2006/relationships" name="APP06_alembic_version" sheetId="20" r:id="R887782a0fd634d88"/>
    <x:sheet xmlns:r="http://schemas.openxmlformats.org/officeDocument/2006/relationships" name="G01_audit_events" sheetId="21" r:id="Rbdc9cedbdcff4e79"/>
    <x:sheet xmlns:r="http://schemas.openxmlformats.org/officeDocument/2006/relationships" name="APP07_ml_prediction_audit_event" sheetId="22" r:id="R8f557b78bff5467d"/>
    <x:sheet xmlns:r="http://schemas.openxmlformats.org/officeDocument/2006/relationships" name="APP08_phase_20260822_30_preexis" sheetId="23" r:id="R17c394c1abf24f95"/>
    <x:sheet xmlns:r="http://schemas.openxmlformats.org/officeDocument/2006/relationships" name="APP09_product_release_bindings" sheetId="24" r:id="R7b946b5dcb3b42ba"/>
    <x:sheet xmlns:r="http://schemas.openxmlformats.org/officeDocument/2006/relationships" name="APP10_product_release_manifests" sheetId="25" r:id="R35381a583fe44ee2"/>
    <x:sheet xmlns:r="http://schemas.openxmlformats.org/officeDocument/2006/relationships" name="APP11_runtime_catalog_activatio" sheetId="26" r:id="Rf51fc59d34fd472d"/>
    <x:sheet xmlns:r="http://schemas.openxmlformats.org/officeDocument/2006/relationships" name="APP12_runtime_catalog_active_po" sheetId="27" r:id="Reb90296cbb6c44d0"/>
    <x:sheet xmlns:r="http://schemas.openxmlformats.org/officeDocument/2006/relationships" name="APP13_runtime_catalog_projectio" sheetId="28" r:id="R25b17f43a0b742bd"/>
    <x:sheet xmlns:r="http://schemas.openxmlformats.org/officeDocument/2006/relationships" name="APP14_schema_version" sheetId="29" r:id="R81b350d537004215"/>
    <x:sheet xmlns:r="http://schemas.openxmlformats.org/officeDocument/2006/relationships" name="M02_evaluation_runs" sheetId="30" r:id="R945e95d8235540a0"/>
    <x:sheet xmlns:r="http://schemas.openxmlformats.org/officeDocument/2006/relationships" name="M01_model_versions" sheetId="31" r:id="R7004e943db9c43d3"/>
    <x:sheet xmlns:r="http://schemas.openxmlformats.org/officeDocument/2006/relationships" name="Q01_query_executions" sheetId="32" r:id="Rd7d22158c47c4e16"/>
    <x:sheet xmlns:r="http://schemas.openxmlformats.org/officeDocument/2006/relationships" name="REF03_calendar_daily" sheetId="33" r:id="R859ab666989e458e"/>
    <x:sheet xmlns:r="http://schemas.openxmlformats.org/officeDocument/2006/relationships" name="REF02_demand_index_monthly" sheetId="34" r:id="Rb485914e68b84e5e"/>
    <x:sheet xmlns:r="http://schemas.openxmlformats.org/officeDocument/2006/relationships" name="REF01_market_benchmark_annual" sheetId="35" r:id="Re7ff9cc3835e4db5"/>
    <x:sheet xmlns:r="http://schemas.openxmlformats.org/officeDocument/2006/relationships" name="APP15_block_runs" sheetId="36" r:id="R650f82314b864044"/>
    <x:sheet xmlns:r="http://schemas.openxmlformats.org/officeDocument/2006/relationships" name="APP16_report_blocks" sheetId="37" r:id="R3ced251834d54667"/>
    <x:sheet xmlns:r="http://schemas.openxmlformats.org/officeDocument/2006/relationships" name="APP17_report_definitions" sheetId="38" r:id="R2c00eb570b4f410d"/>
    <x:sheet xmlns:r="http://schemas.openxmlformats.org/officeDocument/2006/relationships" name="APP18_report_runs" sheetId="39" r:id="Rd6f219c99a284c2e"/>
    <x:sheet xmlns:r="http://schemas.openxmlformats.org/officeDocument/2006/relationships" name="APP19_report_assistant_evaluati" sheetId="40" r:id="Rd28ffa50e4c24d91"/>
    <x:sheet xmlns:r="http://schemas.openxmlformats.org/officeDocument/2006/relationships" name="APP20_report_assistant_requests" sheetId="41" r:id="Rf2ab3a6be775420b"/>
    <x:sheet xmlns:r="http://schemas.openxmlformats.org/officeDocument/2006/relationships" name="APP21_report_assistant_turns" sheetId="42" r:id="R042b968969ac4fbd"/>
    <x:sheet xmlns:r="http://schemas.openxmlformats.org/officeDocument/2006/relationships" name="R04_report_block_runs" sheetId="43" r:id="Ra9b761972df5436d"/>
    <x:sheet xmlns:r="http://schemas.openxmlformats.org/officeDocument/2006/relationships" name="R02_report_blocks" sheetId="44" r:id="R2324047238aa4bc4"/>
    <x:sheet xmlns:r="http://schemas.openxmlformats.org/officeDocument/2006/relationships" name="R01V_report_definition_versions" sheetId="45" r:id="Ra95062195d1e43ad"/>
    <x:sheet xmlns:r="http://schemas.openxmlformats.org/officeDocument/2006/relationships" name="R01_report_definitions" sheetId="46" r:id="R02de9623b33b4098"/>
    <x:sheet xmlns:r="http://schemas.openxmlformats.org/officeDocument/2006/relationships" name="APP22_report_documents" sheetId="47" r:id="Re909f5ddcc124098"/>
    <x:sheet xmlns:r="http://schemas.openxmlformats.org/officeDocument/2006/relationships" name="R05_report_manual_commands" sheetId="48" r:id="Rd34b1cbb94084f96"/>
    <x:sheet xmlns:r="http://schemas.openxmlformats.org/officeDocument/2006/relationships" name="R03_report_runs" sheetId="49" r:id="Rb0e3b22d8d2d4509"/>
    <x:sheet xmlns:r="http://schemas.openxmlformats.org/officeDocument/2006/relationships" name="APP23_report_schedules" sheetId="50" r:id="R315f7b89a1764deb"/>
    <x:sheet xmlns:r="http://schemas.openxmlformats.org/officeDocument/2006/relationships" name="APP24_auth_accounts" sheetId="51" r:id="R011304e941e1447e"/>
    <x:sheet xmlns:r="http://schemas.openxmlformats.org/officeDocument/2006/relationships" name="APP25_auth_sessions" sheetId="52" r:id="R483d4b4ced624e39"/>
    <x:sheet xmlns:r="http://schemas.openxmlformats.org/officeDocument/2006/relationships" name="T01_tool_registry" sheetId="53" r:id="R87857d363ee446c5"/>
    <x:sheet xmlns:r="http://schemas.openxmlformats.org/officeDocument/2006/relationships" name="T02_tool_runs" sheetId="54" r:id="Rdd78da07fc554375"/>
    <x:sheet xmlns:r="http://schemas.openxmlformats.org/officeDocument/2006/relationships" name="RG01_answer_traces" sheetId="55" r:id="R1af96c1263f34966"/>
    <x:sheet xmlns:r="http://schemas.openxmlformats.org/officeDocument/2006/relationships" name="RG02_api_request_nonces" sheetId="56" r:id="Rf3e1f98c54444864"/>
    <x:sheet xmlns:r="http://schemas.openxmlformats.org/officeDocument/2006/relationships" name="RG03_api_security_audit_logs" sheetId="57" r:id="R697c6164bf72454f"/>
    <x:sheet xmlns:r="http://schemas.openxmlformats.org/officeDocument/2006/relationships" name="RG04_document_chunk_versions" sheetId="58" r:id="R25ee6c58d50048cb"/>
    <x:sheet xmlns:r="http://schemas.openxmlformats.org/officeDocument/2006/relationships" name="RG05_document_chunks" sheetId="59" r:id="R897c38a17f714f40"/>
    <x:sheet xmlns:r="http://schemas.openxmlformats.org/officeDocument/2006/relationships" name="RG06_document_lifecycle_logs" sheetId="60" r:id="R79ea8c915b1b4bd0"/>
    <x:sheet xmlns:r="http://schemas.openxmlformats.org/officeDocument/2006/relationships" name="RG07_document_versions" sheetId="61" r:id="R99eb562410394dad"/>
    <x:sheet xmlns:r="http://schemas.openxmlformats.org/officeDocument/2006/relationships" name="RG08_documents" sheetId="62" r:id="R408990c1025440cb"/>
    <x:sheet xmlns:r="http://schemas.openxmlformats.org/officeDocument/2006/relationships" name="RG09_ingestion_runs" sheetId="63" r:id="R2f26ca6bca844f39"/>
    <x:sheet xmlns:r="http://schemas.openxmlformats.org/officeDocument/2006/relationships" name="RG10_retrieval_audit_logs" sheetId="64" r:id="Re7eae97f13d6440b"/>
    <x:sheet xmlns:r="http://schemas.openxmlformats.org/officeDocument/2006/relationships" name="RG11_tool_registry" sheetId="65" r:id="Rdf1f48c48f3f4ddb"/>
    <x:sheet xmlns:r="http://schemas.openxmlformats.org/officeDocument/2006/relationships" name="RG12_tool_runs" sheetId="66" r:id="Rf87f1461f2664e8c"/>
    <x:sheet xmlns:r="http://schemas.openxmlformats.org/officeDocument/2006/relationships" name="S01_pms_guests" sheetId="67" r:id="R8436c38232124598"/>
    <x:sheet xmlns:r="http://schemas.openxmlformats.org/officeDocument/2006/relationships" name="S02_pms_room_inventory_daily" sheetId="68" r:id="R4f37c3361e24487e"/>
    <x:sheet xmlns:r="http://schemas.openxmlformats.org/officeDocument/2006/relationships" name="S03_pms_reservations" sheetId="69" r:id="R6b4882df874d494c"/>
    <x:sheet xmlns:r="http://schemas.openxmlformats.org/officeDocument/2006/relationships" name="S04_pms_stays" sheetId="70" r:id="R6ad7e66779b54916"/>
    <x:sheet xmlns:r="http://schemas.openxmlformats.org/officeDocument/2006/relationships" name="S05_pos_stores" sheetId="71" r:id="R9f0fd5e646f9440a"/>
    <x:sheet xmlns:r="http://schemas.openxmlformats.org/officeDocument/2006/relationships" name="S06_pos_service_periods" sheetId="72" r:id="Rec6684dabafc46f6"/>
    <x:sheet xmlns:r="http://schemas.openxmlformats.org/officeDocument/2006/relationships" name="S07_pos_orders" sheetId="73" r:id="R8aef4fe9a6594475"/>
    <x:sheet xmlns:r="http://schemas.openxmlformats.org/officeDocument/2006/relationships" name="S08_pos_order_items" sheetId="74" r:id="Ra65bd43740a14c68"/>
    <x:sheet xmlns:r="http://schemas.openxmlformats.org/officeDocument/2006/relationships" name="S09_crm_members" sheetId="75" r:id="R71965b0dd7e4484a"/>
    <x:sheet xmlns:r="http://schemas.openxmlformats.org/officeDocument/2006/relationships" name="S18_crm_member_grade_history" sheetId="76" r:id="Rb282994727404a24"/>
    <x:sheet xmlns:r="http://schemas.openxmlformats.org/officeDocument/2006/relationships" name="S10_crm_point_transactions" sheetId="77" r:id="Rd96ba1a3454b4c93"/>
    <x:sheet xmlns:r="http://schemas.openxmlformats.org/officeDocument/2006/relationships" name="S11_crm_customer_map" sheetId="78" r:id="Re51a77d0df944f62"/>
    <x:sheet xmlns:r="http://schemas.openxmlformats.org/officeDocument/2006/relationships" name="S12_facility_master" sheetId="79" r:id="Rfd5bd177ea8148dd"/>
    <x:sheet xmlns:r="http://schemas.openxmlformats.org/officeDocument/2006/relationships" name="S13_facility_events" sheetId="80" r:id="R8a1b200cd14545f5"/>
    <x:sheet xmlns:r="http://schemas.openxmlformats.org/officeDocument/2006/relationships" name="S14_hotel_staffing_daily" sheetId="81" r:id="Ra4de0eb0ff6b4bfc"/>
    <x:sheet xmlns:r="http://schemas.openxmlformats.org/officeDocument/2006/relationships" name="S15_facility_resource_daily" sheetId="82" r:id="R7eea110248b740ba"/>
    <x:sheet xmlns:r="http://schemas.openxmlformats.org/officeDocument/2006/relationships" name="S16_banquet_bookings" sheetId="83" r:id="R7eea117754fd4eff"/>
    <x:sheet xmlns:r="http://schemas.openxmlformats.org/officeDocument/2006/relationships" name="S17_banquet_revenue" sheetId="84" r:id="Rb32d2fe046d649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6">
    <x:font>
      <x:sz val="11"/>
      <x:name val="Carlito"/>
    </x:font>
    <x:font>
      <x:sz val="10"/>
      <x:color rgb="FF222222"/>
      <x:name val="Malgun Gothic"/>
    </x:font>
    <x:font>
      <x:b/>
      <x:sz val="22"/>
      <x:color rgb="FFFFFFFF"/>
      <x:name val="Malgun Gothic"/>
    </x:font>
    <x:font>
      <x:b/>
      <x:sz val="14"/>
      <x:color rgb="FF222222"/>
      <x:name val="Malgun Gothic"/>
    </x:font>
    <x:font>
      <x:b/>
      <x:sz val="11"/>
      <x:color rgb="FF222222"/>
      <x:name val="Malgun Gothic"/>
    </x:font>
    <x:font>
      <x:i/>
      <x:sz val="10"/>
      <x:color rgb="FF555555"/>
      <x:name val="Malgun Gothic"/>
    </x:font>
    <x:font>
      <x:b/>
      <x:sz val="13"/>
      <x:color rgb="FF222222"/>
      <x:name val="Malgun Gothic"/>
    </x:font>
    <x:font>
      <x:b/>
      <x:sz val="20"/>
      <x:color rgb="FFFFFFFF"/>
      <x:name val="Malgun Gothic"/>
    </x:font>
    <x:font>
      <x:b/>
      <x:sz val="12"/>
      <x:color rgb="FF222222"/>
      <x:name val="Malgun Gothic"/>
    </x:font>
    <x:font>
      <x:b/>
      <x:sz val="10"/>
      <x:color rgb="FF222222"/>
      <x:name val="Malgun Gothic"/>
    </x:font>
    <x:font>
      <x:b/>
      <x:sz val="9"/>
      <x:color rgb="FF9C5700"/>
      <x:name val="Malgun Gothic"/>
    </x:font>
    <x:font>
      <x:b/>
      <x:sz val="9"/>
      <x:color rgb="FF374151"/>
      <x:name val="Malgun Gothic"/>
    </x:font>
    <x:font>
      <x:b/>
      <x:sz val="16"/>
      <x:color rgb="FFFFFFFF"/>
      <x:name val="Malgun Gothic"/>
    </x:font>
    <x:font>
      <x:b/>
      <x:sz val="9"/>
      <x:color rgb="FF222222"/>
      <x:name val="Malgun Gothic"/>
    </x:font>
    <x:font>
      <x:b/>
      <x:sz val="9"/>
      <x:color rgb="FF1B5E20"/>
      <x:name val="Malgun Gothic"/>
    </x:font>
    <x:font>
      <x:i/>
      <x:sz val="9"/>
      <x:color rgb="FF555555"/>
      <x:name val="Malgun Gothic"/>
    </x:font>
  </x:fonts>
  <x:fills count="12">
    <x:fill>
      <x:patternFill patternType="none"/>
    </x:fill>
    <x:fill>
      <x:patternFill patternType="gray125"/>
    </x:fill>
    <x:fill>
      <x:patternFill patternType="solid">
        <x:fgColor rgb="FF899697"/>
      </x:patternFill>
    </x:fill>
    <x:fill>
      <x:patternFill patternType="solid">
        <x:fgColor rgb="FFD9EAD3"/>
      </x:patternFill>
    </x:fill>
    <x:fill>
      <x:patternFill patternType="solid">
        <x:fgColor rgb="FFEDF3E9"/>
      </x:patternFill>
    </x:fill>
    <x:fill>
      <x:patternFill patternType="solid">
        <x:fgColor rgb="FFF4F4F4"/>
      </x:patternFill>
    </x:fill>
    <x:fill>
      <x:patternFill patternType="solid">
        <x:fgColor rgb="FFFFF2CC"/>
      </x:patternFill>
    </x:fill>
    <x:fill>
      <x:patternFill patternType="solid">
        <x:fgColor rgb="FFE2E3E5"/>
      </x:patternFill>
    </x:fill>
    <x:fill>
      <x:patternFill patternType="solid">
        <x:fgColor rgb="FFDDEBF7"/>
      </x:patternFill>
    </x:fill>
    <x:fill>
      <x:patternFill patternType="solid">
        <x:fgColor rgb="FFA6A6A6"/>
      </x:patternFill>
    </x:fill>
    <x:fill>
      <x:patternFill patternType="solid">
        <x:fgColor rgb="FFD9D9D9"/>
      </x:patternFill>
    </x:fill>
    <x:fill>
      <x:patternFill patternType="solid">
        <x:fgColor rgb="FFFFF200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horizontal="center" vertical="center" wrapText="1"/>
    </x:xf>
    <x:xf numFmtId="0" fontId="9" fillId="3" borderId="1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0" fillId="6" borderId="1" xfId="0" applyNumberFormat="1" applyFont="1" applyFill="1" applyBorder="1" applyAlignment="1">
      <x:alignment vertical="center" wrapText="1"/>
    </x:xf>
    <x:xf numFmtId="0" fontId="10" fillId="6" borderId="1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1" fillId="7" borderId="1" xfId="0" applyNumberFormat="1" applyFont="1" applyFill="1" applyBorder="1" applyAlignment="1">
      <x:alignment vertical="center" wrapText="1"/>
    </x:xf>
    <x:xf numFmtId="0" fontId="11" fillId="7" borderId="1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13" fillId="3" borderId="0" xfId="0" applyNumberFormat="1" applyFont="1" applyFill="1" applyBorder="1" applyAlignment="1">
      <x:alignment vertical="center" wrapText="1"/>
    </x:xf>
    <x:xf numFmtId="0" fontId="13" fillId="3" borderId="0" xfId="0" applyNumberFormat="1" applyFont="1" applyFill="1" applyBorder="1" applyAlignment="1">
      <x:alignment horizontal="center" vertical="center" wrapText="1"/>
    </x:xf>
    <x:xf numFmtId="0" fontId="13" fillId="3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4" fillId="3" borderId="1" xfId="0" applyNumberFormat="1" applyFont="1" applyFill="1" applyBorder="1" applyAlignment="1">
      <x:alignment vertical="center" wrapText="1"/>
    </x:xf>
    <x:xf numFmtId="0" fontId="14" fillId="3" borderId="1" xfId="0" applyNumberFormat="1" applyFont="1" applyFill="1" applyBorder="1" applyAlignment="1">
      <x:alignment horizontal="center" vertical="center" wrapText="1"/>
    </x:xf>
    <x:xf numFmtId="0" fontId="15" fillId="5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horizontal="center" vertical="center" wrapText="1"/>
    </x:xf>
    <x:xf numFmtId="0" fontId="13" fillId="10" borderId="0" xfId="0" applyNumberFormat="1" applyFont="1" applyFill="1" applyBorder="1" applyAlignment="1">
      <x:alignment vertical="center" wrapText="1"/>
    </x:xf>
    <x:xf numFmtId="0" fontId="13" fillId="10" borderId="0" xfId="0" applyNumberFormat="1" applyFont="1" applyFill="1" applyBorder="1" applyAlignment="1">
      <x:alignment horizontal="center" vertic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9" fillId="10" borderId="1" xfId="0" applyNumberFormat="1" applyFont="1" applyFill="1" applyBorder="1" applyAlignment="1">
      <x:alignment horizontal="center" vertical="center" wrapText="1"/>
    </x:xf>
    <x:xf numFmtId="0" fontId="9" fillId="11" borderId="1" xfId="0" applyNumberFormat="1" applyFont="1" applyFill="1" applyBorder="1" applyAlignment="1">
      <x:alignment horizontal="center" vertical="center" wrapText="1"/>
    </x:xf>
    <x:xf numFmtId="0" fontId="13" fillId="1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241072fad2438f" /><Relationship Type="http://schemas.openxmlformats.org/officeDocument/2006/relationships/theme" Target="/xl/theme/theme1.xml" Id="Re65a7c71cae5400f" /><Relationship Type="http://schemas.openxmlformats.org/officeDocument/2006/relationships/sharedStrings" Target="/xl/sharedStrings.xml" Id="Rd3a99a62f0c34a68" /><Relationship Type="http://schemas.openxmlformats.org/officeDocument/2006/relationships/worksheet" Target="/xl/worksheets/sheet1.xml" Id="Rc3a5af5f888a41c3" /><Relationship Type="http://schemas.openxmlformats.org/officeDocument/2006/relationships/worksheet" Target="/xl/worksheets/sheet2.xml" Id="Re53f8d1205fa4e45" /><Relationship Type="http://schemas.openxmlformats.org/officeDocument/2006/relationships/worksheet" Target="/xl/worksheets/sheet3.xml" Id="R1063f2a926404913" /><Relationship Type="http://schemas.openxmlformats.org/officeDocument/2006/relationships/worksheet" Target="/xl/worksheets/sheet4.xml" Id="R753cf07c92ed4be4" /><Relationship Type="http://schemas.openxmlformats.org/officeDocument/2006/relationships/worksheet" Target="/xl/worksheets/sheet5.xml" Id="R8f3dac43251842b5" /><Relationship Type="http://schemas.openxmlformats.org/officeDocument/2006/relationships/worksheet" Target="/xl/worksheets/sheet6.xml" Id="R3ebda72498c54193" /><Relationship Type="http://schemas.openxmlformats.org/officeDocument/2006/relationships/worksheet" Target="/xl/worksheets/sheet7.xml" Id="R9a63218ecf7c41c2" /><Relationship Type="http://schemas.openxmlformats.org/officeDocument/2006/relationships/worksheet" Target="/xl/worksheets/sheet8.xml" Id="R3c7b5c19229f4caa" /><Relationship Type="http://schemas.openxmlformats.org/officeDocument/2006/relationships/worksheet" Target="/xl/worksheets/sheet9.xml" Id="Rdd01720b3f514811" /><Relationship Type="http://schemas.openxmlformats.org/officeDocument/2006/relationships/worksheet" Target="/xl/worksheets/sheet10.xml" Id="R9be0ecdb6cae40eb" /><Relationship Type="http://schemas.openxmlformats.org/officeDocument/2006/relationships/worksheet" Target="/xl/worksheets/sheet11.xml" Id="R973a3dcb61aa41ab" /><Relationship Type="http://schemas.openxmlformats.org/officeDocument/2006/relationships/worksheet" Target="/xl/worksheets/sheet12.xml" Id="R72eaa9481906479a" /><Relationship Type="http://schemas.openxmlformats.org/officeDocument/2006/relationships/worksheet" Target="/xl/worksheets/sheet13.xml" Id="R7c76ce24108a4886" /><Relationship Type="http://schemas.openxmlformats.org/officeDocument/2006/relationships/worksheet" Target="/xl/worksheets/sheet14.xml" Id="Rffaf0ae189054738" /><Relationship Type="http://schemas.openxmlformats.org/officeDocument/2006/relationships/worksheet" Target="/xl/worksheets/sheet15.xml" Id="Rb6926d98ee9c4fce" /><Relationship Type="http://schemas.openxmlformats.org/officeDocument/2006/relationships/worksheet" Target="/xl/worksheets/sheet16.xml" Id="R640f33a3e5a347b2" /><Relationship Type="http://schemas.openxmlformats.org/officeDocument/2006/relationships/worksheet" Target="/xl/worksheets/sheet17.xml" Id="Rf4cd3a66e5d14a64" /><Relationship Type="http://schemas.openxmlformats.org/officeDocument/2006/relationships/worksheet" Target="/xl/worksheets/sheet18.xml" Id="R7067f440fe1c4ef8" /><Relationship Type="http://schemas.openxmlformats.org/officeDocument/2006/relationships/worksheet" Target="/xl/worksheets/sheet19.xml" Id="Re0afa5fcc2944312" /><Relationship Type="http://schemas.openxmlformats.org/officeDocument/2006/relationships/worksheet" Target="/xl/worksheets/sheet20.xml" Id="R887782a0fd634d88" /><Relationship Type="http://schemas.openxmlformats.org/officeDocument/2006/relationships/worksheet" Target="/xl/worksheets/sheet21.xml" Id="Rbdc9cedbdcff4e79" /><Relationship Type="http://schemas.openxmlformats.org/officeDocument/2006/relationships/worksheet" Target="/xl/worksheets/sheet22.xml" Id="R8f557b78bff5467d" /><Relationship Type="http://schemas.openxmlformats.org/officeDocument/2006/relationships/worksheet" Target="/xl/worksheets/sheet23.xml" Id="R17c394c1abf24f95" /><Relationship Type="http://schemas.openxmlformats.org/officeDocument/2006/relationships/worksheet" Target="/xl/worksheets/sheet24.xml" Id="R7b946b5dcb3b42ba" /><Relationship Type="http://schemas.openxmlformats.org/officeDocument/2006/relationships/worksheet" Target="/xl/worksheets/sheet25.xml" Id="R35381a583fe44ee2" /><Relationship Type="http://schemas.openxmlformats.org/officeDocument/2006/relationships/worksheet" Target="/xl/worksheets/sheet26.xml" Id="Rf51fc59d34fd472d" /><Relationship Type="http://schemas.openxmlformats.org/officeDocument/2006/relationships/worksheet" Target="/xl/worksheets/sheet27.xml" Id="Reb90296cbb6c44d0" /><Relationship Type="http://schemas.openxmlformats.org/officeDocument/2006/relationships/worksheet" Target="/xl/worksheets/sheet28.xml" Id="R25b17f43a0b742bd" /><Relationship Type="http://schemas.openxmlformats.org/officeDocument/2006/relationships/worksheet" Target="/xl/worksheets/sheet29.xml" Id="R81b350d537004215" /><Relationship Type="http://schemas.openxmlformats.org/officeDocument/2006/relationships/worksheet" Target="/xl/worksheets/sheet30.xml" Id="R945e95d8235540a0" /><Relationship Type="http://schemas.openxmlformats.org/officeDocument/2006/relationships/worksheet" Target="/xl/worksheets/sheet31.xml" Id="R7004e943db9c43d3" /><Relationship Type="http://schemas.openxmlformats.org/officeDocument/2006/relationships/worksheet" Target="/xl/worksheets/sheet32.xml" Id="Rd7d22158c47c4e16" /><Relationship Type="http://schemas.openxmlformats.org/officeDocument/2006/relationships/worksheet" Target="/xl/worksheets/sheet33.xml" Id="R859ab666989e458e" /><Relationship Type="http://schemas.openxmlformats.org/officeDocument/2006/relationships/worksheet" Target="/xl/worksheets/sheet34.xml" Id="Rb485914e68b84e5e" /><Relationship Type="http://schemas.openxmlformats.org/officeDocument/2006/relationships/worksheet" Target="/xl/worksheets/sheet35.xml" Id="Re7ff9cc3835e4db5" /><Relationship Type="http://schemas.openxmlformats.org/officeDocument/2006/relationships/worksheet" Target="/xl/worksheets/sheet36.xml" Id="R650f82314b864044" /><Relationship Type="http://schemas.openxmlformats.org/officeDocument/2006/relationships/worksheet" Target="/xl/worksheets/sheet37.xml" Id="R3ced251834d54667" /><Relationship Type="http://schemas.openxmlformats.org/officeDocument/2006/relationships/worksheet" Target="/xl/worksheets/sheet38.xml" Id="R2c00eb570b4f410d" /><Relationship Type="http://schemas.openxmlformats.org/officeDocument/2006/relationships/worksheet" Target="/xl/worksheets/sheet39.xml" Id="Rd6f219c99a284c2e" /><Relationship Type="http://schemas.openxmlformats.org/officeDocument/2006/relationships/worksheet" Target="/xl/worksheets/sheet40.xml" Id="Rd28ffa50e4c24d91" /><Relationship Type="http://schemas.openxmlformats.org/officeDocument/2006/relationships/worksheet" Target="/xl/worksheets/sheet41.xml" Id="Rf2ab3a6be775420b" /><Relationship Type="http://schemas.openxmlformats.org/officeDocument/2006/relationships/worksheet" Target="/xl/worksheets/sheet42.xml" Id="R042b968969ac4fbd" /><Relationship Type="http://schemas.openxmlformats.org/officeDocument/2006/relationships/worksheet" Target="/xl/worksheets/sheet43.xml" Id="Ra9b761972df5436d" /><Relationship Type="http://schemas.openxmlformats.org/officeDocument/2006/relationships/worksheet" Target="/xl/worksheets/sheet44.xml" Id="R2324047238aa4bc4" /><Relationship Type="http://schemas.openxmlformats.org/officeDocument/2006/relationships/worksheet" Target="/xl/worksheets/sheet45.xml" Id="Ra95062195d1e43ad" /><Relationship Type="http://schemas.openxmlformats.org/officeDocument/2006/relationships/worksheet" Target="/xl/worksheets/sheet46.xml" Id="R02de9623b33b4098" /><Relationship Type="http://schemas.openxmlformats.org/officeDocument/2006/relationships/worksheet" Target="/xl/worksheets/sheet47.xml" Id="Re909f5ddcc124098" /><Relationship Type="http://schemas.openxmlformats.org/officeDocument/2006/relationships/worksheet" Target="/xl/worksheets/sheet48.xml" Id="Rd34b1cbb94084f96" /><Relationship Type="http://schemas.openxmlformats.org/officeDocument/2006/relationships/worksheet" Target="/xl/worksheets/sheet49.xml" Id="Rb0e3b22d8d2d4509" /><Relationship Type="http://schemas.openxmlformats.org/officeDocument/2006/relationships/worksheet" Target="/xl/worksheets/sheet50.xml" Id="R315f7b89a1764deb" /><Relationship Type="http://schemas.openxmlformats.org/officeDocument/2006/relationships/worksheet" Target="/xl/worksheets/sheet51.xml" Id="R011304e941e1447e" /><Relationship Type="http://schemas.openxmlformats.org/officeDocument/2006/relationships/worksheet" Target="/xl/worksheets/sheet52.xml" Id="R483d4b4ced624e39" /><Relationship Type="http://schemas.openxmlformats.org/officeDocument/2006/relationships/worksheet" Target="/xl/worksheets/sheet53.xml" Id="R87857d363ee446c5" /><Relationship Type="http://schemas.openxmlformats.org/officeDocument/2006/relationships/worksheet" Target="/xl/worksheets/sheet54.xml" Id="Rdd78da07fc554375" /><Relationship Type="http://schemas.openxmlformats.org/officeDocument/2006/relationships/worksheet" Target="/xl/worksheets/sheet55.xml" Id="R1af96c1263f34966" /><Relationship Type="http://schemas.openxmlformats.org/officeDocument/2006/relationships/worksheet" Target="/xl/worksheets/sheet56.xml" Id="Rf3e1f98c54444864" /><Relationship Type="http://schemas.openxmlformats.org/officeDocument/2006/relationships/worksheet" Target="/xl/worksheets/sheet57.xml" Id="R697c6164bf72454f" /><Relationship Type="http://schemas.openxmlformats.org/officeDocument/2006/relationships/worksheet" Target="/xl/worksheets/sheet58.xml" Id="R25ee6c58d50048cb" /><Relationship Type="http://schemas.openxmlformats.org/officeDocument/2006/relationships/worksheet" Target="/xl/worksheets/sheet59.xml" Id="R897c38a17f714f40" /><Relationship Type="http://schemas.openxmlformats.org/officeDocument/2006/relationships/worksheet" Target="/xl/worksheets/sheet60.xml" Id="R79ea8c915b1b4bd0" /><Relationship Type="http://schemas.openxmlformats.org/officeDocument/2006/relationships/worksheet" Target="/xl/worksheets/sheet61.xml" Id="R99eb562410394dad" /><Relationship Type="http://schemas.openxmlformats.org/officeDocument/2006/relationships/worksheet" Target="/xl/worksheets/sheet62.xml" Id="R408990c1025440cb" /><Relationship Type="http://schemas.openxmlformats.org/officeDocument/2006/relationships/worksheet" Target="/xl/worksheets/sheet63.xml" Id="R2f26ca6bca844f39" /><Relationship Type="http://schemas.openxmlformats.org/officeDocument/2006/relationships/worksheet" Target="/xl/worksheets/sheet64.xml" Id="Re7eae97f13d6440b" /><Relationship Type="http://schemas.openxmlformats.org/officeDocument/2006/relationships/worksheet" Target="/xl/worksheets/sheet65.xml" Id="Rdf1f48c48f3f4ddb" /><Relationship Type="http://schemas.openxmlformats.org/officeDocument/2006/relationships/worksheet" Target="/xl/worksheets/sheet66.xml" Id="Rf87f1461f2664e8c" /><Relationship Type="http://schemas.openxmlformats.org/officeDocument/2006/relationships/worksheet" Target="/xl/worksheets/sheet67.xml" Id="R8436c38232124598" /><Relationship Type="http://schemas.openxmlformats.org/officeDocument/2006/relationships/worksheet" Target="/xl/worksheets/sheet68.xml" Id="R4f37c3361e24487e" /><Relationship Type="http://schemas.openxmlformats.org/officeDocument/2006/relationships/worksheet" Target="/xl/worksheets/sheet69.xml" Id="R6b4882df874d494c" /><Relationship Type="http://schemas.openxmlformats.org/officeDocument/2006/relationships/worksheet" Target="/xl/worksheets/sheet70.xml" Id="R6ad7e66779b54916" /><Relationship Type="http://schemas.openxmlformats.org/officeDocument/2006/relationships/worksheet" Target="/xl/worksheets/sheet71.xml" Id="R9f0fd5e646f9440a" /><Relationship Type="http://schemas.openxmlformats.org/officeDocument/2006/relationships/worksheet" Target="/xl/worksheets/sheet72.xml" Id="Rec6684dabafc46f6" /><Relationship Type="http://schemas.openxmlformats.org/officeDocument/2006/relationships/worksheet" Target="/xl/worksheets/sheet73.xml" Id="R8aef4fe9a6594475" /><Relationship Type="http://schemas.openxmlformats.org/officeDocument/2006/relationships/worksheet" Target="/xl/worksheets/sheet74.xml" Id="Ra65bd43740a14c68" /><Relationship Type="http://schemas.openxmlformats.org/officeDocument/2006/relationships/worksheet" Target="/xl/worksheets/sheet75.xml" Id="R71965b0dd7e4484a" /><Relationship Type="http://schemas.openxmlformats.org/officeDocument/2006/relationships/worksheet" Target="/xl/worksheets/sheet76.xml" Id="Rb282994727404a24" /><Relationship Type="http://schemas.openxmlformats.org/officeDocument/2006/relationships/worksheet" Target="/xl/worksheets/sheet77.xml" Id="Rd96ba1a3454b4c93" /><Relationship Type="http://schemas.openxmlformats.org/officeDocument/2006/relationships/worksheet" Target="/xl/worksheets/sheet78.xml" Id="Re51a77d0df944f62" /><Relationship Type="http://schemas.openxmlformats.org/officeDocument/2006/relationships/worksheet" Target="/xl/worksheets/sheet79.xml" Id="Rfd5bd177ea8148dd" /><Relationship Type="http://schemas.openxmlformats.org/officeDocument/2006/relationships/worksheet" Target="/xl/worksheets/sheet80.xml" Id="R8a1b200cd14545f5" /><Relationship Type="http://schemas.openxmlformats.org/officeDocument/2006/relationships/worksheet" Target="/xl/worksheets/sheet81.xml" Id="Ra4de0eb0ff6b4bfc" /><Relationship Type="http://schemas.openxmlformats.org/officeDocument/2006/relationships/worksheet" Target="/xl/worksheets/sheet82.xml" Id="R7eea110248b740ba" /><Relationship Type="http://schemas.openxmlformats.org/officeDocument/2006/relationships/worksheet" Target="/xl/worksheets/sheet83.xml" Id="R7eea117754fd4eff" /><Relationship Type="http://schemas.openxmlformats.org/officeDocument/2006/relationships/worksheet" Target="/xl/worksheets/sheet84.xml" Id="Rb32d2fe046d649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4" customHeight="1">
      <x:c r="A1" s="5" t="str">
        <x:v>Answervice 데이터 테이블 명세서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4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7" t="str">
        <x:v>06_데이터베이스저장소설계서 별첨 · 최신 로컬 반영본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>
      <x:c r="A5" s="13" t="str">
        <x:v>항목</x:v>
      </x:c>
      <x:c r="B5" s="13"/>
      <x:c r="C5" s="13"/>
      <x:c r="D5" s="13" t="str">
        <x:v>내용</x:v>
      </x:c>
      <x:c r="E5" s="13"/>
      <x:c r="F5" s="13"/>
      <x:c r="G5" s="13"/>
      <x:c r="H5" s="13"/>
      <x:c r="I5" s="13"/>
      <x:c r="J5" s="13"/>
      <x:c r="K5" s="13"/>
      <x:c r="L5" s="13"/>
    </x:row>
    <x:row r="6">
      <x:c r="A6" s="14" t="str">
        <x:v>주 문서</x:v>
      </x:c>
      <x:c r="B6" s="14"/>
      <x:c r="C6" s="14"/>
      <x:c r="D6" s="15" t="str">
        <x:v>06_데이터베이스저장소설계서_29기_3팀_최신반영_20260901.docx</x:v>
      </x:c>
      <x:c r="E6" s="15"/>
      <x:c r="F6" s="15"/>
      <x:c r="G6" s="15"/>
      <x:c r="H6" s="15"/>
      <x:c r="I6" s="15"/>
      <x:c r="J6" s="15"/>
      <x:c r="K6" s="15"/>
      <x:c r="L6" s="15"/>
    </x:row>
    <x:row r="7">
      <x:c r="A7" s="14" t="str">
        <x:v>작성 기준</x:v>
      </x:c>
      <x:c r="B7" s="14"/>
      <x:c r="C7" s="14"/>
      <x:c r="D7" s="15" t="str">
        <x:v>실행 DDL·Migration·RAG init &gt; 본 XLSX 상세 명세 &gt; DOCX 요약</x:v>
      </x:c>
      <x:c r="E7" s="15"/>
      <x:c r="F7" s="15"/>
      <x:c r="G7" s="15"/>
      <x:c r="H7" s="15"/>
      <x:c r="I7" s="15"/>
      <x:c r="J7" s="15"/>
      <x:c r="K7" s="15"/>
      <x:c r="L7" s="15"/>
    </x:row>
    <x:row r="8">
      <x:c r="A8" s="14" t="str">
        <x:v>기준일</x:v>
      </x:c>
      <x:c r="B8" s="14"/>
      <x:c r="C8" s="14"/>
      <x:c r="D8" s="15" t="str">
        <x:v>2026.09.01</x:v>
      </x:c>
      <x:c r="E8" s="15"/>
      <x:c r="F8" s="15"/>
      <x:c r="G8" s="15"/>
      <x:c r="H8" s="15"/>
      <x:c r="I8" s="15"/>
      <x:c r="J8" s="15"/>
      <x:c r="K8" s="15"/>
      <x:c r="L8" s="15"/>
    </x:row>
    <x:row r="9">
      <x:c r="A9" s="14" t="str">
        <x:v>전체 상세 명세</x:v>
      </x:c>
      <x:c r="B9" s="14"/>
      <x:c r="C9" s="14"/>
      <x:c r="D9" s="15" t="str">
        <x:v>80 tables / 1,025 columns</x:v>
      </x:c>
      <x:c r="E9" s="15"/>
      <x:c r="F9" s="15"/>
      <x:c r="G9" s="15"/>
      <x:c r="H9" s="15"/>
      <x:c r="I9" s="15"/>
      <x:c r="J9" s="15"/>
      <x:c r="K9" s="15"/>
      <x:c r="L9" s="15"/>
    </x:row>
    <x:row r="10">
      <x:c r="A10" s="14" t="str">
        <x:v>Application 물리</x:v>
      </x:c>
      <x:c r="B10" s="14"/>
      <x:c r="C10" s="14"/>
      <x:c r="D10" s="15" t="str">
        <x:v>50 tables / 611 columns / 86 FK</x:v>
      </x:c>
      <x:c r="E10" s="15"/>
      <x:c r="F10" s="15"/>
      <x:c r="G10" s="15"/>
      <x:c r="H10" s="15"/>
      <x:c r="I10" s="15"/>
      <x:c r="J10" s="15"/>
      <x:c r="K10" s="15"/>
      <x:c r="L10" s="15"/>
    </x:row>
    <x:row r="11">
      <x:c r="A11" s="14" t="str">
        <x:v>Application 제품 경로</x:v>
      </x:c>
      <x:c r="B11" s="14"/>
      <x:c r="C11" s="14"/>
      <x:c r="D11" s="15" t="str">
        <x:v>43 tables / 558 columns (legacy 4/50 + 내부 제어 3/3 분리)</x:v>
      </x:c>
      <x:c r="E11" s="15"/>
      <x:c r="F11" s="15"/>
      <x:c r="G11" s="15"/>
      <x:c r="H11" s="15"/>
      <x:c r="I11" s="15"/>
      <x:c r="J11" s="15"/>
      <x:c r="K11" s="15"/>
      <x:c r="L11" s="15"/>
    </x:row>
    <x:row r="12">
      <x:c r="A12" s="14" t="str">
        <x:v>RAG pgvector</x:v>
      </x:c>
      <x:c r="B12" s="14"/>
      <x:c r="C12" s="14"/>
      <x:c r="D12" s="15" t="str">
        <x:v>12 tables / 151 columns / 3 FK · 기능 호출 기본 비활성</x:v>
      </x:c>
      <x:c r="E12" s="15"/>
      <x:c r="F12" s="15"/>
      <x:c r="G12" s="15"/>
      <x:c r="H12" s="15"/>
      <x:c r="I12" s="15"/>
      <x:c r="J12" s="15"/>
      <x:c r="K12" s="15"/>
      <x:c r="L12" s="15"/>
    </x:row>
    <x:row r="13">
      <x:c r="A13" s="14" t="str">
        <x:v>Source 상세·실행</x:v>
      </x:c>
      <x:c r="B13" s="14"/>
      <x:c r="C13" s="14"/>
      <x:c r="D13" s="15" t="str">
        <x:v>상세 18 tables / 263 columns · 실행 release 38 / 410 / 7,815,868 rows</x:v>
      </x:c>
      <x:c r="E13" s="15"/>
      <x:c r="F13" s="15"/>
      <x:c r="G13" s="15"/>
      <x:c r="H13" s="15"/>
      <x:c r="I13" s="15"/>
      <x:c r="J13" s="15"/>
      <x:c r="K13" s="15"/>
      <x:c r="L13" s="15"/>
    </x:row>
    <x:row r="14">
      <x:c r="A14" s="14" t="str">
        <x:v>Trino·DataHub</x:v>
      </x:c>
      <x:c r="B14" s="14"/>
      <x:c r="C14" s="14"/>
      <x:c r="D14" s="15" t="str">
        <x:v>13 Views / 410 columns는 정적 계약 · DataHub 실행 정합성 미확인</x:v>
      </x:c>
      <x:c r="E14" s="15"/>
      <x:c r="F14" s="15"/>
      <x:c r="G14" s="15"/>
      <x:c r="H14" s="15"/>
      <x:c r="I14" s="15"/>
      <x:c r="J14" s="15"/>
      <x:c r="K14" s="15"/>
      <x:c r="L14" s="15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</x:row>
    <x:row r="16" ht="28" customHeight="1">
      <x:c r="A16" s="17" t="str">
        <x:v>판정 원칙: 격리 DB에서 현재 Alembic 01~49와 RAG init 001~009를 재생한 구조만 PASS로 기록한다. Source·Trino는 저장소의 versioned release 계약을 반영하되 live run ID·query ID·watermark·checksum 증거가 없어 EVIDENCE_NOT_ATTACHED로 구분한다. DataHub ingestion은 NOT_CONFIRMED다.</x:v>
      </x:c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</x:row>
    <x:row r="17" ht="28" customHeight="1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</x:row>
    <x:row r="18" ht="28" customHeight="1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>
      <x:c r="A20" s="19" t="str">
        <x:v>최종 문서 세트: 최신반영 DOCX + 최신반영 XLSX</x:v>
      </x:c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</x:row>
  </x:sheetData>
  <x:mergeCells>
    <x:mergeCell ref="A1:L2"/>
    <x:mergeCell ref="A3:L3"/>
    <x:mergeCell ref="A5:C5"/>
    <x:mergeCell ref="D5:L5"/>
    <x:mergeCell ref="A6:C6"/>
    <x:mergeCell ref="D6:L6"/>
    <x:mergeCell ref="A7:C7"/>
    <x:mergeCell ref="D7:L7"/>
    <x:mergeCell ref="A8:C8"/>
    <x:mergeCell ref="D8:L8"/>
    <x:mergeCell ref="A9:C9"/>
    <x:mergeCell ref="D9:L9"/>
    <x:mergeCell ref="A10:C10"/>
    <x:mergeCell ref="D10:L10"/>
    <x:mergeCell ref="A11:C11"/>
    <x:mergeCell ref="D11:L11"/>
    <x:mergeCell ref="A12:C12"/>
    <x:mergeCell ref="D12:L12"/>
    <x:mergeCell ref="A13:C13"/>
    <x:mergeCell ref="D13:L13"/>
    <x:mergeCell ref="A14:C14"/>
    <x:mergeCell ref="D14:L14"/>
    <x:mergeCell ref="A16:L18"/>
    <x:mergeCell ref="A20:L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52" hidden="0" customWidth="1"/>
  </x:cols>
  <x:sheetData>
    <x:row r="1">
      <x:c r="A1" s="20" t="str">
        <x:v>01. 데이터베이스 구성 및 검증 상태</x:v>
      </x:c>
      <x:c r="B1" s="20"/>
      <x:c r="C1" s="20"/>
      <x:c r="D1" s="20"/>
    </x:row>
    <x:row r="2">
      <x:c r="A2" s="20"/>
      <x:c r="B2" s="20"/>
      <x:c r="C2" s="20"/>
      <x:c r="D2" s="20"/>
    </x:row>
    <x:row r="3">
      <x:c r="A3" s="3"/>
      <x:c r="B3" s="3"/>
      <x:c r="C3" s="3"/>
      <x:c r="D3" s="3"/>
    </x:row>
    <x:row r="4">
      <x:c r="A4" s="22" t="str">
        <x:v>정적 명세와 실행 증거 분리 판정</x:v>
      </x:c>
      <x:c r="B4" s="22"/>
      <x:c r="C4" s="22"/>
      <x:c r="D4" s="22"/>
    </x:row>
    <x:row r="5">
      <x:c r="A5" s="25" t="str">
        <x:v>검증 항목</x:v>
      </x:c>
      <x:c r="B5" s="25" t="str">
        <x:v>기대 기준</x:v>
      </x:c>
      <x:c r="C5" s="25" t="str">
        <x:v>확인 결과</x:v>
      </x:c>
      <x:c r="D5" s="25" t="str">
        <x:v>판정</x:v>
      </x:c>
    </x:row>
    <x:row r="6">
      <x:c r="A6" s="15" t="str">
        <x:v>전체 상세 Table</x:v>
      </x:c>
      <x:c r="B6" s="15" t="n">
        <x:v>80</x:v>
      </x:c>
      <x:c r="C6" s="15" t="n">
        <x:f>COUNTA('02_테이블목록'!$A$6:$A$85)</x:f>
        <x:v>80</x:v>
      </x:c>
      <x:c r="D6" s="15" t="str">
        <x:f>IF(B6=C6,"PASS","CHECK")</x:f>
        <x:v>PASS</x:v>
      </x:c>
    </x:row>
    <x:row r="7">
      <x:c r="A7" s="15" t="str">
        <x:v>전체 상세 Column</x:v>
      </x:c>
      <x:c r="B7" s="15" t="n">
        <x:v>1025</x:v>
      </x:c>
      <x:c r="C7" s="15" t="n">
        <x:f>SUM('02_테이블목록'!$J$6:$J$85)</x:f>
        <x:v>1025</x:v>
      </x:c>
      <x:c r="D7" s="15" t="str">
        <x:f>IF(B7=C7,"PASS","CHECK")</x:f>
        <x:v>PASS</x:v>
      </x:c>
    </x:row>
    <x:row r="8">
      <x:c r="A8" s="15" t="str">
        <x:v>Application 물리 Table</x:v>
      </x:c>
      <x:c r="B8" s="15" t="n">
        <x:v>50</x:v>
      </x:c>
      <x:c r="C8" s="15" t="n">
        <x:f>COUNTIF('02_테이블목록'!$B$6:$B$85,"Application")</x:f>
        <x:v>50</x:v>
      </x:c>
      <x:c r="D8" s="15" t="str">
        <x:f>IF(B8=C8,"PASS","CHECK")</x:f>
        <x:v>PASS</x:v>
      </x:c>
    </x:row>
    <x:row r="9">
      <x:c r="A9" s="15" t="str">
        <x:v>Application 물리 Column</x:v>
      </x:c>
      <x:c r="B9" s="15" t="n">
        <x:v>611</x:v>
      </x:c>
      <x:c r="C9" s="15" t="n">
        <x:f>SUMIF('02_테이블목록'!$B$6:$B$85,"Application",'02_테이블목록'!$J$6:$J$85)</x:f>
        <x:v>611</x:v>
      </x:c>
      <x:c r="D9" s="15" t="str">
        <x:f>IF(B9=C9,"PASS","CHECK")</x:f>
        <x:v>PASS</x:v>
      </x:c>
    </x:row>
    <x:row r="10">
      <x:c r="A10" s="15" t="str">
        <x:v>Application 제품 경로 Table</x:v>
      </x:c>
      <x:c r="B10" s="15" t="n">
        <x:v>43</x:v>
      </x:c>
      <x:c r="C10" s="15" t="n">
        <x:f>COUNTIFS('02_테이블목록'!$B$6:$B$85,"Application",'02_테이블목록'!$H$6:$H$85,"사용")</x:f>
        <x:v>43</x:v>
      </x:c>
      <x:c r="D10" s="15" t="str">
        <x:f>IF(B10=C10,"PASS","CHECK")</x:f>
        <x:v>PASS</x:v>
      </x:c>
    </x:row>
    <x:row r="11">
      <x:c r="A11" s="15" t="str">
        <x:v>Application 제품 경로 Column</x:v>
      </x:c>
      <x:c r="B11" s="15" t="n">
        <x:v>558</x:v>
      </x:c>
      <x:c r="C11" s="15" t="n">
        <x:f>SUMIFS('02_테이블목록'!$J$6:$J$85,'02_테이블목록'!$B$6:$B$85,"Application",'02_테이블목록'!$H$6:$H$85,"사용")</x:f>
        <x:v>558</x:v>
      </x:c>
      <x:c r="D11" s="15" t="str">
        <x:f>IF(B11=C11,"PASS","CHECK")</x:f>
        <x:v>PASS</x:v>
      </x:c>
    </x:row>
    <x:row r="12">
      <x:c r="A12" s="15" t="str">
        <x:v>RAG 상세 Table</x:v>
      </x:c>
      <x:c r="B12" s="15" t="n">
        <x:v>12</x:v>
      </x:c>
      <x:c r="C12" s="15" t="n">
        <x:f>COUNTIF('02_테이블목록'!$B$6:$B$85,"RAG")</x:f>
        <x:v>12</x:v>
      </x:c>
      <x:c r="D12" s="15" t="str">
        <x:f>IF(B12=C12,"PASS","CHECK")</x:f>
        <x:v>PASS</x:v>
      </x:c>
    </x:row>
    <x:row r="13">
      <x:c r="A13" s="15" t="str">
        <x:v>RAG 상세 Column</x:v>
      </x:c>
      <x:c r="B13" s="15" t="n">
        <x:v>151</x:v>
      </x:c>
      <x:c r="C13" s="15" t="n">
        <x:f>SUMIF('02_테이블목록'!$B$6:$B$85,"RAG",'02_테이블목록'!$J$6:$J$85)</x:f>
        <x:v>151</x:v>
      </x:c>
      <x:c r="D13" s="15" t="str">
        <x:f>IF(B13=C13,"PASS","CHECK")</x:f>
        <x:v>PASS</x:v>
      </x:c>
    </x:row>
    <x:row r="14">
      <x:c r="A14" s="15" t="str">
        <x:v>Source 상세 Table</x:v>
      </x:c>
      <x:c r="B14" s="15" t="n">
        <x:v>18</x:v>
      </x:c>
      <x:c r="C14" s="15" t="n">
        <x:f>COUNTIF('02_테이블목록'!$B$6:$B$85,"Source")</x:f>
        <x:v>18</x:v>
      </x:c>
      <x:c r="D14" s="15" t="str">
        <x:f>IF(B14=C14,"PASS","CHECK")</x:f>
        <x:v>PASS</x:v>
      </x:c>
    </x:row>
    <x:row r="15">
      <x:c r="A15" s="15" t="str">
        <x:v>Source 상세 Column</x:v>
      </x:c>
      <x:c r="B15" s="15" t="n">
        <x:v>263</x:v>
      </x:c>
      <x:c r="C15" s="15" t="n">
        <x:f>SUMIF('02_테이블목록'!$B$6:$B$85,"Source",'02_테이블목록'!$J$6:$J$85)</x:f>
        <x:v>263</x:v>
      </x:c>
      <x:c r="D15" s="15" t="str">
        <x:f>IF(B15=C15,"PASS","CHECK")</x:f>
        <x:v>PASS</x:v>
      </x:c>
    </x:row>
    <x:row r="16">
      <x:c r="A16" s="15" t="str">
        <x:v>Source 실행 근거</x:v>
      </x:c>
      <x:c r="B16" s="15" t="str">
        <x:v>38 tables + row count</x:v>
      </x:c>
      <x:c r="C16" s="15" t="str">
        <x:v>38개 / 7,815,868행(문서·manifest 기재)</x:v>
      </x:c>
      <x:c r="D16" s="28" t="str">
        <x:v>EVIDENCE_NOT_ATTACHED</x:v>
      </x:c>
    </x:row>
    <x:row r="17">
      <x:c r="A17" s="15" t="str">
        <x:v>Trino serving 근거</x:v>
      </x:c>
      <x:c r="B17" s="15" t="str">
        <x:v>13 Views / 410 columns</x:v>
      </x:c>
      <x:c r="C17" s="15" t="str">
        <x:v>13개 / 410개(DDL·manifest 기재)</x:v>
      </x:c>
      <x:c r="D17" s="28" t="str">
        <x:v>EVIDENCE_NOT_ATTACHED</x:v>
      </x:c>
    </x:row>
    <x:row r="18">
      <x:c r="A18" s="15" t="str">
        <x:v>DataHub ingestion</x:v>
      </x:c>
      <x:c r="B18" s="15" t="str">
        <x:v>run ID·asset·column·lineage 증거</x:v>
      </x:c>
      <x:c r="C18" s="15" t="str">
        <x:v>실행 정합성 미확인</x:v>
      </x:c>
      <x:c r="D18" s="31" t="str">
        <x:v>NOT_CONFIRMED</x:v>
      </x:c>
    </x:row>
    <x:row r="19">
      <x:c r="A19" s="3"/>
      <x:c r="B19" s="3"/>
      <x:c r="C19" s="3"/>
      <x:c r="D19" s="3"/>
    </x:row>
    <x:row r="20">
      <x:c r="A20" s="22" t="str">
        <x:v>Application schema 구성</x:v>
      </x:c>
      <x:c r="B20" s="22"/>
      <x:c r="C20" s="22"/>
      <x:c r="D20" s="22"/>
    </x:row>
    <x:row r="21">
      <x:c r="A21" s="25" t="str">
        <x:v>Schema</x:v>
      </x:c>
      <x:c r="B21" s="25" t="str">
        <x:v>Table</x:v>
      </x:c>
      <x:c r="C21" s="25" t="str">
        <x:v>Column</x:v>
      </x:c>
      <x:c r="D21" s="25" t="str">
        <x:v>현재 상태·역할</x:v>
      </x:c>
    </x:row>
    <x:row r="22">
      <x:c r="A22" s="15" t="str">
        <x:v>analysis_v1</x:v>
      </x:c>
      <x:c r="B22" s="15" t="n">
        <x:f>COUNTIFS('02_테이블목록'!$B$6:$B$85,"Application",'02_테이블목록'!$E$6:$E$85,A22)</x:f>
        <x:v>2</x:v>
      </x:c>
      <x:c r="C22" s="15" t="n">
        <x:f>SUMIFS('02_테이블목록'!$J$6:$J$85,'02_테이블목록'!$B$6:$B$85,"Application",'02_테이블목록'!$E$6:$E$85,A22)</x:f>
        <x:v>21</x:v>
      </x:c>
      <x:c r="D22" s="15" t="str">
        <x:v>저장 분석 정의·실행 연결</x:v>
      </x:c>
    </x:row>
    <x:row r="23">
      <x:c r="A23" s="15" t="str">
        <x:v>artifact</x:v>
      </x:c>
      <x:c r="B23" s="15" t="n">
        <x:f>COUNTIFS('02_테이블목록'!$B$6:$B$85,"Application",'02_테이블목록'!$E$6:$E$85,A23)</x:f>
        <x:v>2</x:v>
      </x:c>
      <x:c r="C23" s="15" t="n">
        <x:f>SUMIFS('02_테이블목록'!$J$6:$J$85,'02_테이블목록'!$B$6:$B$85,"Application",'02_테이블목록'!$E$6:$E$85,A23)</x:f>
        <x:v>24</x:v>
      </x:c>
      <x:c r="D23" s="15" t="str">
        <x:v>표·차트·KPI·근거</x:v>
      </x:c>
    </x:row>
    <x:row r="24">
      <x:c r="A24" s="15" t="str">
        <x:v>chat</x:v>
      </x:c>
      <x:c r="B24" s="15" t="n">
        <x:f>COUNTIFS('02_테이블목록'!$B$6:$B$85,"Application",'02_테이블목록'!$E$6:$E$85,A24)</x:f>
        <x:v>5</x:v>
      </x:c>
      <x:c r="C24" s="15" t="n">
        <x:f>SUMIFS('02_테이블목록'!$J$6:$J$85,'02_테이블목록'!$B$6:$B$85,"Application",'02_테이블목록'!$E$6:$E$85,A24)</x:f>
        <x:v>80</x:v>
      </x:c>
      <x:c r="D24" s="15" t="str">
        <x:v>대화·턴·명령·분석 요청</x:v>
      </x:c>
    </x:row>
    <x:row r="25">
      <x:c r="A25" s="15" t="str">
        <x:v>connection</x:v>
      </x:c>
      <x:c r="B25" s="15" t="n">
        <x:f>COUNTIFS('02_테이블목록'!$B$6:$B$85,"Application",'02_테이블목록'!$E$6:$E$85,A25)</x:f>
        <x:v>2</x:v>
      </x:c>
      <x:c r="C25" s="15" t="n">
        <x:f>SUMIFS('02_테이블목록'!$J$6:$J$85,'02_테이블목록'!$B$6:$B$85,"Application",'02_테이블목록'!$E$6:$E$85,A25)</x:f>
        <x:v>25</x:v>
      </x:c>
      <x:c r="D25" s="15" t="str">
        <x:v>원천 연결과 ingestion 실행</x:v>
      </x:c>
    </x:row>
    <x:row r="26">
      <x:c r="A26" s="15" t="str">
        <x:v>context</x:v>
      </x:c>
      <x:c r="B26" s="15" t="n">
        <x:f>COUNTIFS('02_테이블목록'!$B$6:$B$85,"Application",'02_테이블목록'!$E$6:$E$85,A26)</x:f>
        <x:v>4</x:v>
      </x:c>
      <x:c r="C26" s="15" t="n">
        <x:f>SUMIFS('02_테이블목록'!$J$6:$J$85,'02_테이블목록'!$B$6:$B$85,"Application",'02_테이블목록'!$E$6:$E$85,A26)</x:f>
        <x:v>51</x:v>
      </x:c>
      <x:c r="D26" s="15" t="str">
        <x:v>승인 Context·release·package·template</x:v>
      </x:c>
    </x:row>
    <x:row r="27">
      <x:c r="A27" s="15" t="str">
        <x:v>governance</x:v>
      </x:c>
      <x:c r="B27" s="15" t="n">
        <x:f>COUNTIFS('02_테이블목록'!$B$6:$B$85,"Application",'02_테이블목록'!$E$6:$E$85,A27)</x:f>
        <x:v>10</x:v>
      </x:c>
      <x:c r="C27" s="15" t="n">
        <x:f>SUMIFS('02_테이블목록'!$J$6:$J$85,'02_테이블목록'!$B$6:$B$85,"Application",'02_테이블목록'!$E$6:$E$85,A27)</x:f>
        <x:v>83</x:v>
      </x:c>
      <x:c r="D27" s="15" t="str">
        <x:v>감사·release·runtime catalog·ML audit</x:v>
      </x:c>
    </x:row>
    <x:row r="28">
      <x:c r="A28" s="15" t="str">
        <x:v>model</x:v>
      </x:c>
      <x:c r="B28" s="15" t="n">
        <x:f>COUNTIFS('02_테이블목록'!$B$6:$B$85,"Application",'02_테이블목록'!$E$6:$E$85,A28)</x:f>
        <x:v>2</x:v>
      </x:c>
      <x:c r="C28" s="15" t="n">
        <x:f>SUMIFS('02_테이블목록'!$J$6:$J$85,'02_테이블목록'!$B$6:$B$85,"Application",'02_테이블목록'!$E$6:$E$85,A28)</x:f>
        <x:v>26</x:v>
      </x:c>
      <x:c r="D28" s="15" t="str">
        <x:v>모델 버전과 평가 실행</x:v>
      </x:c>
    </x:row>
    <x:row r="29">
      <x:c r="A29" s="15" t="str">
        <x:v>query</x:v>
      </x:c>
      <x:c r="B29" s="15" t="n">
        <x:f>COUNTIFS('02_테이블목록'!$B$6:$B$85,"Application",'02_테이블목록'!$E$6:$E$85,A29)</x:f>
        <x:v>1</x:v>
      </x:c>
      <x:c r="C29" s="15" t="n">
        <x:f>SUMIFS('02_테이블목록'!$J$6:$J$85,'02_테이블목록'!$B$6:$B$85,"Application",'02_테이블목록'!$E$6:$E$85,A29)</x:f>
        <x:v>22</x:v>
      </x:c>
      <x:c r="D29" s="15" t="str">
        <x:v>SQL 생성·검증·실행 이력</x:v>
      </x:c>
    </x:row>
    <x:row r="30">
      <x:c r="A30" s="15" t="str">
        <x:v>reference</x:v>
      </x:c>
      <x:c r="B30" s="15" t="n">
        <x:f>COUNTIFS('02_테이블목록'!$B$6:$B$85,"Application",'02_테이블목록'!$E$6:$E$85,A30)</x:f>
        <x:v>3</x:v>
      </x:c>
      <x:c r="C30" s="15" t="n">
        <x:f>SUMIFS('02_테이블목록'!$J$6:$J$85,'02_테이블목록'!$B$6:$B$85,"Application",'02_테이블목록'!$E$6:$E$85,A30)</x:f>
        <x:v>43</x:v>
      </x:c>
      <x:c r="D30" s="15" t="str">
        <x:v>달력·시장 기준·수요 지수</x:v>
      </x:c>
    </x:row>
    <x:row r="31">
      <x:c r="A31" s="15" t="str">
        <x:v>report</x:v>
      </x:c>
      <x:c r="B31" s="15" t="n">
        <x:f>COUNTIFS('02_테이블목록'!$B$6:$B$85,"Application",'02_테이블목록'!$E$6:$E$85,A31)</x:f>
        <x:v>4</x:v>
      </x:c>
      <x:c r="C31" s="15" t="n">
        <x:f>SUMIFS('02_테이블목록'!$J$6:$J$85,'02_테이블목록'!$B$6:$B$85,"Application",'02_테이블목록'!$E$6:$E$85,A31)</x:f>
        <x:v>50</x:v>
      </x:c>
      <x:c r="D31" s="15" t="str">
        <x:v>레거시 호환 스키마</x:v>
      </x:c>
    </x:row>
    <x:row r="32">
      <x:c r="A32" s="15" t="str">
        <x:v>report_v1</x:v>
      </x:c>
      <x:c r="B32" s="15" t="n">
        <x:f>COUNTIFS('02_테이블목록'!$B$6:$B$85,"Application",'02_테이블목록'!$E$6:$E$85,A32)</x:f>
        <x:v>11</x:v>
      </x:c>
      <x:c r="C32" s="15" t="n">
        <x:f>SUMIFS('02_테이블목록'!$J$6:$J$85,'02_테이블목록'!$B$6:$B$85,"Application",'02_테이블목록'!$E$6:$E$85,A32)</x:f>
        <x:v>148</x:v>
      </x:c>
      <x:c r="D32" s="15" t="str">
        <x:v>보고서·Assistant·실행·문서</x:v>
      </x:c>
    </x:row>
    <x:row r="33">
      <x:c r="A33" s="15" t="str">
        <x:v>security</x:v>
      </x:c>
      <x:c r="B33" s="15" t="n">
        <x:f>COUNTIFS('02_테이블목록'!$B$6:$B$85,"Application",'02_테이블목록'!$E$6:$E$85,A33)</x:f>
        <x:v>2</x:v>
      </x:c>
      <x:c r="C33" s="15" t="n">
        <x:f>SUMIFS('02_테이블목록'!$J$6:$J$85,'02_테이블목록'!$B$6:$B$85,"Application",'02_테이블목록'!$E$6:$E$85,A33)</x:f>
        <x:v>16</x:v>
      </x:c>
      <x:c r="D33" s="15" t="str">
        <x:v>DB 인증 계정·세션</x:v>
      </x:c>
    </x:row>
    <x:row r="34">
      <x:c r="A34" s="15" t="str">
        <x:v>tooling</x:v>
      </x:c>
      <x:c r="B34" s="15" t="n">
        <x:f>COUNTIFS('02_테이블목록'!$B$6:$B$85,"Application",'02_테이블목록'!$E$6:$E$85,A34)</x:f>
        <x:v>2</x:v>
      </x:c>
      <x:c r="C34" s="15" t="n">
        <x:f>SUMIFS('02_테이블목록'!$J$6:$J$85,'02_테이블목록'!$B$6:$B$85,"Application",'02_테이블목록'!$E$6:$E$85,A34)</x:f>
        <x:v>22</x:v>
      </x:c>
      <x:c r="D34" s="15" t="str">
        <x:v>MCP/RAG 도구 계약과 호출 이력</x:v>
      </x:c>
    </x:row>
    <x:row r="35">
      <x:c r="A35" s="34" t="str">
        <x:v>합계</x:v>
      </x:c>
      <x:c r="B35" s="34" t="n">
        <x:f>SUM(B22:B34)</x:f>
        <x:v>50</x:v>
      </x:c>
      <x:c r="C35" s="34" t="n">
        <x:f>SUM(C22:C34)</x:f>
        <x:v>611</x:v>
      </x:c>
      <x:c r="D35" s="34" t="str">
        <x:v>Application 물리 전체</x:v>
      </x:c>
    </x:row>
    <x:row r="36">
      <x:c r="A36" s="3"/>
      <x:c r="B36" s="3"/>
      <x:c r="C36" s="3"/>
      <x:c r="D36" s="3"/>
    </x:row>
    <x:row r="37">
      <x:c r="A37" s="3"/>
      <x:c r="B37" s="3"/>
      <x:c r="C37" s="3"/>
      <x:c r="D37" s="3"/>
    </x:row>
    <x:row r="38">
      <x:c r="A38" s="3"/>
      <x:c r="B38" s="3"/>
      <x:c r="C38" s="3"/>
      <x:c r="D38" s="3"/>
    </x:row>
  </x:sheetData>
  <x:mergeCells>
    <x:mergeCell ref="A1:D2"/>
    <x:mergeCell ref="A4:D4"/>
    <x:mergeCell ref="A20:D20"/>
  </x:mergeCells>
  <x:conditionalFormatting sqref="D6:D15">
    <x:cfRule type="containsText" dxfId="0" priority="1" operator="containsText" text="PASS"/>
    <x:cfRule type="containsText" dxfId="1" priority="2" operator="containsText" text="CHECK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20" hidden="0" customWidth="1"/>
    <x:col min="4" max="4" width="20" hidden="0" customWidth="1"/>
    <x:col min="5" max="5" width="18" hidden="0" customWidth="1"/>
    <x:col min="6" max="6" width="34" hidden="0" customWidth="1"/>
    <x:col min="7" max="7" width="26" hidden="0" customWidth="1"/>
    <x:col min="8" max="8" width="20" hidden="0" customWidth="1"/>
    <x:col min="9" max="9" width="34" hidden="0" customWidth="1"/>
    <x:col min="10" max="10" width="10" hidden="0" customWidth="1"/>
    <x:col min="11" max="11" width="9" hidden="0" customWidth="1"/>
    <x:col min="12" max="12" width="12" hidden="0" customWidth="1"/>
  </x:cols>
  <x:sheetData>
    <x:row r="1">
      <x:c r="A1" s="35" t="str">
        <x:v>Answervice 데이터 테이블 명세서 v2.0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</x:row>
    <x:row r="2">
      <x:c r="A2" s="3" t="str">
        <x:v>작성 기준</x:v>
      </x:c>
      <x:c r="B2" s="3" t="str">
        <x:v>현재 로컬 Alembic·RAG init·Source release</x:v>
      </x:c>
      <x:c r="C2" s="3"/>
      <x:c r="D2" s="3" t="str">
        <x:v>작성일</x:v>
      </x:c>
      <x:c r="E2" s="3" t="str">
        <x:v>2026.09.01</x:v>
      </x:c>
      <x:c r="F2" s="3"/>
      <x:c r="G2" s="3" t="str">
        <x:v>명세 테이블</x:v>
      </x:c>
      <x:c r="H2" s="3" t="n">
        <x:v>80</x:v>
      </x:c>
      <x:c r="I2" s="3"/>
      <x:c r="J2" s="3" t="str">
        <x:v>전체 컬럼</x:v>
      </x:c>
      <x:c r="K2" s="3" t="n">
        <x:v>1025</x:v>
      </x:c>
      <x:c r="L2" s="3"/>
    </x:row>
    <x:row r="3">
      <x:c r="A3" s="3" t="str">
        <x:v>Application 50개·611열, RAG 12개·151열, Source 상세 18개·263열을 합친 현재 상세 명세다. Source 실행 release 38개·410열과의 차이는 잔여 명세 보강 대상으로 관리한다.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3" t="str">
        <x:v>현재 계약: Alembic head 20260828_49 · RAG init 001~009 · generation_mode=LLM|TEMPLATE|COMPILER · turn route=ANALYSIS|PRESENTATION|REPORT_ACTION|INTERNAL_GUIDELINE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>
      <x:c r="A5" s="25" t="str">
        <x:v>ID</x:v>
      </x:c>
      <x:c r="B5" s="25" t="str">
        <x:v>구분</x:v>
      </x:c>
      <x:c r="C5" s="25" t="str">
        <x:v>DBMS</x:v>
      </x:c>
      <x:c r="D5" s="25" t="str">
        <x:v>Database</x:v>
      </x:c>
      <x:c r="E5" s="25" t="str">
        <x:v>Schema</x:v>
      </x:c>
      <x:c r="F5" s="25" t="str">
        <x:v>Table</x:v>
      </x:c>
      <x:c r="G5" s="25" t="str">
        <x:v>테이블명</x:v>
      </x:c>
      <x:c r="H5" s="25" t="str">
        <x:v>현재 상태</x:v>
      </x:c>
      <x:c r="I5" s="25" t="str">
        <x:v>시트</x:v>
      </x:c>
      <x:c r="J5" s="25" t="str">
        <x:v>컬럼 수</x:v>
      </x:c>
      <x:c r="K5" s="25" t="str">
        <x:v>PK 수</x:v>
      </x:c>
      <x:c r="L5" s="25" t="str">
        <x:v>물리 FK 수</x:v>
      </x:c>
    </x:row>
    <x:row r="6">
      <x:c r="A6" s="15" t="str">
        <x:v>AN01</x:v>
      </x:c>
      <x:c r="B6" s="15" t="str">
        <x:v>Application</x:v>
      </x:c>
      <x:c r="C6" s="15" t="str">
        <x:v>PostgreSQL</x:v>
      </x:c>
      <x:c r="D6" s="15" t="str">
        <x:v>hotel_datahub_app</x:v>
      </x:c>
      <x:c r="E6" s="15" t="str">
        <x:v>analysis_v1</x:v>
      </x:c>
      <x:c r="F6" s="15" t="str">
        <x:v>analysis_definitions</x:v>
      </x:c>
      <x:c r="G6" s="15" t="str">
        <x:v>분석 정의 버전</x:v>
      </x:c>
      <x:c r="H6" s="15" t="str">
        <x:v>사용</x:v>
      </x:c>
      <x:c r="I6" s="15" t="str">
        <x:v>AN01_analysis_definitions</x:v>
      </x:c>
      <x:c r="J6" s="36" t="n">
        <x:v>12</x:v>
      </x:c>
      <x:c r="K6" s="36" t="n">
        <x:v>1</x:v>
      </x:c>
      <x:c r="L6" s="36" t="n">
        <x:v>0</x:v>
      </x:c>
    </x:row>
    <x:row r="7">
      <x:c r="A7" s="15" t="str">
        <x:v>AN02</x:v>
      </x:c>
      <x:c r="B7" s="15" t="str">
        <x:v>Application</x:v>
      </x:c>
      <x:c r="C7" s="15" t="str">
        <x:v>PostgreSQL</x:v>
      </x:c>
      <x:c r="D7" s="15" t="str">
        <x:v>hotel_datahub_app</x:v>
      </x:c>
      <x:c r="E7" s="15" t="str">
        <x:v>analysis_v1</x:v>
      </x:c>
      <x:c r="F7" s="15" t="str">
        <x:v>analysis_run_links</x:v>
      </x:c>
      <x:c r="G7" s="15" t="str">
        <x:v>분석 정의-실행 연결</x:v>
      </x:c>
      <x:c r="H7" s="15" t="str">
        <x:v>사용</x:v>
      </x:c>
      <x:c r="I7" s="15" t="str">
        <x:v>AN02_analysis_run_links</x:v>
      </x:c>
      <x:c r="J7" s="36" t="n">
        <x:v>9</x:v>
      </x:c>
      <x:c r="K7" s="36" t="n">
        <x:v>1</x:v>
      </x:c>
      <x:c r="L7" s="36" t="n">
        <x:v>2</x:v>
      </x:c>
    </x:row>
    <x:row r="8">
      <x:c r="A8" s="15" t="str">
        <x:v>A01</x:v>
      </x:c>
      <x:c r="B8" s="15" t="str">
        <x:v>Application</x:v>
      </x:c>
      <x:c r="C8" s="15" t="str">
        <x:v>PostgreSQL</x:v>
      </x:c>
      <x:c r="D8" s="15" t="str">
        <x:v>hotel_datahub_app</x:v>
      </x:c>
      <x:c r="E8" s="15" t="str">
        <x:v>artifact</x:v>
      </x:c>
      <x:c r="F8" s="15" t="str">
        <x:v>analysis_artifacts</x:v>
      </x:c>
      <x:c r="G8" s="15" t="str">
        <x:v>분석 산출물</x:v>
      </x:c>
      <x:c r="H8" s="15" t="str">
        <x:v>사용</x:v>
      </x:c>
      <x:c r="I8" s="15" t="str">
        <x:v>A01_analysis_artifacts</x:v>
      </x:c>
      <x:c r="J8" s="36" t="n">
        <x:v>15</x:v>
      </x:c>
      <x:c r="K8" s="36" t="n">
        <x:v>1</x:v>
      </x:c>
      <x:c r="L8" s="36" t="n">
        <x:v>3</x:v>
      </x:c>
    </x:row>
    <x:row r="9">
      <x:c r="A9" s="15" t="str">
        <x:v>APP01</x:v>
      </x:c>
      <x:c r="B9" s="15" t="str">
        <x:v>Application</x:v>
      </x:c>
      <x:c r="C9" s="15" t="str">
        <x:v>PostgreSQL</x:v>
      </x:c>
      <x:c r="D9" s="15" t="str">
        <x:v>hotel_datahub_app</x:v>
      </x:c>
      <x:c r="E9" s="15" t="str">
        <x:v>artifact</x:v>
      </x:c>
      <x:c r="F9" s="15" t="str">
        <x:v>view_specs</x:v>
      </x:c>
      <x:c r="G9" s="15" t="str">
        <x:v>표·차트 표시 명세</x:v>
      </x:c>
      <x:c r="H9" s="15" t="str">
        <x:v>사용</x:v>
      </x:c>
      <x:c r="I9" s="15" t="str">
        <x:v>APP01_view_specs</x:v>
      </x:c>
      <x:c r="J9" s="36" t="n">
        <x:v>9</x:v>
      </x:c>
      <x:c r="K9" s="36" t="n">
        <x:v>1</x:v>
      </x:c>
      <x:c r="L9" s="36" t="n">
        <x:v>2</x:v>
      </x:c>
    </x:row>
    <x:row r="10">
      <x:c r="A10" s="15" t="str">
        <x:v>CH02</x:v>
      </x:c>
      <x:c r="B10" s="15" t="str">
        <x:v>Application</x:v>
      </x:c>
      <x:c r="C10" s="15" t="str">
        <x:v>PostgreSQL</x:v>
      </x:c>
      <x:c r="D10" s="15" t="str">
        <x:v>hotel_datahub_app</x:v>
      </x:c>
      <x:c r="E10" s="15" t="str">
        <x:v>chat</x:v>
      </x:c>
      <x:c r="F10" s="15" t="str">
        <x:v>analysis_requests</x:v>
      </x:c>
      <x:c r="G10" s="15" t="str">
        <x:v>분석 요청</x:v>
      </x:c>
      <x:c r="H10" s="15" t="str">
        <x:v>사용</x:v>
      </x:c>
      <x:c r="I10" s="15" t="str">
        <x:v>CH02_analysis_requests</x:v>
      </x:c>
      <x:c r="J10" s="36" t="n">
        <x:v>21</x:v>
      </x:c>
      <x:c r="K10" s="36" t="n">
        <x:v>1</x:v>
      </x:c>
      <x:c r="L10" s="36" t="n">
        <x:v>6</x:v>
      </x:c>
    </x:row>
    <x:row r="11">
      <x:c r="A11" s="15" t="str">
        <x:v>APP02</x:v>
      </x:c>
      <x:c r="B11" s="15" t="str">
        <x:v>Application</x:v>
      </x:c>
      <x:c r="C11" s="15" t="str">
        <x:v>PostgreSQL</x:v>
      </x:c>
      <x:c r="D11" s="15" t="str">
        <x:v>hotel_datahub_app</x:v>
      </x:c>
      <x:c r="E11" s="15" t="str">
        <x:v>chat</x:v>
      </x:c>
      <x:c r="F11" s="15" t="str">
        <x:v>analysis_state_transitions</x:v>
      </x:c>
      <x:c r="G11" s="15" t="str">
        <x:v>분석 상태 전이</x:v>
      </x:c>
      <x:c r="H11" s="15" t="str">
        <x:v>사용</x:v>
      </x:c>
      <x:c r="I11" s="15" t="str">
        <x:v>APP02_analysis_state_transition</x:v>
      </x:c>
      <x:c r="J11" s="36" t="n">
        <x:v>6</x:v>
      </x:c>
      <x:c r="K11" s="36" t="n">
        <x:v>1</x:v>
      </x:c>
      <x:c r="L11" s="36" t="n">
        <x:v>1</x:v>
      </x:c>
    </x:row>
    <x:row r="12">
      <x:c r="A12" s="15" t="str">
        <x:v>CH01</x:v>
      </x:c>
      <x:c r="B12" s="15" t="str">
        <x:v>Application</x:v>
      </x:c>
      <x:c r="C12" s="15" t="str">
        <x:v>PostgreSQL</x:v>
      </x:c>
      <x:c r="D12" s="15" t="str">
        <x:v>hotel_datahub_app</x:v>
      </x:c>
      <x:c r="E12" s="15" t="str">
        <x:v>chat</x:v>
      </x:c>
      <x:c r="F12" s="15" t="str">
        <x:v>conversations</x:v>
      </x:c>
      <x:c r="G12" s="15" t="str">
        <x:v>분석 대화</x:v>
      </x:c>
      <x:c r="H12" s="15" t="str">
        <x:v>사용</x:v>
      </x:c>
      <x:c r="I12" s="15" t="str">
        <x:v>CH01_conversations</x:v>
      </x:c>
      <x:c r="J12" s="36" t="n">
        <x:v>19</x:v>
      </x:c>
      <x:c r="K12" s="36" t="n">
        <x:v>1</x:v>
      </x:c>
      <x:c r="L12" s="36" t="n">
        <x:v>7</x:v>
      </x:c>
    </x:row>
    <x:row r="13">
      <x:c r="A13" s="15" t="str">
        <x:v>APP03</x:v>
      </x:c>
      <x:c r="B13" s="15" t="str">
        <x:v>Application</x:v>
      </x:c>
      <x:c r="C13" s="15" t="str">
        <x:v>PostgreSQL</x:v>
      </x:c>
      <x:c r="D13" s="15" t="str">
        <x:v>hotel_datahub_app</x:v>
      </x:c>
      <x:c r="E13" s="15" t="str">
        <x:v>chat</x:v>
      </x:c>
      <x:c r="F13" s="15" t="str">
        <x:v>turn_commands</x:v>
      </x:c>
      <x:c r="G13" s="15" t="str">
        <x:v>대화 턴 명령</x:v>
      </x:c>
      <x:c r="H13" s="15" t="str">
        <x:v>사용</x:v>
      </x:c>
      <x:c r="I13" s="15" t="str">
        <x:v>APP03_turn_commands</x:v>
      </x:c>
      <x:c r="J13" s="36" t="n">
        <x:v>14</x:v>
      </x:c>
      <x:c r="K13" s="36" t="n">
        <x:v>1</x:v>
      </x:c>
      <x:c r="L13" s="36" t="n">
        <x:v>3</x:v>
      </x:c>
    </x:row>
    <x:row r="14">
      <x:c r="A14" s="15" t="str">
        <x:v>APP04</x:v>
      </x:c>
      <x:c r="B14" s="15" t="str">
        <x:v>Application</x:v>
      </x:c>
      <x:c r="C14" s="15" t="str">
        <x:v>PostgreSQL</x:v>
      </x:c>
      <x:c r="D14" s="15" t="str">
        <x:v>hotel_datahub_app</x:v>
      </x:c>
      <x:c r="E14" s="15" t="str">
        <x:v>chat</x:v>
      </x:c>
      <x:c r="F14" s="15" t="str">
        <x:v>turns</x:v>
      </x:c>
      <x:c r="G14" s="15" t="str">
        <x:v>대화 턴</x:v>
      </x:c>
      <x:c r="H14" s="15" t="str">
        <x:v>사용</x:v>
      </x:c>
      <x:c r="I14" s="15" t="str">
        <x:v>APP04_turns</x:v>
      </x:c>
      <x:c r="J14" s="36" t="n">
        <x:v>20</x:v>
      </x:c>
      <x:c r="K14" s="36" t="n">
        <x:v>1</x:v>
      </x:c>
      <x:c r="L14" s="36" t="n">
        <x:v>9</x:v>
      </x:c>
    </x:row>
    <x:row r="15">
      <x:c r="A15" s="15" t="str">
        <x:v>C01</x:v>
      </x:c>
      <x:c r="B15" s="15" t="str">
        <x:v>Application</x:v>
      </x:c>
      <x:c r="C15" s="15" t="str">
        <x:v>PostgreSQL</x:v>
      </x:c>
      <x:c r="D15" s="15" t="str">
        <x:v>hotel_datahub_app</x:v>
      </x:c>
      <x:c r="E15" s="15" t="str">
        <x:v>connection</x:v>
      </x:c>
      <x:c r="F15" s="15" t="str">
        <x:v>data_sources</x:v>
      </x:c>
      <x:c r="G15" s="15" t="str">
        <x:v>데이터 소스 연결 정보</x:v>
      </x:c>
      <x:c r="H15" s="15" t="str">
        <x:v>사용</x:v>
      </x:c>
      <x:c r="I15" s="15" t="str">
        <x:v>C01_data_sources</x:v>
      </x:c>
      <x:c r="J15" s="36" t="n">
        <x:v>14</x:v>
      </x:c>
      <x:c r="K15" s="36" t="n">
        <x:v>1</x:v>
      </x:c>
      <x:c r="L15" s="36" t="n">
        <x:v>0</x:v>
      </x:c>
    </x:row>
    <x:row r="16">
      <x:c r="A16" s="15" t="str">
        <x:v>C02</x:v>
      </x:c>
      <x:c r="B16" s="15" t="str">
        <x:v>Application</x:v>
      </x:c>
      <x:c r="C16" s="15" t="str">
        <x:v>PostgreSQL</x:v>
      </x:c>
      <x:c r="D16" s="15" t="str">
        <x:v>hotel_datahub_app</x:v>
      </x:c>
      <x:c r="E16" s="15" t="str">
        <x:v>connection</x:v>
      </x:c>
      <x:c r="F16" s="15" t="str">
        <x:v>ingestion_runs</x:v>
      </x:c>
      <x:c r="G16" s="15" t="str">
        <x:v>메타데이터 수집 실행 이력</x:v>
      </x:c>
      <x:c r="H16" s="15" t="str">
        <x:v>사용</x:v>
      </x:c>
      <x:c r="I16" s="15" t="str">
        <x:v>C02_ingestion_runs</x:v>
      </x:c>
      <x:c r="J16" s="36" t="n">
        <x:v>11</x:v>
      </x:c>
      <x:c r="K16" s="36" t="n">
        <x:v>1</x:v>
      </x:c>
      <x:c r="L16" s="36" t="n">
        <x:v>1</x:v>
      </x:c>
    </x:row>
    <x:row r="17">
      <x:c r="A17" s="15" t="str">
        <x:v>APP05</x:v>
      </x:c>
      <x:c r="B17" s="15" t="str">
        <x:v>Application</x:v>
      </x:c>
      <x:c r="C17" s="15" t="str">
        <x:v>PostgreSQL</x:v>
      </x:c>
      <x:c r="D17" s="15" t="str">
        <x:v>hotel_datahub_app</x:v>
      </x:c>
      <x:c r="E17" s="15" t="str">
        <x:v>context</x:v>
      </x:c>
      <x:c r="F17" s="15" t="str">
        <x:v>analysis_templates</x:v>
      </x:c>
      <x:c r="G17" s="15" t="str">
        <x:v>분석 템플릿</x:v>
      </x:c>
      <x:c r="H17" s="15" t="str">
        <x:v>사용</x:v>
      </x:c>
      <x:c r="I17" s="15" t="str">
        <x:v>APP05_analysis_templates</x:v>
      </x:c>
      <x:c r="J17" s="36" t="n">
        <x:v>11</x:v>
      </x:c>
      <x:c r="K17" s="36" t="n">
        <x:v>1</x:v>
      </x:c>
      <x:c r="L17" s="36" t="n">
        <x:v>0</x:v>
      </x:c>
    </x:row>
    <x:row r="18">
      <x:c r="A18" s="15" t="str">
        <x:v>CTX03</x:v>
      </x:c>
      <x:c r="B18" s="15" t="str">
        <x:v>Application</x:v>
      </x:c>
      <x:c r="C18" s="15" t="str">
        <x:v>PostgreSQL</x:v>
      </x:c>
      <x:c r="D18" s="15" t="str">
        <x:v>hotel_datahub_app</x:v>
      </x:c>
      <x:c r="E18" s="15" t="str">
        <x:v>context</x:v>
      </x:c>
      <x:c r="F18" s="15" t="str">
        <x:v>context_packages</x:v>
      </x:c>
      <x:c r="G18" s="15" t="str">
        <x:v>요청별 컨텍스트 패키지</x:v>
      </x:c>
      <x:c r="H18" s="15" t="str">
        <x:v>사용</x:v>
      </x:c>
      <x:c r="I18" s="15" t="str">
        <x:v>CTX03_context_packages</x:v>
      </x:c>
      <x:c r="J18" s="36" t="n">
        <x:v>17</x:v>
      </x:c>
      <x:c r="K18" s="36" t="n">
        <x:v>1</x:v>
      </x:c>
      <x:c r="L18" s="36" t="n">
        <x:v>3</x:v>
      </x:c>
    </x:row>
    <x:row r="19">
      <x:c r="A19" s="15" t="str">
        <x:v>CTX01</x:v>
      </x:c>
      <x:c r="B19" s="15" t="str">
        <x:v>Application</x:v>
      </x:c>
      <x:c r="C19" s="15" t="str">
        <x:v>PostgreSQL</x:v>
      </x:c>
      <x:c r="D19" s="15" t="str">
        <x:v>hotel_datahub_app</x:v>
      </x:c>
      <x:c r="E19" s="15" t="str">
        <x:v>context</x:v>
      </x:c>
      <x:c r="F19" s="15" t="str">
        <x:v>context_records</x:v>
      </x:c>
      <x:c r="G19" s="15" t="str">
        <x:v>승인 컨텍스트 레코드</x:v>
      </x:c>
      <x:c r="H19" s="15" t="str">
        <x:v>사용</x:v>
      </x:c>
      <x:c r="I19" s="15" t="str">
        <x:v>CTX01_context_records</x:v>
      </x:c>
      <x:c r="J19" s="36" t="n">
        <x:v>13</x:v>
      </x:c>
      <x:c r="K19" s="36" t="n">
        <x:v>1</x:v>
      </x:c>
      <x:c r="L19" s="36" t="n">
        <x:v>0</x:v>
      </x:c>
    </x:row>
    <x:row r="20">
      <x:c r="A20" s="15" t="str">
        <x:v>CTX02</x:v>
      </x:c>
      <x:c r="B20" s="15" t="str">
        <x:v>Application</x:v>
      </x:c>
      <x:c r="C20" s="15" t="str">
        <x:v>PostgreSQL</x:v>
      </x:c>
      <x:c r="D20" s="15" t="str">
        <x:v>hotel_datahub_app</x:v>
      </x:c>
      <x:c r="E20" s="15" t="str">
        <x:v>context</x:v>
      </x:c>
      <x:c r="F20" s="15" t="str">
        <x:v>context_releases</x:v>
      </x:c>
      <x:c r="G20" s="15" t="str">
        <x:v>컨텍스트 릴리스</x:v>
      </x:c>
      <x:c r="H20" s="15" t="str">
        <x:v>사용</x:v>
      </x:c>
      <x:c r="I20" s="15" t="str">
        <x:v>CTX02_context_releases</x:v>
      </x:c>
      <x:c r="J20" s="36" t="n">
        <x:v>10</x:v>
      </x:c>
      <x:c r="K20" s="36" t="n">
        <x:v>1</x:v>
      </x:c>
      <x:c r="L20" s="36" t="n">
        <x:v>1</x:v>
      </x:c>
    </x:row>
    <x:row r="21">
      <x:c r="A21" s="15" t="str">
        <x:v>APP06</x:v>
      </x:c>
      <x:c r="B21" s="15" t="str">
        <x:v>Application</x:v>
      </x:c>
      <x:c r="C21" s="15" t="str">
        <x:v>PostgreSQL</x:v>
      </x:c>
      <x:c r="D21" s="15" t="str">
        <x:v>hotel_datahub_app</x:v>
      </x:c>
      <x:c r="E21" s="15" t="str">
        <x:v>governance</x:v>
      </x:c>
      <x:c r="F21" s="15" t="str">
        <x:v>alembic_version</x:v>
      </x:c>
      <x:c r="G21" s="15" t="str">
        <x:v>Alembic 버전</x:v>
      </x:c>
      <x:c r="H21" s="15" t="str">
        <x:v>내부 제어</x:v>
      </x:c>
      <x:c r="I21" s="15" t="str">
        <x:v>APP06_alembic_version</x:v>
      </x:c>
      <x:c r="J21" s="36" t="n">
        <x:v>1</x:v>
      </x:c>
      <x:c r="K21" s="36" t="n">
        <x:v>1</x:v>
      </x:c>
      <x:c r="L21" s="36" t="n">
        <x:v>0</x:v>
      </x:c>
    </x:row>
    <x:row r="22">
      <x:c r="A22" s="15" t="str">
        <x:v>G01</x:v>
      </x:c>
      <x:c r="B22" s="15" t="str">
        <x:v>Application</x:v>
      </x:c>
      <x:c r="C22" s="15" t="str">
        <x:v>PostgreSQL</x:v>
      </x:c>
      <x:c r="D22" s="15" t="str">
        <x:v>hotel_datahub_app</x:v>
      </x:c>
      <x:c r="E22" s="15" t="str">
        <x:v>governance</x:v>
      </x:c>
      <x:c r="F22" s="15" t="str">
        <x:v>audit_events</x:v>
      </x:c>
      <x:c r="G22" s="15" t="str">
        <x:v>감사 이벤트</x:v>
      </x:c>
      <x:c r="H22" s="15" t="str">
        <x:v>사용</x:v>
      </x:c>
      <x:c r="I22" s="15" t="str">
        <x:v>G01_audit_events</x:v>
      </x:c>
      <x:c r="J22" s="36" t="n">
        <x:v>16</x:v>
      </x:c>
      <x:c r="K22" s="36" t="n">
        <x:v>1</x:v>
      </x:c>
      <x:c r="L22" s="36" t="n">
        <x:v>6</x:v>
      </x:c>
    </x:row>
    <x:row r="23">
      <x:c r="A23" s="15" t="str">
        <x:v>APP07</x:v>
      </x:c>
      <x:c r="B23" s="15" t="str">
        <x:v>Application</x:v>
      </x:c>
      <x:c r="C23" s="15" t="str">
        <x:v>PostgreSQL</x:v>
      </x:c>
      <x:c r="D23" s="15" t="str">
        <x:v>hotel_datahub_app</x:v>
      </x:c>
      <x:c r="E23" s="15" t="str">
        <x:v>governance</x:v>
      </x:c>
      <x:c r="F23" s="15" t="str">
        <x:v>ml_prediction_audit_events</x:v>
      </x:c>
      <x:c r="G23" s="15" t="str">
        <x:v>ML 예측 감사 이벤트</x:v>
      </x:c>
      <x:c r="H23" s="15" t="str">
        <x:v>사용</x:v>
      </x:c>
      <x:c r="I23" s="15" t="str">
        <x:v>APP07_ml_prediction_audit_event</x:v>
      </x:c>
      <x:c r="J23" s="36" t="n">
        <x:v>7</x:v>
      </x:c>
      <x:c r="K23" s="36" t="n">
        <x:v>1</x:v>
      </x:c>
      <x:c r="L23" s="36" t="n">
        <x:v>0</x:v>
      </x:c>
    </x:row>
    <x:row r="24">
      <x:c r="A24" s="15" t="str">
        <x:v>APP08</x:v>
      </x:c>
      <x:c r="B24" s="15" t="str">
        <x:v>Application</x:v>
      </x:c>
      <x:c r="C24" s="15" t="str">
        <x:v>PostgreSQL</x:v>
      </x:c>
      <x:c r="D24" s="15" t="str">
        <x:v>hotel_datahub_app</x:v>
      </x:c>
      <x:c r="E24" s="15" t="str">
        <x:v>governance</x:v>
      </x:c>
      <x:c r="F24" s="15" t="str">
        <x:v>phase_20260822_30_preexisting_objects</x:v>
      </x:c>
      <x:c r="G24" s="15" t="str">
        <x:v>사전 객체 존재 확인</x:v>
      </x:c>
      <x:c r="H24" s="15" t="str">
        <x:v>내부 제어</x:v>
      </x:c>
      <x:c r="I24" s="15" t="str">
        <x:v>APP08_phase_20260822_30_preexis</x:v>
      </x:c>
      <x:c r="J24" s="36" t="n">
        <x:v>1</x:v>
      </x:c>
      <x:c r="K24" s="36" t="n">
        <x:v>1</x:v>
      </x:c>
      <x:c r="L24" s="36" t="n">
        <x:v>0</x:v>
      </x:c>
    </x:row>
    <x:row r="25">
      <x:c r="A25" s="15" t="str">
        <x:v>APP09</x:v>
      </x:c>
      <x:c r="B25" s="15" t="str">
        <x:v>Application</x:v>
      </x:c>
      <x:c r="C25" s="15" t="str">
        <x:v>PostgreSQL</x:v>
      </x:c>
      <x:c r="D25" s="15" t="str">
        <x:v>hotel_datahub_app</x:v>
      </x:c>
      <x:c r="E25" s="15" t="str">
        <x:v>governance</x:v>
      </x:c>
      <x:c r="F25" s="15" t="str">
        <x:v>product_release_bindings</x:v>
      </x:c>
      <x:c r="G25" s="15" t="str">
        <x:v>제품 릴리스 바인딩</x:v>
      </x:c>
      <x:c r="H25" s="15" t="str">
        <x:v>사용</x:v>
      </x:c>
      <x:c r="I25" s="15" t="str">
        <x:v>APP09_product_release_bindings</x:v>
      </x:c>
      <x:c r="J25" s="36" t="n">
        <x:v>9</x:v>
      </x:c>
      <x:c r="K25" s="36" t="n">
        <x:v>1</x:v>
      </x:c>
      <x:c r="L25" s="36" t="n">
        <x:v>1</x:v>
      </x:c>
    </x:row>
    <x:row r="26">
      <x:c r="A26" s="15" t="str">
        <x:v>APP10</x:v>
      </x:c>
      <x:c r="B26" s="15" t="str">
        <x:v>Application</x:v>
      </x:c>
      <x:c r="C26" s="15" t="str">
        <x:v>PostgreSQL</x:v>
      </x:c>
      <x:c r="D26" s="15" t="str">
        <x:v>hotel_datahub_app</x:v>
      </x:c>
      <x:c r="E26" s="15" t="str">
        <x:v>governance</x:v>
      </x:c>
      <x:c r="F26" s="15" t="str">
        <x:v>product_release_manifests</x:v>
      </x:c>
      <x:c r="G26" s="15" t="str">
        <x:v>제품 릴리스 매니페스트</x:v>
      </x:c>
      <x:c r="H26" s="15" t="str">
        <x:v>사용</x:v>
      </x:c>
      <x:c r="I26" s="15" t="str">
        <x:v>APP10_product_release_manifests</x:v>
      </x:c>
      <x:c r="J26" s="36" t="n">
        <x:v>17</x:v>
      </x:c>
      <x:c r="K26" s="36" t="n">
        <x:v>1</x:v>
      </x:c>
      <x:c r="L26" s="36" t="n">
        <x:v>0</x:v>
      </x:c>
    </x:row>
    <x:row r="27">
      <x:c r="A27" s="15" t="str">
        <x:v>APP11</x:v>
      </x:c>
      <x:c r="B27" s="15" t="str">
        <x:v>Application</x:v>
      </x:c>
      <x:c r="C27" s="15" t="str">
        <x:v>PostgreSQL</x:v>
      </x:c>
      <x:c r="D27" s="15" t="str">
        <x:v>hotel_datahub_app</x:v>
      </x:c>
      <x:c r="E27" s="15" t="str">
        <x:v>governance</x:v>
      </x:c>
      <x:c r="F27" s="15" t="str">
        <x:v>runtime_catalog_activation_receipts</x:v>
      </x:c>
      <x:c r="G27" s="15" t="str">
        <x:v>Runtime Catalog 활성화 수신증</x:v>
      </x:c>
      <x:c r="H27" s="15" t="str">
        <x:v>사용</x:v>
      </x:c>
      <x:c r="I27" s="15" t="str">
        <x:v>APP11_runtime_catalog_activatio</x:v>
      </x:c>
      <x:c r="J27" s="36" t="n">
        <x:v>12</x:v>
      </x:c>
      <x:c r="K27" s="36" t="n">
        <x:v>1</x:v>
      </x:c>
      <x:c r="L27" s="36" t="n">
        <x:v>4</x:v>
      </x:c>
    </x:row>
    <x:row r="28">
      <x:c r="A28" s="15" t="str">
        <x:v>APP12</x:v>
      </x:c>
      <x:c r="B28" s="15" t="str">
        <x:v>Application</x:v>
      </x:c>
      <x:c r="C28" s="15" t="str">
        <x:v>PostgreSQL</x:v>
      </x:c>
      <x:c r="D28" s="15" t="str">
        <x:v>hotel_datahub_app</x:v>
      </x:c>
      <x:c r="E28" s="15" t="str">
        <x:v>governance</x:v>
      </x:c>
      <x:c r="F28" s="15" t="str">
        <x:v>runtime_catalog_active_pointer</x:v>
      </x:c>
      <x:c r="G28" s="15" t="str">
        <x:v>Runtime Catalog 활성 포인터</x:v>
      </x:c>
      <x:c r="H28" s="15" t="str">
        <x:v>사용</x:v>
      </x:c>
      <x:c r="I28" s="15" t="str">
        <x:v>APP12_runtime_catalog_active_po</x:v>
      </x:c>
      <x:c r="J28" s="36" t="n">
        <x:v>6</x:v>
      </x:c>
      <x:c r="K28" s="36" t="n">
        <x:v>1</x:v>
      </x:c>
      <x:c r="L28" s="36" t="n">
        <x:v>2</x:v>
      </x:c>
    </x:row>
    <x:row r="29">
      <x:c r="A29" s="15" t="str">
        <x:v>APP13</x:v>
      </x:c>
      <x:c r="B29" s="15" t="str">
        <x:v>Application</x:v>
      </x:c>
      <x:c r="C29" s="15" t="str">
        <x:v>PostgreSQL</x:v>
      </x:c>
      <x:c r="D29" s="15" t="str">
        <x:v>hotel_datahub_app</x:v>
      </x:c>
      <x:c r="E29" s="15" t="str">
        <x:v>governance</x:v>
      </x:c>
      <x:c r="F29" s="15" t="str">
        <x:v>runtime_catalog_projections</x:v>
      </x:c>
      <x:c r="G29" s="15" t="str">
        <x:v>Runtime Catalog 후보</x:v>
      </x:c>
      <x:c r="H29" s="15" t="str">
        <x:v>사용</x:v>
      </x:c>
      <x:c r="I29" s="15" t="str">
        <x:v>APP13_runtime_catalog_projectio</x:v>
      </x:c>
      <x:c r="J29" s="36" t="n">
        <x:v>13</x:v>
      </x:c>
      <x:c r="K29" s="36" t="n">
        <x:v>1</x:v>
      </x:c>
      <x:c r="L29" s="36" t="n">
        <x:v>0</x:v>
      </x:c>
    </x:row>
    <x:row r="30">
      <x:c r="A30" s="15" t="str">
        <x:v>APP14</x:v>
      </x:c>
      <x:c r="B30" s="15" t="str">
        <x:v>Application</x:v>
      </x:c>
      <x:c r="C30" s="15" t="str">
        <x:v>PostgreSQL</x:v>
      </x:c>
      <x:c r="D30" s="15" t="str">
        <x:v>hotel_datahub_app</x:v>
      </x:c>
      <x:c r="E30" s="15" t="str">
        <x:v>governance</x:v>
      </x:c>
      <x:c r="F30" s="15" t="str">
        <x:v>schema_version</x:v>
      </x:c>
      <x:c r="G30" s="15" t="str">
        <x:v>스키마 버전</x:v>
      </x:c>
      <x:c r="H30" s="15" t="str">
        <x:v>내부 제어</x:v>
      </x:c>
      <x:c r="I30" s="15" t="str">
        <x:v>APP14_schema_version</x:v>
      </x:c>
      <x:c r="J30" s="36" t="n">
        <x:v>1</x:v>
      </x:c>
      <x:c r="K30" s="36" t="n">
        <x:v>1</x:v>
      </x:c>
      <x:c r="L30" s="36" t="n">
        <x:v>0</x:v>
      </x:c>
    </x:row>
    <x:row r="31">
      <x:c r="A31" s="15" t="str">
        <x:v>M02</x:v>
      </x:c>
      <x:c r="B31" s="15" t="str">
        <x:v>Application</x:v>
      </x:c>
      <x:c r="C31" s="15" t="str">
        <x:v>PostgreSQL</x:v>
      </x:c>
      <x:c r="D31" s="15" t="str">
        <x:v>hotel_datahub_app</x:v>
      </x:c>
      <x:c r="E31" s="15" t="str">
        <x:v>model</x:v>
      </x:c>
      <x:c r="F31" s="15" t="str">
        <x:v>evaluation_runs</x:v>
      </x:c>
      <x:c r="G31" s="15" t="str">
        <x:v>모델 평가 실행</x:v>
      </x:c>
      <x:c r="H31" s="15" t="str">
        <x:v>사용</x:v>
      </x:c>
      <x:c r="I31" s="15" t="str">
        <x:v>M02_evaluation_runs</x:v>
      </x:c>
      <x:c r="J31" s="36" t="n">
        <x:v>13</x:v>
      </x:c>
      <x:c r="K31" s="36" t="n">
        <x:v>1</x:v>
      </x:c>
      <x:c r="L31" s="36" t="n">
        <x:v>2</x:v>
      </x:c>
    </x:row>
    <x:row r="32">
      <x:c r="A32" s="15" t="str">
        <x:v>M01</x:v>
      </x:c>
      <x:c r="B32" s="15" t="str">
        <x:v>Application</x:v>
      </x:c>
      <x:c r="C32" s="15" t="str">
        <x:v>PostgreSQL</x:v>
      </x:c>
      <x:c r="D32" s="15" t="str">
        <x:v>hotel_datahub_app</x:v>
      </x:c>
      <x:c r="E32" s="15" t="str">
        <x:v>model</x:v>
      </x:c>
      <x:c r="F32" s="15" t="str">
        <x:v>model_versions</x:v>
      </x:c>
      <x:c r="G32" s="15" t="str">
        <x:v>모델 버전</x:v>
      </x:c>
      <x:c r="H32" s="15" t="str">
        <x:v>사용</x:v>
      </x:c>
      <x:c r="I32" s="15" t="str">
        <x:v>M01_model_versions</x:v>
      </x:c>
      <x:c r="J32" s="36" t="n">
        <x:v>13</x:v>
      </x:c>
      <x:c r="K32" s="36" t="n">
        <x:v>1</x:v>
      </x:c>
      <x:c r="L32" s="36" t="n">
        <x:v>1</x:v>
      </x:c>
    </x:row>
    <x:row r="33">
      <x:c r="A33" s="15" t="str">
        <x:v>Q01</x:v>
      </x:c>
      <x:c r="B33" s="15" t="str">
        <x:v>Application</x:v>
      </x:c>
      <x:c r="C33" s="15" t="str">
        <x:v>PostgreSQL</x:v>
      </x:c>
      <x:c r="D33" s="15" t="str">
        <x:v>hotel_datahub_app</x:v>
      </x:c>
      <x:c r="E33" s="15" t="str">
        <x:v>query</x:v>
      </x:c>
      <x:c r="F33" s="15" t="str">
        <x:v>query_executions</x:v>
      </x:c>
      <x:c r="G33" s="15" t="str">
        <x:v>쿼리 실행 이력</x:v>
      </x:c>
      <x:c r="H33" s="15" t="str">
        <x:v>사용</x:v>
      </x:c>
      <x:c r="I33" s="15" t="str">
        <x:v>Q01_query_executions</x:v>
      </x:c>
      <x:c r="J33" s="36" t="n">
        <x:v>22</x:v>
      </x:c>
      <x:c r="K33" s="36" t="n">
        <x:v>1</x:v>
      </x:c>
      <x:c r="L33" s="36" t="n">
        <x:v>1</x:v>
      </x:c>
    </x:row>
    <x:row r="34">
      <x:c r="A34" s="15" t="str">
        <x:v>REF03</x:v>
      </x:c>
      <x:c r="B34" s="15" t="str">
        <x:v>Application</x:v>
      </x:c>
      <x:c r="C34" s="15" t="str">
        <x:v>PostgreSQL</x:v>
      </x:c>
      <x:c r="D34" s="15" t="str">
        <x:v>hotel_datahub_app</x:v>
      </x:c>
      <x:c r="E34" s="15" t="str">
        <x:v>reference</x:v>
      </x:c>
      <x:c r="F34" s="15" t="str">
        <x:v>calendar_daily</x:v>
      </x:c>
      <x:c r="G34" s="15" t="str">
        <x:v>영업일 달력</x:v>
      </x:c>
      <x:c r="H34" s="15" t="str">
        <x:v>사용</x:v>
      </x:c>
      <x:c r="I34" s="15" t="str">
        <x:v>REF03_calendar_daily</x:v>
      </x:c>
      <x:c r="J34" s="36" t="n">
        <x:v>18</x:v>
      </x:c>
      <x:c r="K34" s="36" t="n">
        <x:v>1</x:v>
      </x:c>
      <x:c r="L34" s="36" t="n">
        <x:v>0</x:v>
      </x:c>
    </x:row>
    <x:row r="35">
      <x:c r="A35" s="15" t="str">
        <x:v>REF02</x:v>
      </x:c>
      <x:c r="B35" s="15" t="str">
        <x:v>Application</x:v>
      </x:c>
      <x:c r="C35" s="15" t="str">
        <x:v>PostgreSQL</x:v>
      </x:c>
      <x:c r="D35" s="15" t="str">
        <x:v>hotel_datahub_app</x:v>
      </x:c>
      <x:c r="E35" s="15" t="str">
        <x:v>reference</x:v>
      </x:c>
      <x:c r="F35" s="15" t="str">
        <x:v>demand_index_monthly</x:v>
      </x:c>
      <x:c r="G35" s="15" t="str">
        <x:v>월별 외부 수요 지수</x:v>
      </x:c>
      <x:c r="H35" s="15" t="str">
        <x:v>사용</x:v>
      </x:c>
      <x:c r="I35" s="15" t="str">
        <x:v>REF02_demand_index_monthly</x:v>
      </x:c>
      <x:c r="J35" s="36" t="n">
        <x:v>13</x:v>
      </x:c>
      <x:c r="K35" s="36" t="n">
        <x:v>1</x:v>
      </x:c>
      <x:c r="L35" s="36" t="n">
        <x:v>0</x:v>
      </x:c>
    </x:row>
    <x:row r="36">
      <x:c r="A36" s="15" t="str">
        <x:v>REF01</x:v>
      </x:c>
      <x:c r="B36" s="15" t="str">
        <x:v>Application</x:v>
      </x:c>
      <x:c r="C36" s="15" t="str">
        <x:v>PostgreSQL</x:v>
      </x:c>
      <x:c r="D36" s="15" t="str">
        <x:v>hotel_datahub_app</x:v>
      </x:c>
      <x:c r="E36" s="15" t="str">
        <x:v>reference</x:v>
      </x:c>
      <x:c r="F36" s="15" t="str">
        <x:v>market_benchmark_annual</x:v>
      </x:c>
      <x:c r="G36" s="15" t="str">
        <x:v>연도별 시장 운영 기준점</x:v>
      </x:c>
      <x:c r="H36" s="15" t="str">
        <x:v>사용</x:v>
      </x:c>
      <x:c r="I36" s="15" t="str">
        <x:v>REF01_market_benchmark_annual</x:v>
      </x:c>
      <x:c r="J36" s="36" t="n">
        <x:v>12</x:v>
      </x:c>
      <x:c r="K36" s="36" t="n">
        <x:v>1</x:v>
      </x:c>
      <x:c r="L36" s="36" t="n">
        <x:v>0</x:v>
      </x:c>
    </x:row>
    <x:row r="37">
      <x:c r="A37" s="15" t="str">
        <x:v>APP15</x:v>
      </x:c>
      <x:c r="B37" s="15" t="str">
        <x:v>Application</x:v>
      </x:c>
      <x:c r="C37" s="15" t="str">
        <x:v>PostgreSQL</x:v>
      </x:c>
      <x:c r="D37" s="15" t="str">
        <x:v>hotel_datahub_app</x:v>
      </x:c>
      <x:c r="E37" s="15" t="str">
        <x:v>report</x:v>
      </x:c>
      <x:c r="F37" s="15" t="str">
        <x:v>block_runs</x:v>
      </x:c>
      <x:c r="G37" s="15" t="str">
        <x:v>블록 실행</x:v>
      </x:c>
      <x:c r="H37" s="15" t="str">
        <x:v>레거시 호환</x:v>
      </x:c>
      <x:c r="I37" s="15" t="str">
        <x:v>APP15_block_runs</x:v>
      </x:c>
      <x:c r="J37" s="36" t="n">
        <x:v>12</x:v>
      </x:c>
      <x:c r="K37" s="36" t="n">
        <x:v>1</x:v>
      </x:c>
      <x:c r="L37" s="36" t="n">
        <x:v>5</x:v>
      </x:c>
    </x:row>
    <x:row r="38">
      <x:c r="A38" s="15" t="str">
        <x:v>APP16</x:v>
      </x:c>
      <x:c r="B38" s="15" t="str">
        <x:v>Application</x:v>
      </x:c>
      <x:c r="C38" s="15" t="str">
        <x:v>PostgreSQL</x:v>
      </x:c>
      <x:c r="D38" s="15" t="str">
        <x:v>hotel_datahub_app</x:v>
      </x:c>
      <x:c r="E38" s="15" t="str">
        <x:v>report</x:v>
      </x:c>
      <x:c r="F38" s="15" t="str">
        <x:v>report_blocks</x:v>
      </x:c>
      <x:c r="G38" s="15" t="str">
        <x:v>보고서 블록</x:v>
      </x:c>
      <x:c r="H38" s="15" t="str">
        <x:v>레거시 호환</x:v>
      </x:c>
      <x:c r="I38" s="15" t="str">
        <x:v>APP16_report_blocks</x:v>
      </x:c>
      <x:c r="J38" s="36" t="n">
        <x:v>14</x:v>
      </x:c>
      <x:c r="K38" s="36" t="n">
        <x:v>1</x:v>
      </x:c>
      <x:c r="L38" s="36" t="n">
        <x:v>2</x:v>
      </x:c>
    </x:row>
    <x:row r="39">
      <x:c r="A39" s="15" t="str">
        <x:v>APP17</x:v>
      </x:c>
      <x:c r="B39" s="15" t="str">
        <x:v>Application</x:v>
      </x:c>
      <x:c r="C39" s="15" t="str">
        <x:v>PostgreSQL</x:v>
      </x:c>
      <x:c r="D39" s="15" t="str">
        <x:v>hotel_datahub_app</x:v>
      </x:c>
      <x:c r="E39" s="15" t="str">
        <x:v>report</x:v>
      </x:c>
      <x:c r="F39" s="15" t="str">
        <x:v>report_definitions</x:v>
      </x:c>
      <x:c r="G39" s="15" t="str">
        <x:v>보고서 정의</x:v>
      </x:c>
      <x:c r="H39" s="15" t="str">
        <x:v>레거시 호환</x:v>
      </x:c>
      <x:c r="I39" s="15" t="str">
        <x:v>APP17_report_definitions</x:v>
      </x:c>
      <x:c r="J39" s="36" t="n">
        <x:v>13</x:v>
      </x:c>
      <x:c r="K39" s="36" t="n">
        <x:v>1</x:v>
      </x:c>
      <x:c r="L39" s="36" t="n">
        <x:v>0</x:v>
      </x:c>
    </x:row>
    <x:row r="40">
      <x:c r="A40" s="15" t="str">
        <x:v>APP18</x:v>
      </x:c>
      <x:c r="B40" s="15" t="str">
        <x:v>Application</x:v>
      </x:c>
      <x:c r="C40" s="15" t="str">
        <x:v>PostgreSQL</x:v>
      </x:c>
      <x:c r="D40" s="15" t="str">
        <x:v>hotel_datahub_app</x:v>
      </x:c>
      <x:c r="E40" s="15" t="str">
        <x:v>report</x:v>
      </x:c>
      <x:c r="F40" s="15" t="str">
        <x:v>report_runs</x:v>
      </x:c>
      <x:c r="G40" s="15" t="str">
        <x:v>보고서 실행</x:v>
      </x:c>
      <x:c r="H40" s="15" t="str">
        <x:v>레거시 호환</x:v>
      </x:c>
      <x:c r="I40" s="15" t="str">
        <x:v>APP18_report_runs</x:v>
      </x:c>
      <x:c r="J40" s="36" t="n">
        <x:v>11</x:v>
      </x:c>
      <x:c r="K40" s="36" t="n">
        <x:v>1</x:v>
      </x:c>
      <x:c r="L40" s="36" t="n">
        <x:v>2</x:v>
      </x:c>
    </x:row>
    <x:row r="41">
      <x:c r="A41" s="15" t="str">
        <x:v>APP19</x:v>
      </x:c>
      <x:c r="B41" s="15" t="str">
        <x:v>Application</x:v>
      </x:c>
      <x:c r="C41" s="15" t="str">
        <x:v>PostgreSQL</x:v>
      </x:c>
      <x:c r="D41" s="15" t="str">
        <x:v>hotel_datahub_app</x:v>
      </x:c>
      <x:c r="E41" s="15" t="str">
        <x:v>report_v1</x:v>
      </x:c>
      <x:c r="F41" s="15" t="str">
        <x:v>report_assistant_evaluations</x:v>
      </x:c>
      <x:c r="G41" s="15" t="str">
        <x:v>보고서 assistant evaluations</x:v>
      </x:c>
      <x:c r="H41" s="15" t="str">
        <x:v>사용</x:v>
      </x:c>
      <x:c r="I41" s="15" t="str">
        <x:v>APP19_report_assistant_evaluati</x:v>
      </x:c>
      <x:c r="J41" s="36" t="n">
        <x:v>27</x:v>
      </x:c>
      <x:c r="K41" s="36" t="n">
        <x:v>1</x:v>
      </x:c>
      <x:c r="L41" s="36" t="n">
        <x:v>1</x:v>
      </x:c>
    </x:row>
    <x:row r="42">
      <x:c r="A42" s="15" t="str">
        <x:v>APP20</x:v>
      </x:c>
      <x:c r="B42" s="15" t="str">
        <x:v>Application</x:v>
      </x:c>
      <x:c r="C42" s="15" t="str">
        <x:v>PostgreSQL</x:v>
      </x:c>
      <x:c r="D42" s="15" t="str">
        <x:v>hotel_datahub_app</x:v>
      </x:c>
      <x:c r="E42" s="15" t="str">
        <x:v>report_v1</x:v>
      </x:c>
      <x:c r="F42" s="15" t="str">
        <x:v>report_assistant_requests</x:v>
      </x:c>
      <x:c r="G42" s="15" t="str">
        <x:v>보고서 assistant 요청</x:v>
      </x:c>
      <x:c r="H42" s="15" t="str">
        <x:v>사용</x:v>
      </x:c>
      <x:c r="I42" s="15" t="str">
        <x:v>APP20_report_assistant_requests</x:v>
      </x:c>
      <x:c r="J42" s="36" t="n">
        <x:v>32</x:v>
      </x:c>
      <x:c r="K42" s="36" t="n">
        <x:v>1</x:v>
      </x:c>
      <x:c r="L42" s="36" t="n">
        <x:v>5</x:v>
      </x:c>
    </x:row>
    <x:row r="43">
      <x:c r="A43" s="15" t="str">
        <x:v>APP21</x:v>
      </x:c>
      <x:c r="B43" s="15" t="str">
        <x:v>Application</x:v>
      </x:c>
      <x:c r="C43" s="15" t="str">
        <x:v>PostgreSQL</x:v>
      </x:c>
      <x:c r="D43" s="15" t="str">
        <x:v>hotel_datahub_app</x:v>
      </x:c>
      <x:c r="E43" s="15" t="str">
        <x:v>report_v1</x:v>
      </x:c>
      <x:c r="F43" s="15" t="str">
        <x:v>report_assistant_turns</x:v>
      </x:c>
      <x:c r="G43" s="15" t="str">
        <x:v>보고서 assistant 턴</x:v>
      </x:c>
      <x:c r="H43" s="15" t="str">
        <x:v>사용</x:v>
      </x:c>
      <x:c r="I43" s="15" t="str">
        <x:v>APP21_report_assistant_turns</x:v>
      </x:c>
      <x:c r="J43" s="36" t="n">
        <x:v>6</x:v>
      </x:c>
      <x:c r="K43" s="36" t="n">
        <x:v>1</x:v>
      </x:c>
      <x:c r="L43" s="36" t="n">
        <x:v>1</x:v>
      </x:c>
    </x:row>
    <x:row r="44">
      <x:c r="A44" s="15" t="str">
        <x:v>R04</x:v>
      </x:c>
      <x:c r="B44" s="15" t="str">
        <x:v>Application</x:v>
      </x:c>
      <x:c r="C44" s="15" t="str">
        <x:v>PostgreSQL</x:v>
      </x:c>
      <x:c r="D44" s="15" t="str">
        <x:v>hotel_datahub_app</x:v>
      </x:c>
      <x:c r="E44" s="15" t="str">
        <x:v>report_v1</x:v>
      </x:c>
      <x:c r="F44" s="15" t="str">
        <x:v>report_block_runs</x:v>
      </x:c>
      <x:c r="G44" s="15" t="str">
        <x:v>보고서 블록 실행</x:v>
      </x:c>
      <x:c r="H44" s="15" t="str">
        <x:v>사용</x:v>
      </x:c>
      <x:c r="I44" s="15" t="str">
        <x:v>R04_report_block_runs</x:v>
      </x:c>
      <x:c r="J44" s="36" t="n">
        <x:v>10</x:v>
      </x:c>
      <x:c r="K44" s="36" t="n">
        <x:v>1</x:v>
      </x:c>
      <x:c r="L44" s="36" t="n">
        <x:v>2</x:v>
      </x:c>
    </x:row>
    <x:row r="45">
      <x:c r="A45" s="15" t="str">
        <x:v>R02</x:v>
      </x:c>
      <x:c r="B45" s="15" t="str">
        <x:v>Application</x:v>
      </x:c>
      <x:c r="C45" s="15" t="str">
        <x:v>PostgreSQL</x:v>
      </x:c>
      <x:c r="D45" s="15" t="str">
        <x:v>hotel_datahub_app</x:v>
      </x:c>
      <x:c r="E45" s="15" t="str">
        <x:v>report_v1</x:v>
      </x:c>
      <x:c r="F45" s="15" t="str">
        <x:v>report_blocks</x:v>
      </x:c>
      <x:c r="G45" s="15" t="str">
        <x:v>보고서 블록</x:v>
      </x:c>
      <x:c r="H45" s="15" t="str">
        <x:v>사용</x:v>
      </x:c>
      <x:c r="I45" s="15" t="str">
        <x:v>R02_report_blocks</x:v>
      </x:c>
      <x:c r="J45" s="36" t="n">
        <x:v>16</x:v>
      </x:c>
      <x:c r="K45" s="36" t="n">
        <x:v>1</x:v>
      </x:c>
      <x:c r="L45" s="36" t="n">
        <x:v>3</x:v>
      </x:c>
    </x:row>
    <x:row r="46">
      <x:c r="A46" s="15" t="str">
        <x:v>R01V</x:v>
      </x:c>
      <x:c r="B46" s="15" t="str">
        <x:v>Application</x:v>
      </x:c>
      <x:c r="C46" s="15" t="str">
        <x:v>PostgreSQL</x:v>
      </x:c>
      <x:c r="D46" s="15" t="str">
        <x:v>hotel_datahub_app</x:v>
      </x:c>
      <x:c r="E46" s="15" t="str">
        <x:v>report_v1</x:v>
      </x:c>
      <x:c r="F46" s="15" t="str">
        <x:v>report_definition_versions</x:v>
      </x:c>
      <x:c r="G46" s="15" t="str">
        <x:v>보고서 정의 버전</x:v>
      </x:c>
      <x:c r="H46" s="15" t="str">
        <x:v>사용</x:v>
      </x:c>
      <x:c r="I46" s="15" t="str">
        <x:v>R01V_report_definition_versions</x:v>
      </x:c>
      <x:c r="J46" s="36" t="n">
        <x:v>12</x:v>
      </x:c>
      <x:c r="K46" s="36" t="n">
        <x:v>1</x:v>
      </x:c>
      <x:c r="L46" s="36" t="n">
        <x:v>2</x:v>
      </x:c>
    </x:row>
    <x:row r="47">
      <x:c r="A47" s="15" t="str">
        <x:v>R01</x:v>
      </x:c>
      <x:c r="B47" s="15" t="str">
        <x:v>Application</x:v>
      </x:c>
      <x:c r="C47" s="15" t="str">
        <x:v>PostgreSQL</x:v>
      </x:c>
      <x:c r="D47" s="15" t="str">
        <x:v>hotel_datahub_app</x:v>
      </x:c>
      <x:c r="E47" s="15" t="str">
        <x:v>report_v1</x:v>
      </x:c>
      <x:c r="F47" s="15" t="str">
        <x:v>report_definitions</x:v>
      </x:c>
      <x:c r="G47" s="15" t="str">
        <x:v>보고서 정의</x:v>
      </x:c>
      <x:c r="H47" s="15" t="str">
        <x:v>사용</x:v>
      </x:c>
      <x:c r="I47" s="15" t="str">
        <x:v>R01_report_definitions</x:v>
      </x:c>
      <x:c r="J47" s="36" t="n">
        <x:v>3</x:v>
      </x:c>
      <x:c r="K47" s="36" t="n">
        <x:v>1</x:v>
      </x:c>
      <x:c r="L47" s="36" t="n">
        <x:v>0</x:v>
      </x:c>
    </x:row>
    <x:row r="48">
      <x:c r="A48" s="15" t="str">
        <x:v>APP22</x:v>
      </x:c>
      <x:c r="B48" s="15" t="str">
        <x:v>Application</x:v>
      </x:c>
      <x:c r="C48" s="15" t="str">
        <x:v>PostgreSQL</x:v>
      </x:c>
      <x:c r="D48" s="15" t="str">
        <x:v>hotel_datahub_app</x:v>
      </x:c>
      <x:c r="E48" s="15" t="str">
        <x:v>report_v1</x:v>
      </x:c>
      <x:c r="F48" s="15" t="str">
        <x:v>report_documents</x:v>
      </x:c>
      <x:c r="G48" s="15" t="str">
        <x:v>보고서 문서</x:v>
      </x:c>
      <x:c r="H48" s="15" t="str">
        <x:v>사용</x:v>
      </x:c>
      <x:c r="I48" s="15" t="str">
        <x:v>APP22_report_documents</x:v>
      </x:c>
      <x:c r="J48" s="36" t="n">
        <x:v>12</x:v>
      </x:c>
      <x:c r="K48" s="36" t="n">
        <x:v>1</x:v>
      </x:c>
      <x:c r="L48" s="36" t="n">
        <x:v>1</x:v>
      </x:c>
    </x:row>
    <x:row r="49">
      <x:c r="A49" s="15" t="str">
        <x:v>R05</x:v>
      </x:c>
      <x:c r="B49" s="15" t="str">
        <x:v>Application</x:v>
      </x:c>
      <x:c r="C49" s="15" t="str">
        <x:v>PostgreSQL</x:v>
      </x:c>
      <x:c r="D49" s="15" t="str">
        <x:v>hotel_datahub_app</x:v>
      </x:c>
      <x:c r="E49" s="15" t="str">
        <x:v>report_v1</x:v>
      </x:c>
      <x:c r="F49" s="15" t="str">
        <x:v>report_manual_run_commands</x:v>
      </x:c>
      <x:c r="G49" s="15" t="str">
        <x:v>수동 보고서 실행 명령</x:v>
      </x:c>
      <x:c r="H49" s="15" t="str">
        <x:v>사용</x:v>
      </x:c>
      <x:c r="I49" s="15" t="str">
        <x:v>R05_report_manual_commands</x:v>
      </x:c>
      <x:c r="J49" s="36" t="n">
        <x:v>8</x:v>
      </x:c>
      <x:c r="K49" s="36" t="n">
        <x:v>1</x:v>
      </x:c>
      <x:c r="L49" s="36" t="n">
        <x:v>2</x:v>
      </x:c>
    </x:row>
    <x:row r="50">
      <x:c r="A50" s="15" t="str">
        <x:v>R03</x:v>
      </x:c>
      <x:c r="B50" s="15" t="str">
        <x:v>Application</x:v>
      </x:c>
      <x:c r="C50" s="15" t="str">
        <x:v>PostgreSQL</x:v>
      </x:c>
      <x:c r="D50" s="15" t="str">
        <x:v>hotel_datahub_app</x:v>
      </x:c>
      <x:c r="E50" s="15" t="str">
        <x:v>report_v1</x:v>
      </x:c>
      <x:c r="F50" s="15" t="str">
        <x:v>report_runs</x:v>
      </x:c>
      <x:c r="G50" s="15" t="str">
        <x:v>보고서 실행</x:v>
      </x:c>
      <x:c r="H50" s="15" t="str">
        <x:v>사용</x:v>
      </x:c>
      <x:c r="I50" s="15" t="str">
        <x:v>R03_report_runs</x:v>
      </x:c>
      <x:c r="J50" s="36" t="n">
        <x:v>12</x:v>
      </x:c>
      <x:c r="K50" s="36" t="n">
        <x:v>1</x:v>
      </x:c>
      <x:c r="L50" s="36" t="n">
        <x:v>2</x:v>
      </x:c>
    </x:row>
    <x:row r="51">
      <x:c r="A51" s="15" t="str">
        <x:v>APP23</x:v>
      </x:c>
      <x:c r="B51" s="15" t="str">
        <x:v>Application</x:v>
      </x:c>
      <x:c r="C51" s="15" t="str">
        <x:v>PostgreSQL</x:v>
      </x:c>
      <x:c r="D51" s="15" t="str">
        <x:v>hotel_datahub_app</x:v>
      </x:c>
      <x:c r="E51" s="15" t="str">
        <x:v>report_v1</x:v>
      </x:c>
      <x:c r="F51" s="15" t="str">
        <x:v>report_schedules</x:v>
      </x:c>
      <x:c r="G51" s="15" t="str">
        <x:v>보고서 일정</x:v>
      </x:c>
      <x:c r="H51" s="15" t="str">
        <x:v>사용</x:v>
      </x:c>
      <x:c r="I51" s="15" t="str">
        <x:v>APP23_report_schedules</x:v>
      </x:c>
      <x:c r="J51" s="36" t="n">
        <x:v>10</x:v>
      </x:c>
      <x:c r="K51" s="36" t="n">
        <x:v>1</x:v>
      </x:c>
      <x:c r="L51" s="36" t="n">
        <x:v>2</x:v>
      </x:c>
    </x:row>
    <x:row r="52">
      <x:c r="A52" s="15" t="str">
        <x:v>APP24</x:v>
      </x:c>
      <x:c r="B52" s="15" t="str">
        <x:v>Application</x:v>
      </x:c>
      <x:c r="C52" s="15" t="str">
        <x:v>PostgreSQL</x:v>
      </x:c>
      <x:c r="D52" s="15" t="str">
        <x:v>hotel_datahub_app</x:v>
      </x:c>
      <x:c r="E52" s="15" t="str">
        <x:v>security</x:v>
      </x:c>
      <x:c r="F52" s="15" t="str">
        <x:v>auth_accounts</x:v>
      </x:c>
      <x:c r="G52" s="15" t="str">
        <x:v>인증 계정</x:v>
      </x:c>
      <x:c r="H52" s="15" t="str">
        <x:v>사용</x:v>
      </x:c>
      <x:c r="I52" s="15" t="str">
        <x:v>APP24_auth_accounts</x:v>
      </x:c>
      <x:c r="J52" s="36" t="n">
        <x:v>9</x:v>
      </x:c>
      <x:c r="K52" s="36" t="n">
        <x:v>1</x:v>
      </x:c>
      <x:c r="L52" s="36" t="n">
        <x:v>0</x:v>
      </x:c>
    </x:row>
    <x:row r="53">
      <x:c r="A53" s="15" t="str">
        <x:v>APP25</x:v>
      </x:c>
      <x:c r="B53" s="15" t="str">
        <x:v>Application</x:v>
      </x:c>
      <x:c r="C53" s="15" t="str">
        <x:v>PostgreSQL</x:v>
      </x:c>
      <x:c r="D53" s="15" t="str">
        <x:v>hotel_datahub_app</x:v>
      </x:c>
      <x:c r="E53" s="15" t="str">
        <x:v>security</x:v>
      </x:c>
      <x:c r="F53" s="15" t="str">
        <x:v>auth_sessions</x:v>
      </x:c>
      <x:c r="G53" s="15" t="str">
        <x:v>인증 세션</x:v>
      </x:c>
      <x:c r="H53" s="15" t="str">
        <x:v>사용</x:v>
      </x:c>
      <x:c r="I53" s="15" t="str">
        <x:v>APP25_auth_sessions</x:v>
      </x:c>
      <x:c r="J53" s="36" t="n">
        <x:v>7</x:v>
      </x:c>
      <x:c r="K53" s="36" t="n">
        <x:v>1</x:v>
      </x:c>
      <x:c r="L53" s="36" t="n">
        <x:v>0</x:v>
      </x:c>
    </x:row>
    <x:row r="54">
      <x:c r="A54" s="15" t="str">
        <x:v>T01</x:v>
      </x:c>
      <x:c r="B54" s="15" t="str">
        <x:v>Application</x:v>
      </x:c>
      <x:c r="C54" s="15" t="str">
        <x:v>PostgreSQL</x:v>
      </x:c>
      <x:c r="D54" s="15" t="str">
        <x:v>hotel_datahub_app</x:v>
      </x:c>
      <x:c r="E54" s="15" t="str">
        <x:v>tooling</x:v>
      </x:c>
      <x:c r="F54" s="15" t="str">
        <x:v>tool_registry</x:v>
      </x:c>
      <x:c r="G54" s="15" t="str">
        <x:v>도구 등록</x:v>
      </x:c>
      <x:c r="H54" s="15" t="str">
        <x:v>사용</x:v>
      </x:c>
      <x:c r="I54" s="15" t="str">
        <x:v>T01_tool_registry</x:v>
      </x:c>
      <x:c r="J54" s="36" t="n">
        <x:v>11</x:v>
      </x:c>
      <x:c r="K54" s="36" t="n">
        <x:v>1</x:v>
      </x:c>
      <x:c r="L54" s="36" t="n">
        <x:v>0</x:v>
      </x:c>
    </x:row>
    <x:row r="55">
      <x:c r="A55" s="15" t="str">
        <x:v>T02</x:v>
      </x:c>
      <x:c r="B55" s="15" t="str">
        <x:v>Application</x:v>
      </x:c>
      <x:c r="C55" s="15" t="str">
        <x:v>PostgreSQL</x:v>
      </x:c>
      <x:c r="D55" s="15" t="str">
        <x:v>hotel_datahub_app</x:v>
      </x:c>
      <x:c r="E55" s="15" t="str">
        <x:v>tooling</x:v>
      </x:c>
      <x:c r="F55" s="15" t="str">
        <x:v>tool_runs</x:v>
      </x:c>
      <x:c r="G55" s="15" t="str">
        <x:v>도구 실행</x:v>
      </x:c>
      <x:c r="H55" s="15" t="str">
        <x:v>사용</x:v>
      </x:c>
      <x:c r="I55" s="15" t="str">
        <x:v>T02_tool_runs</x:v>
      </x:c>
      <x:c r="J55" s="36" t="n">
        <x:v>11</x:v>
      </x:c>
      <x:c r="K55" s="36" t="n">
        <x:v>1</x:v>
      </x:c>
      <x:c r="L55" s="36" t="n">
        <x:v>1</x:v>
      </x:c>
    </x:row>
    <x:row r="56">
      <x:c r="A56" s="15" t="str">
        <x:v>RG01</x:v>
      </x:c>
      <x:c r="B56" s="15" t="str">
        <x:v>RAG</x:v>
      </x:c>
      <x:c r="C56" s="15" t="str">
        <x:v>PostgreSQL + pgvector</x:v>
      </x:c>
      <x:c r="D56" s="15" t="str">
        <x:v>rag_db</x:v>
      </x:c>
      <x:c r="E56" s="15" t="str">
        <x:v>public</x:v>
      </x:c>
      <x:c r="F56" s="15" t="str">
        <x:v>answer_traces</x:v>
      </x:c>
      <x:c r="G56" s="15" t="str">
        <x:v>RAG 답변 추적</x:v>
      </x:c>
      <x:c r="H56" s="15" t="str">
        <x:v>저장 사용·호출 off</x:v>
      </x:c>
      <x:c r="I56" s="15" t="str">
        <x:v>RG01_answer_traces</x:v>
      </x:c>
      <x:c r="J56" s="36" t="n">
        <x:v>12</x:v>
      </x:c>
      <x:c r="K56" s="36" t="n">
        <x:v>1</x:v>
      </x:c>
      <x:c r="L56" s="36" t="n">
        <x:v>0</x:v>
      </x:c>
    </x:row>
    <x:row r="57">
      <x:c r="A57" s="15" t="str">
        <x:v>RG02</x:v>
      </x:c>
      <x:c r="B57" s="15" t="str">
        <x:v>RAG</x:v>
      </x:c>
      <x:c r="C57" s="15" t="str">
        <x:v>PostgreSQL + pgvector</x:v>
      </x:c>
      <x:c r="D57" s="15" t="str">
        <x:v>rag_db</x:v>
      </x:c>
      <x:c r="E57" s="15" t="str">
        <x:v>public</x:v>
      </x:c>
      <x:c r="F57" s="15" t="str">
        <x:v>api_request_nonces</x:v>
      </x:c>
      <x:c r="G57" s="15" t="str">
        <x:v>API 요청 nonce</x:v>
      </x:c>
      <x:c r="H57" s="15" t="str">
        <x:v>저장 사용·호출 off</x:v>
      </x:c>
      <x:c r="I57" s="15" t="str">
        <x:v>RG02_api_request_nonces</x:v>
      </x:c>
      <x:c r="J57" s="36" t="n">
        <x:v>2</x:v>
      </x:c>
      <x:c r="K57" s="36" t="n">
        <x:v>1</x:v>
      </x:c>
      <x:c r="L57" s="36" t="n">
        <x:v>0</x:v>
      </x:c>
    </x:row>
    <x:row r="58">
      <x:c r="A58" s="15" t="str">
        <x:v>RG03</x:v>
      </x:c>
      <x:c r="B58" s="15" t="str">
        <x:v>RAG</x:v>
      </x:c>
      <x:c r="C58" s="15" t="str">
        <x:v>PostgreSQL + pgvector</x:v>
      </x:c>
      <x:c r="D58" s="15" t="str">
        <x:v>rag_db</x:v>
      </x:c>
      <x:c r="E58" s="15" t="str">
        <x:v>public</x:v>
      </x:c>
      <x:c r="F58" s="15" t="str">
        <x:v>api_security_audit_logs</x:v>
      </x:c>
      <x:c r="G58" s="15" t="str">
        <x:v>API 보안 감사 로그</x:v>
      </x:c>
      <x:c r="H58" s="15" t="str">
        <x:v>저장 사용·호출 off</x:v>
      </x:c>
      <x:c r="I58" s="15" t="str">
        <x:v>RG03_api_security_audit_logs</x:v>
      </x:c>
      <x:c r="J58" s="36" t="n">
        <x:v>7</x:v>
      </x:c>
      <x:c r="K58" s="36" t="n">
        <x:v>1</x:v>
      </x:c>
      <x:c r="L58" s="36" t="n">
        <x:v>0</x:v>
      </x:c>
    </x:row>
    <x:row r="59">
      <x:c r="A59" s="15" t="str">
        <x:v>RG04</x:v>
      </x:c>
      <x:c r="B59" s="15" t="str">
        <x:v>RAG</x:v>
      </x:c>
      <x:c r="C59" s="15" t="str">
        <x:v>PostgreSQL + pgvector</x:v>
      </x:c>
      <x:c r="D59" s="15" t="str">
        <x:v>rag_db</x:v>
      </x:c>
      <x:c r="E59" s="15" t="str">
        <x:v>public</x:v>
      </x:c>
      <x:c r="F59" s="15" t="str">
        <x:v>document_chunk_versions</x:v>
      </x:c>
      <x:c r="G59" s="15" t="str">
        <x:v>문서 청크 버전</x:v>
      </x:c>
      <x:c r="H59" s="15" t="str">
        <x:v>저장 사용·호출 off</x:v>
      </x:c>
      <x:c r="I59" s="15" t="str">
        <x:v>RG04_document_chunk_versions</x:v>
      </x:c>
      <x:c r="J59" s="36" t="n">
        <x:v>9</x:v>
      </x:c>
      <x:c r="K59" s="36" t="n">
        <x:v>1</x:v>
      </x:c>
      <x:c r="L59" s="36" t="n">
        <x:v>1</x:v>
      </x:c>
    </x:row>
    <x:row r="60">
      <x:c r="A60" s="15" t="str">
        <x:v>RG05</x:v>
      </x:c>
      <x:c r="B60" s="15" t="str">
        <x:v>RAG</x:v>
      </x:c>
      <x:c r="C60" s="15" t="str">
        <x:v>PostgreSQL + pgvector</x:v>
      </x:c>
      <x:c r="D60" s="15" t="str">
        <x:v>rag_db</x:v>
      </x:c>
      <x:c r="E60" s="15" t="str">
        <x:v>public</x:v>
      </x:c>
      <x:c r="F60" s="15" t="str">
        <x:v>document_chunks</x:v>
      </x:c>
      <x:c r="G60" s="15" t="str">
        <x:v>문서 청크</x:v>
      </x:c>
      <x:c r="H60" s="15" t="str">
        <x:v>저장 사용·호출 off</x:v>
      </x:c>
      <x:c r="I60" s="15" t="str">
        <x:v>RG05_document_chunks</x:v>
      </x:c>
      <x:c r="J60" s="36" t="n">
        <x:v>18</x:v>
      </x:c>
      <x:c r="K60" s="36" t="n">
        <x:v>1</x:v>
      </x:c>
      <x:c r="L60" s="36" t="n">
        <x:v>1</x:v>
      </x:c>
    </x:row>
    <x:row r="61">
      <x:c r="A61" s="15" t="str">
        <x:v>RG06</x:v>
      </x:c>
      <x:c r="B61" s="15" t="str">
        <x:v>RAG</x:v>
      </x:c>
      <x:c r="C61" s="15" t="str">
        <x:v>PostgreSQL + pgvector</x:v>
      </x:c>
      <x:c r="D61" s="15" t="str">
        <x:v>rag_db</x:v>
      </x:c>
      <x:c r="E61" s="15" t="str">
        <x:v>public</x:v>
      </x:c>
      <x:c r="F61" s="15" t="str">
        <x:v>document_lifecycle_logs</x:v>
      </x:c>
      <x:c r="G61" s="15" t="str">
        <x:v>문서 수명주기 로그</x:v>
      </x:c>
      <x:c r="H61" s="15" t="str">
        <x:v>저장 사용·호출 off</x:v>
      </x:c>
      <x:c r="I61" s="15" t="str">
        <x:v>RG06_document_lifecycle_logs</x:v>
      </x:c>
      <x:c r="J61" s="36" t="n">
        <x:v>6</x:v>
      </x:c>
      <x:c r="K61" s="36" t="n">
        <x:v>1</x:v>
      </x:c>
      <x:c r="L61" s="36" t="n">
        <x:v>0</x:v>
      </x:c>
    </x:row>
    <x:row r="62">
      <x:c r="A62" s="15" t="str">
        <x:v>RG07</x:v>
      </x:c>
      <x:c r="B62" s="15" t="str">
        <x:v>RAG</x:v>
      </x:c>
      <x:c r="C62" s="15" t="str">
        <x:v>PostgreSQL + pgvector</x:v>
      </x:c>
      <x:c r="D62" s="15" t="str">
        <x:v>rag_db</x:v>
      </x:c>
      <x:c r="E62" s="15" t="str">
        <x:v>public</x:v>
      </x:c>
      <x:c r="F62" s="15" t="str">
        <x:v>document_versions</x:v>
      </x:c>
      <x:c r="G62" s="15" t="str">
        <x:v>문서 버전</x:v>
      </x:c>
      <x:c r="H62" s="15" t="str">
        <x:v>저장 사용·호출 off</x:v>
      </x:c>
      <x:c r="I62" s="15" t="str">
        <x:v>RG07_document_versions</x:v>
      </x:c>
      <x:c r="J62" s="36" t="n">
        <x:v>17</x:v>
      </x:c>
      <x:c r="K62" s="36" t="n">
        <x:v>1</x:v>
      </x:c>
      <x:c r="L62" s="36" t="n">
        <x:v>0</x:v>
      </x:c>
    </x:row>
    <x:row r="63">
      <x:c r="A63" s="15" t="str">
        <x:v>RG08</x:v>
      </x:c>
      <x:c r="B63" s="15" t="str">
        <x:v>RAG</x:v>
      </x:c>
      <x:c r="C63" s="15" t="str">
        <x:v>PostgreSQL + pgvector</x:v>
      </x:c>
      <x:c r="D63" s="15" t="str">
        <x:v>rag_db</x:v>
      </x:c>
      <x:c r="E63" s="15" t="str">
        <x:v>public</x:v>
      </x:c>
      <x:c r="F63" s="15" t="str">
        <x:v>documents</x:v>
      </x:c>
      <x:c r="G63" s="15" t="str">
        <x:v>RAG 문서</x:v>
      </x:c>
      <x:c r="H63" s="15" t="str">
        <x:v>저장 사용·호출 off</x:v>
      </x:c>
      <x:c r="I63" s="15" t="str">
        <x:v>RG08_documents</x:v>
      </x:c>
      <x:c r="J63" s="36" t="n">
        <x:v>16</x:v>
      </x:c>
      <x:c r="K63" s="36" t="n">
        <x:v>1</x:v>
      </x:c>
      <x:c r="L63" s="36" t="n">
        <x:v>0</x:v>
      </x:c>
    </x:row>
    <x:row r="64">
      <x:c r="A64" s="15" t="str">
        <x:v>RG09</x:v>
      </x:c>
      <x:c r="B64" s="15" t="str">
        <x:v>RAG</x:v>
      </x:c>
      <x:c r="C64" s="15" t="str">
        <x:v>PostgreSQL + pgvector</x:v>
      </x:c>
      <x:c r="D64" s="15" t="str">
        <x:v>rag_db</x:v>
      </x:c>
      <x:c r="E64" s="15" t="str">
        <x:v>public</x:v>
      </x:c>
      <x:c r="F64" s="15" t="str">
        <x:v>ingestion_runs</x:v>
      </x:c>
      <x:c r="G64" s="15" t="str">
        <x:v>RAG 수집 실행</x:v>
      </x:c>
      <x:c r="H64" s="15" t="str">
        <x:v>저장 사용·호출 off</x:v>
      </x:c>
      <x:c r="I64" s="15" t="str">
        <x:v>RG09_ingestion_runs</x:v>
      </x:c>
      <x:c r="J64" s="36" t="n">
        <x:v>13</x:v>
      </x:c>
      <x:c r="K64" s="36" t="n">
        <x:v>1</x:v>
      </x:c>
      <x:c r="L64" s="36" t="n">
        <x:v>0</x:v>
      </x:c>
    </x:row>
    <x:row r="65">
      <x:c r="A65" s="15" t="str">
        <x:v>RG10</x:v>
      </x:c>
      <x:c r="B65" s="15" t="str">
        <x:v>RAG</x:v>
      </x:c>
      <x:c r="C65" s="15" t="str">
        <x:v>PostgreSQL + pgvector</x:v>
      </x:c>
      <x:c r="D65" s="15" t="str">
        <x:v>rag_db</x:v>
      </x:c>
      <x:c r="E65" s="15" t="str">
        <x:v>public</x:v>
      </x:c>
      <x:c r="F65" s="15" t="str">
        <x:v>retrieval_audit_logs</x:v>
      </x:c>
      <x:c r="G65" s="15" t="str">
        <x:v>검색 감사 로그</x:v>
      </x:c>
      <x:c r="H65" s="15" t="str">
        <x:v>저장 사용·호출 off</x:v>
      </x:c>
      <x:c r="I65" s="15" t="str">
        <x:v>RG10_retrieval_audit_logs</x:v>
      </x:c>
      <x:c r="J65" s="36" t="n">
        <x:v>17</x:v>
      </x:c>
      <x:c r="K65" s="36" t="n">
        <x:v>1</x:v>
      </x:c>
      <x:c r="L65" s="36" t="n">
        <x:v>0</x:v>
      </x:c>
    </x:row>
    <x:row r="66">
      <x:c r="A66" s="15" t="str">
        <x:v>RG11</x:v>
      </x:c>
      <x:c r="B66" s="15" t="str">
        <x:v>RAG</x:v>
      </x:c>
      <x:c r="C66" s="15" t="str">
        <x:v>PostgreSQL + pgvector</x:v>
      </x:c>
      <x:c r="D66" s="15" t="str">
        <x:v>rag_db</x:v>
      </x:c>
      <x:c r="E66" s="15" t="str">
        <x:v>public</x:v>
      </x:c>
      <x:c r="F66" s="15" t="str">
        <x:v>tool_registry</x:v>
      </x:c>
      <x:c r="G66" s="15" t="str">
        <x:v>RAG 도구 레지스트리</x:v>
      </x:c>
      <x:c r="H66" s="15" t="str">
        <x:v>저장 사용·호출 off</x:v>
      </x:c>
      <x:c r="I66" s="15" t="str">
        <x:v>RG11_tool_registry</x:v>
      </x:c>
      <x:c r="J66" s="36" t="n">
        <x:v>23</x:v>
      </x:c>
      <x:c r="K66" s="36" t="n">
        <x:v>1</x:v>
      </x:c>
      <x:c r="L66" s="36" t="n">
        <x:v>0</x:v>
      </x:c>
    </x:row>
    <x:row r="67">
      <x:c r="A67" s="15" t="str">
        <x:v>RG12</x:v>
      </x:c>
      <x:c r="B67" s="15" t="str">
        <x:v>RAG</x:v>
      </x:c>
      <x:c r="C67" s="15" t="str">
        <x:v>PostgreSQL + pgvector</x:v>
      </x:c>
      <x:c r="D67" s="15" t="str">
        <x:v>rag_db</x:v>
      </x:c>
      <x:c r="E67" s="15" t="str">
        <x:v>public</x:v>
      </x:c>
      <x:c r="F67" s="15" t="str">
        <x:v>tool_runs</x:v>
      </x:c>
      <x:c r="G67" s="15" t="str">
        <x:v>RAG 도구 실행 이력</x:v>
      </x:c>
      <x:c r="H67" s="15" t="str">
        <x:v>저장 사용·호출 off</x:v>
      </x:c>
      <x:c r="I67" s="15" t="str">
        <x:v>RG12_tool_runs</x:v>
      </x:c>
      <x:c r="J67" s="36" t="n">
        <x:v>11</x:v>
      </x:c>
      <x:c r="K67" s="36" t="n">
        <x:v>1</x:v>
      </x:c>
      <x:c r="L67" s="36" t="n">
        <x:v>1</x:v>
      </x:c>
    </x:row>
    <x:row r="68">
      <x:c r="A68" s="15" t="str">
        <x:v>S01</x:v>
      </x:c>
      <x:c r="B68" s="15" t="str">
        <x:v>Source</x:v>
      </x:c>
      <x:c r="C68" s="15" t="str">
        <x:v>PostgreSQL</x:v>
      </x:c>
      <x:c r="D68" s="15" t="str">
        <x:v>hotel_pms</x:v>
      </x:c>
      <x:c r="E68" s="15" t="str">
        <x:v>public</x:v>
      </x:c>
      <x:c r="F68" s="15" t="str">
        <x:v>pms_guests</x:v>
      </x:c>
      <x:c r="G68" s="15" t="str">
        <x:v>PMS 고객</x:v>
      </x:c>
      <x:c r="H68" s="15" t="str">
        <x:v>사용</x:v>
      </x:c>
      <x:c r="I68" s="15" t="str">
        <x:v>S01_pms_guests</x:v>
      </x:c>
      <x:c r="J68" s="36" t="n">
        <x:v>8</x:v>
      </x:c>
      <x:c r="K68" s="36" t="n">
        <x:v>1</x:v>
      </x:c>
      <x:c r="L68" s="36" t="n">
        <x:v>0</x:v>
      </x:c>
    </x:row>
    <x:row r="69">
      <x:c r="A69" s="15" t="str">
        <x:v>S02</x:v>
      </x:c>
      <x:c r="B69" s="15" t="str">
        <x:v>Source</x:v>
      </x:c>
      <x:c r="C69" s="15" t="str">
        <x:v>PostgreSQL</x:v>
      </x:c>
      <x:c r="D69" s="15" t="str">
        <x:v>hotel_pms</x:v>
      </x:c>
      <x:c r="E69" s="15" t="str">
        <x:v>public</x:v>
      </x:c>
      <x:c r="F69" s="15" t="str">
        <x:v>pms_room_inventory_daily</x:v>
      </x:c>
      <x:c r="G69" s="15" t="str">
        <x:v>일별 객실 공급</x:v>
      </x:c>
      <x:c r="H69" s="15" t="str">
        <x:v>사용</x:v>
      </x:c>
      <x:c r="I69" s="15" t="str">
        <x:v>S02_pms_room_inventory_daily</x:v>
      </x:c>
      <x:c r="J69" s="36" t="n">
        <x:v>12</x:v>
      </x:c>
      <x:c r="K69" s="36" t="n">
        <x:v>1</x:v>
      </x:c>
      <x:c r="L69" s="36" t="n">
        <x:v>0</x:v>
      </x:c>
    </x:row>
    <x:row r="70">
      <x:c r="A70" s="15" t="str">
        <x:v>S03</x:v>
      </x:c>
      <x:c r="B70" s="15" t="str">
        <x:v>Source</x:v>
      </x:c>
      <x:c r="C70" s="15" t="str">
        <x:v>PostgreSQL</x:v>
      </x:c>
      <x:c r="D70" s="15" t="str">
        <x:v>hotel_pms</x:v>
      </x:c>
      <x:c r="E70" s="15" t="str">
        <x:v>public</x:v>
      </x:c>
      <x:c r="F70" s="15" t="str">
        <x:v>pms_reservations</x:v>
      </x:c>
      <x:c r="G70" s="15" t="str">
        <x:v>객실 예약</x:v>
      </x:c>
      <x:c r="H70" s="15" t="str">
        <x:v>사용</x:v>
      </x:c>
      <x:c r="I70" s="15" t="str">
        <x:v>S03_pms_reservations</x:v>
      </x:c>
      <x:c r="J70" s="36" t="n">
        <x:v>26</x:v>
      </x:c>
      <x:c r="K70" s="36" t="n">
        <x:v>1</x:v>
      </x:c>
      <x:c r="L70" s="36" t="n">
        <x:v>1</x:v>
      </x:c>
    </x:row>
    <x:row r="71">
      <x:c r="A71" s="15" t="str">
        <x:v>S04</x:v>
      </x:c>
      <x:c r="B71" s="15" t="str">
        <x:v>Source</x:v>
      </x:c>
      <x:c r="C71" s="15" t="str">
        <x:v>PostgreSQL</x:v>
      </x:c>
      <x:c r="D71" s="15" t="str">
        <x:v>hotel_pms</x:v>
      </x:c>
      <x:c r="E71" s="15" t="str">
        <x:v>public</x:v>
      </x:c>
      <x:c r="F71" s="15" t="str">
        <x:v>pms_stays</x:v>
      </x:c>
      <x:c r="G71" s="15" t="str">
        <x:v>객실 투숙</x:v>
      </x:c>
      <x:c r="H71" s="15" t="str">
        <x:v>사용</x:v>
      </x:c>
      <x:c r="I71" s="15" t="str">
        <x:v>S04_pms_stays</x:v>
      </x:c>
      <x:c r="J71" s="36" t="n">
        <x:v>19</x:v>
      </x:c>
      <x:c r="K71" s="36" t="n">
        <x:v>1</x:v>
      </x:c>
      <x:c r="L71" s="36" t="n">
        <x:v>2</x:v>
      </x:c>
    </x:row>
    <x:row r="72">
      <x:c r="A72" s="15" t="str">
        <x:v>S05</x:v>
      </x:c>
      <x:c r="B72" s="15" t="str">
        <x:v>Source</x:v>
      </x:c>
      <x:c r="C72" s="15" t="str">
        <x:v>MySQL</x:v>
      </x:c>
      <x:c r="D72" s="15" t="str">
        <x:v>hotel_pos</x:v>
      </x:c>
      <x:c r="E72" s="15" t="str">
        <x:v>hotel_pos</x:v>
      </x:c>
      <x:c r="F72" s="15" t="str">
        <x:v>pos_stores</x:v>
      </x:c>
      <x:c r="G72" s="15" t="str">
        <x:v>F&amp;B 매장</x:v>
      </x:c>
      <x:c r="H72" s="15" t="str">
        <x:v>사용</x:v>
      </x:c>
      <x:c r="I72" s="15" t="str">
        <x:v>S05_pos_stores</x:v>
      </x:c>
      <x:c r="J72" s="36" t="n">
        <x:v>10</x:v>
      </x:c>
      <x:c r="K72" s="36" t="n">
        <x:v>1</x:v>
      </x:c>
      <x:c r="L72" s="36" t="n">
        <x:v>0</x:v>
      </x:c>
    </x:row>
    <x:row r="73">
      <x:c r="A73" s="15" t="str">
        <x:v>S06</x:v>
      </x:c>
      <x:c r="B73" s="15" t="str">
        <x:v>Source</x:v>
      </x:c>
      <x:c r="C73" s="15" t="str">
        <x:v>MySQL</x:v>
      </x:c>
      <x:c r="D73" s="15" t="str">
        <x:v>hotel_pos</x:v>
      </x:c>
      <x:c r="E73" s="15" t="str">
        <x:v>hotel_pos</x:v>
      </x:c>
      <x:c r="F73" s="15" t="str">
        <x:v>pos_service_periods</x:v>
      </x:c>
      <x:c r="G73" s="15" t="str">
        <x:v>매장 서비스 시간대 운영</x:v>
      </x:c>
      <x:c r="H73" s="15" t="str">
        <x:v>사용</x:v>
      </x:c>
      <x:c r="I73" s="15" t="str">
        <x:v>S06_pos_service_periods</x:v>
      </x:c>
      <x:c r="J73" s="36" t="n">
        <x:v>14</x:v>
      </x:c>
      <x:c r="K73" s="36" t="n">
        <x:v>1</x:v>
      </x:c>
      <x:c r="L73" s="36" t="n">
        <x:v>1</x:v>
      </x:c>
    </x:row>
    <x:row r="74">
      <x:c r="A74" s="15" t="str">
        <x:v>S07</x:v>
      </x:c>
      <x:c r="B74" s="15" t="str">
        <x:v>Source</x:v>
      </x:c>
      <x:c r="C74" s="15" t="str">
        <x:v>MySQL</x:v>
      </x:c>
      <x:c r="D74" s="15" t="str">
        <x:v>hotel_pos</x:v>
      </x:c>
      <x:c r="E74" s="15" t="str">
        <x:v>hotel_pos</x:v>
      </x:c>
      <x:c r="F74" s="15" t="str">
        <x:v>pos_orders</x:v>
      </x:c>
      <x:c r="G74" s="15" t="str">
        <x:v>POS 주문·결제</x:v>
      </x:c>
      <x:c r="H74" s="15" t="str">
        <x:v>사용</x:v>
      </x:c>
      <x:c r="I74" s="15" t="str">
        <x:v>S07_pos_orders</x:v>
      </x:c>
      <x:c r="J74" s="36" t="n">
        <x:v>21</x:v>
      </x:c>
      <x:c r="K74" s="36" t="n">
        <x:v>1</x:v>
      </x:c>
      <x:c r="L74" s="36" t="n">
        <x:v>2</x:v>
      </x:c>
    </x:row>
    <x:row r="75">
      <x:c r="A75" s="15" t="str">
        <x:v>S08</x:v>
      </x:c>
      <x:c r="B75" s="15" t="str">
        <x:v>Source</x:v>
      </x:c>
      <x:c r="C75" s="15" t="str">
        <x:v>MySQL</x:v>
      </x:c>
      <x:c r="D75" s="15" t="str">
        <x:v>hotel_pos</x:v>
      </x:c>
      <x:c r="E75" s="15" t="str">
        <x:v>hotel_pos</x:v>
      </x:c>
      <x:c r="F75" s="15" t="str">
        <x:v>pos_order_items</x:v>
      </x:c>
      <x:c r="G75" s="15" t="str">
        <x:v>POS 주문 품목</x:v>
      </x:c>
      <x:c r="H75" s="15" t="str">
        <x:v>사용</x:v>
      </x:c>
      <x:c r="I75" s="15" t="str">
        <x:v>S08_pos_order_items</x:v>
      </x:c>
      <x:c r="J75" s="36" t="n">
        <x:v>12</x:v>
      </x:c>
      <x:c r="K75" s="36" t="n">
        <x:v>1</x:v>
      </x:c>
      <x:c r="L75" s="36" t="n">
        <x:v>1</x:v>
      </x:c>
    </x:row>
    <x:row r="76">
      <x:c r="A76" s="15" t="str">
        <x:v>S09</x:v>
      </x:c>
      <x:c r="B76" s="15" t="str">
        <x:v>Source</x:v>
      </x:c>
      <x:c r="C76" s="15" t="str">
        <x:v>SQL Server</x:v>
      </x:c>
      <x:c r="D76" s="15" t="str">
        <x:v>hotel_crm</x:v>
      </x:c>
      <x:c r="E76" s="15" t="str">
        <x:v>dbo</x:v>
      </x:c>
      <x:c r="F76" s="15" t="str">
        <x:v>crm_members</x:v>
      </x:c>
      <x:c r="G76" s="15" t="str">
        <x:v>CRM 멤버십 회원</x:v>
      </x:c>
      <x:c r="H76" s="15" t="str">
        <x:v>사용</x:v>
      </x:c>
      <x:c r="I76" s="15" t="str">
        <x:v>S09_crm_members</x:v>
      </x:c>
      <x:c r="J76" s="36" t="n">
        <x:v>10</x:v>
      </x:c>
      <x:c r="K76" s="36" t="n">
        <x:v>1</x:v>
      </x:c>
      <x:c r="L76" s="36" t="n">
        <x:v>0</x:v>
      </x:c>
    </x:row>
    <x:row r="77">
      <x:c r="A77" s="15" t="str">
        <x:v>S18</x:v>
      </x:c>
      <x:c r="B77" s="15" t="str">
        <x:v>Source</x:v>
      </x:c>
      <x:c r="C77" s="15" t="str">
        <x:v>SQL Server</x:v>
      </x:c>
      <x:c r="D77" s="15" t="str">
        <x:v>hotel_crm</x:v>
      </x:c>
      <x:c r="E77" s="15" t="str">
        <x:v>dbo</x:v>
      </x:c>
      <x:c r="F77" s="15" t="str">
        <x:v>crm_member_grade_history</x:v>
      </x:c>
      <x:c r="G77" s="15" t="str">
        <x:v>CRM 회원 등급 이력</x:v>
      </x:c>
      <x:c r="H77" s="15" t="str">
        <x:v>사용</x:v>
      </x:c>
      <x:c r="I77" s="15" t="str">
        <x:v>S18_crm_member_grade_history</x:v>
      </x:c>
      <x:c r="J77" s="36" t="n">
        <x:v>9</x:v>
      </x:c>
      <x:c r="K77" s="36" t="n">
        <x:v>1</x:v>
      </x:c>
      <x:c r="L77" s="36" t="n">
        <x:v>1</x:v>
      </x:c>
    </x:row>
    <x:row r="78">
      <x:c r="A78" s="15" t="str">
        <x:v>S10</x:v>
      </x:c>
      <x:c r="B78" s="15" t="str">
        <x:v>Source</x:v>
      </x:c>
      <x:c r="C78" s="15" t="str">
        <x:v>SQL Server</x:v>
      </x:c>
      <x:c r="D78" s="15" t="str">
        <x:v>hotel_crm</x:v>
      </x:c>
      <x:c r="E78" s="15" t="str">
        <x:v>dbo</x:v>
      </x:c>
      <x:c r="F78" s="15" t="str">
        <x:v>crm_point_transactions</x:v>
      </x:c>
      <x:c r="G78" s="15" t="str">
        <x:v>CRM 포인트 거래</x:v>
      </x:c>
      <x:c r="H78" s="15" t="str">
        <x:v>사용</x:v>
      </x:c>
      <x:c r="I78" s="15" t="str">
        <x:v>S10_crm_point_transactions</x:v>
      </x:c>
      <x:c r="J78" s="36" t="n">
        <x:v>12</x:v>
      </x:c>
      <x:c r="K78" s="36" t="n">
        <x:v>1</x:v>
      </x:c>
      <x:c r="L78" s="36" t="n">
        <x:v>2</x:v>
      </x:c>
    </x:row>
    <x:row r="79">
      <x:c r="A79" s="15" t="str">
        <x:v>S11</x:v>
      </x:c>
      <x:c r="B79" s="15" t="str">
        <x:v>Source</x:v>
      </x:c>
      <x:c r="C79" s="15" t="str">
        <x:v>SQL Server</x:v>
      </x:c>
      <x:c r="D79" s="15" t="str">
        <x:v>hotel_crm</x:v>
      </x:c>
      <x:c r="E79" s="15" t="str">
        <x:v>dbo</x:v>
      </x:c>
      <x:c r="F79" s="15" t="str">
        <x:v>crm_customer_map</x:v>
      </x:c>
      <x:c r="G79" s="15" t="str">
        <x:v>CRM 고객 식별자 매핑</x:v>
      </x:c>
      <x:c r="H79" s="15" t="str">
        <x:v>사용</x:v>
      </x:c>
      <x:c r="I79" s="15" t="str">
        <x:v>S11_crm_customer_map</x:v>
      </x:c>
      <x:c r="J79" s="36" t="n">
        <x:v>13</x:v>
      </x:c>
      <x:c r="K79" s="36" t="n">
        <x:v>1</x:v>
      </x:c>
      <x:c r="L79" s="36" t="n">
        <x:v>5</x:v>
      </x:c>
    </x:row>
    <x:row r="80">
      <x:c r="A80" s="15" t="str">
        <x:v>S12</x:v>
      </x:c>
      <x:c r="B80" s="15" t="str">
        <x:v>Source</x:v>
      </x:c>
      <x:c r="C80" s="15" t="str">
        <x:v>ClickHouse</x:v>
      </x:c>
      <x:c r="D80" s="15" t="str">
        <x:v>hotel_facility</x:v>
      </x:c>
      <x:c r="E80" s="15" t="str">
        <x:v>hotel_facility</x:v>
      </x:c>
      <x:c r="F80" s="15" t="str">
        <x:v>facility_master</x:v>
      </x:c>
      <x:c r="G80" s="15" t="str">
        <x:v>시설 마스터</x:v>
      </x:c>
      <x:c r="H80" s="15" t="str">
        <x:v>사용</x:v>
      </x:c>
      <x:c r="I80" s="15" t="str">
        <x:v>S12_facility_master</x:v>
      </x:c>
      <x:c r="J80" s="36" t="n">
        <x:v>11</x:v>
      </x:c>
      <x:c r="K80" s="36" t="n">
        <x:v>1</x:v>
      </x:c>
      <x:c r="L80" s="36" t="n">
        <x:v>0</x:v>
      </x:c>
    </x:row>
    <x:row r="81">
      <x:c r="A81" s="15" t="str">
        <x:v>S13</x:v>
      </x:c>
      <x:c r="B81" s="15" t="str">
        <x:v>Source</x:v>
      </x:c>
      <x:c r="C81" s="15" t="str">
        <x:v>ClickHouse</x:v>
      </x:c>
      <x:c r="D81" s="15" t="str">
        <x:v>hotel_facility</x:v>
      </x:c>
      <x:c r="E81" s="15" t="str">
        <x:v>hotel_facility</x:v>
      </x:c>
      <x:c r="F81" s="15" t="str">
        <x:v>facility_events</x:v>
      </x:c>
      <x:c r="G81" s="15" t="str">
        <x:v>시설 운영 이벤트</x:v>
      </x:c>
      <x:c r="H81" s="15" t="str">
        <x:v>사용</x:v>
      </x:c>
      <x:c r="I81" s="15" t="str">
        <x:v>S13_facility_events</x:v>
      </x:c>
      <x:c r="J81" s="36" t="n">
        <x:v>15</x:v>
      </x:c>
      <x:c r="K81" s="36" t="n">
        <x:v>1</x:v>
      </x:c>
      <x:c r="L81" s="36" t="n">
        <x:v>2</x:v>
      </x:c>
    </x:row>
    <x:row r="82">
      <x:c r="A82" s="15" t="str">
        <x:v>S14</x:v>
      </x:c>
      <x:c r="B82" s="15" t="str">
        <x:v>Source</x:v>
      </x:c>
      <x:c r="C82" s="15" t="str">
        <x:v>ClickHouse</x:v>
      </x:c>
      <x:c r="D82" s="15" t="str">
        <x:v>hotel_facility</x:v>
      </x:c>
      <x:c r="E82" s="15" t="str">
        <x:v>hotel_facility</x:v>
      </x:c>
      <x:c r="F82" s="15" t="str">
        <x:v>hotel_staffing_daily</x:v>
      </x:c>
      <x:c r="G82" s="15" t="str">
        <x:v>일별 인력·인건비</x:v>
      </x:c>
      <x:c r="H82" s="15" t="str">
        <x:v>사용</x:v>
      </x:c>
      <x:c r="I82" s="15" t="str">
        <x:v>S14_hotel_staffing_daily</x:v>
      </x:c>
      <x:c r="J82" s="36" t="n">
        <x:v>16</x:v>
      </x:c>
      <x:c r="K82" s="36" t="n">
        <x:v>1</x:v>
      </x:c>
      <x:c r="L82" s="36" t="n">
        <x:v>0</x:v>
      </x:c>
    </x:row>
    <x:row r="83">
      <x:c r="A83" s="15" t="str">
        <x:v>S15</x:v>
      </x:c>
      <x:c r="B83" s="15" t="str">
        <x:v>Source</x:v>
      </x:c>
      <x:c r="C83" s="15" t="str">
        <x:v>ClickHouse</x:v>
      </x:c>
      <x:c r="D83" s="15" t="str">
        <x:v>hotel_facility</x:v>
      </x:c>
      <x:c r="E83" s="15" t="str">
        <x:v>hotel_facility</x:v>
      </x:c>
      <x:c r="F83" s="15" t="str">
        <x:v>facility_resource_daily</x:v>
      </x:c>
      <x:c r="G83" s="15" t="str">
        <x:v>일별 자원 사용</x:v>
      </x:c>
      <x:c r="H83" s="15" t="str">
        <x:v>사용</x:v>
      </x:c>
      <x:c r="I83" s="15" t="str">
        <x:v>S15_facility_resource_daily</x:v>
      </x:c>
      <x:c r="J83" s="36" t="n">
        <x:v>14</x:v>
      </x:c>
      <x:c r="K83" s="36" t="n">
        <x:v>1</x:v>
      </x:c>
      <x:c r="L83" s="36" t="n">
        <x:v>0</x:v>
      </x:c>
    </x:row>
    <x:row r="84">
      <x:c r="A84" s="15" t="str">
        <x:v>S16</x:v>
      </x:c>
      <x:c r="B84" s="15" t="str">
        <x:v>Source</x:v>
      </x:c>
      <x:c r="C84" s="15" t="str">
        <x:v>PostgreSQL</x:v>
      </x:c>
      <x:c r="D84" s="15" t="str">
        <x:v>hotel_banquet</x:v>
      </x:c>
      <x:c r="E84" s="15" t="str">
        <x:v>public</x:v>
      </x:c>
      <x:c r="F84" s="15" t="str">
        <x:v>banquet_bookings</x:v>
      </x:c>
      <x:c r="G84" s="15" t="str">
        <x:v>연회 예약</x:v>
      </x:c>
      <x:c r="H84" s="15" t="str">
        <x:v>사용</x:v>
      </x:c>
      <x:c r="I84" s="15" t="str">
        <x:v>S16_banquet_bookings</x:v>
      </x:c>
      <x:c r="J84" s="36" t="n">
        <x:v>27</x:v>
      </x:c>
      <x:c r="K84" s="36" t="n">
        <x:v>1</x:v>
      </x:c>
      <x:c r="L84" s="36" t="n">
        <x:v>1</x:v>
      </x:c>
    </x:row>
    <x:row r="85">
      <x:c r="A85" s="15" t="str">
        <x:v>S17</x:v>
      </x:c>
      <x:c r="B85" s="15" t="str">
        <x:v>Source</x:v>
      </x:c>
      <x:c r="C85" s="15" t="str">
        <x:v>PostgreSQL</x:v>
      </x:c>
      <x:c r="D85" s="15" t="str">
        <x:v>hotel_banquet</x:v>
      </x:c>
      <x:c r="E85" s="15" t="str">
        <x:v>public</x:v>
      </x:c>
      <x:c r="F85" s="15" t="str">
        <x:v>banquet_revenue</x:v>
      </x:c>
      <x:c r="G85" s="15" t="str">
        <x:v>연회 매출</x:v>
      </x:c>
      <x:c r="H85" s="15" t="str">
        <x:v>사용</x:v>
      </x:c>
      <x:c r="I85" s="15" t="str">
        <x:v>S17_banquet_revenue</x:v>
      </x:c>
      <x:c r="J85" s="36" t="n">
        <x:v>14</x:v>
      </x:c>
      <x:c r="K85" s="36" t="n">
        <x:v>1</x:v>
      </x:c>
      <x:c r="L85" s="36" t="n">
        <x:v>1</x:v>
      </x:c>
    </x:row>
  </x:sheetData>
  <x:mergeCells>
    <x:mergeCell ref="A1:L1"/>
    <x:mergeCell ref="A3:L3"/>
    <x:mergeCell ref="A4:L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40" hidden="0" customWidth="1"/>
    <x:col min="4" max="4" width="12" hidden="0" customWidth="1"/>
    <x:col min="5" max="5" width="40" hidden="0" customWidth="1"/>
    <x:col min="6" max="6" width="10" hidden="0" customWidth="1"/>
    <x:col min="7" max="7" width="14" hidden="0" customWidth="1"/>
    <x:col min="8" max="8" width="16" hidden="0" customWidth="1"/>
    <x:col min="9" max="9" width="16" hidden="0" customWidth="1"/>
    <x:col min="10" max="10" width="30" hidden="0" customWidth="1"/>
  </x:cols>
  <x:sheetData>
    <x:row r="1">
      <x:c r="A1" s="35" t="str">
        <x:v>핵심 참조관계 검증(대표 20건)</x:v>
      </x:c>
      <x:c r="B1" s="35"/>
      <x:c r="C1" s="35"/>
      <x:c r="D1" s="35"/>
      <x:c r="E1" s="35"/>
      <x:c r="F1" s="35"/>
      <x:c r="G1" s="35"/>
      <x:c r="H1" s="35"/>
      <x:c r="I1" s="35"/>
      <x:c r="J1" s="35"/>
    </x:row>
    <x:row r="2">
      <x:c r="A2" s="3" t="str">
        <x:v>현재 격리 재생된 Application·RAG 물리 FK 중 업무 경로를 설명하는 대표 20건을 정적으로 요약한다. 전체 Application 86개, RAG 3개 FK는 각 상세 시트와 migration에서 관리한다.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39" t="str">
        <x:v>No</x:v>
      </x:c>
      <x:c r="B4" s="39" t="str">
        <x:v>영역</x:v>
      </x:c>
      <x:c r="C4" s="39" t="str">
        <x:v>자식 컬럼(FQN)</x:v>
      </x:c>
      <x:c r="D4" s="39" t="str">
        <x:v>관계 유형</x:v>
      </x:c>
      <x:c r="E4" s="39" t="str">
        <x:v>부모·기준 컬럼(FQN)</x:v>
      </x:c>
      <x:c r="F4" s="39" t="str">
        <x:v>NULL 허용</x:v>
      </x:c>
      <x:c r="G4" s="39" t="str">
        <x:v>검증 방식</x:v>
      </x:c>
      <x:c r="H4" s="39" t="str">
        <x:v>정적 검증 결과</x:v>
      </x:c>
      <x:c r="I4" s="39" t="str">
        <x:v>현재 범위</x:v>
      </x:c>
      <x:c r="J4" s="39" t="str">
        <x:v>비고</x:v>
      </x:c>
    </x:row>
    <x:row r="5">
      <x:c r="A5" s="15" t="n">
        <x:v>1</x:v>
      </x:c>
      <x:c r="B5" s="15" t="str">
        <x:v>Application</x:v>
      </x:c>
      <x:c r="C5" s="15" t="str">
        <x:v>context.context_packages.context_release_id</x:v>
      </x:c>
      <x:c r="D5" s="15" t="str">
        <x:v>PHYSICAL</x:v>
      </x:c>
      <x:c r="E5" s="15" t="str">
        <x:v>context.context_releases.context_release_id</x:v>
      </x:c>
      <x:c r="F5" s="15" t="str">
        <x:v>Y</x:v>
      </x:c>
      <x:c r="G5" s="15" t="str">
        <x:v>DB FK</x:v>
      </x:c>
      <x:c r="H5" s="42" t="str">
        <x:v>PASS</x:v>
      </x:c>
      <x:c r="I5" s="15" t="str">
        <x:v>사용</x:v>
      </x:c>
      <x:c r="J5" s="15" t="str">
        <x:v>context_packages_context_release_id_fkey</x:v>
      </x:c>
    </x:row>
    <x:row r="6">
      <x:c r="A6" s="15" t="n">
        <x:v>2</x:v>
      </x:c>
      <x:c r="B6" s="15" t="str">
        <x:v>Application</x:v>
      </x:c>
      <x:c r="C6" s="15" t="str">
        <x:v>context.context_packages.product_release_id</x:v>
      </x:c>
      <x:c r="D6" s="15" t="str">
        <x:v>PHYSICAL</x:v>
      </x:c>
      <x:c r="E6" s="15" t="str">
        <x:v>governance.product_release_manifests.product_release_id</x:v>
      </x:c>
      <x:c r="F6" s="15" t="str">
        <x:v>Y</x:v>
      </x:c>
      <x:c r="G6" s="15" t="str">
        <x:v>DB FK</x:v>
      </x:c>
      <x:c r="H6" s="42" t="str">
        <x:v>PASS</x:v>
      </x:c>
      <x:c r="I6" s="15" t="str">
        <x:v>사용</x:v>
      </x:c>
      <x:c r="J6" s="15" t="str">
        <x:v>context_package_product_release_fk</x:v>
      </x:c>
    </x:row>
    <x:row r="7">
      <x:c r="A7" s="15" t="n">
        <x:v>3</x:v>
      </x:c>
      <x:c r="B7" s="15" t="str">
        <x:v>Application</x:v>
      </x:c>
      <x:c r="C7" s="15" t="str">
        <x:v>context.context_packages.request_id</x:v>
      </x:c>
      <x:c r="D7" s="15" t="str">
        <x:v>PHYSICAL</x:v>
      </x:c>
      <x:c r="E7" s="15" t="str">
        <x:v>chat.analysis_requests.request_id</x:v>
      </x:c>
      <x:c r="F7" s="15" t="str">
        <x:v>N</x:v>
      </x:c>
      <x:c r="G7" s="15" t="str">
        <x:v>DB FK</x:v>
      </x:c>
      <x:c r="H7" s="42" t="str">
        <x:v>PASS</x:v>
      </x:c>
      <x:c r="I7" s="15" t="str">
        <x:v>사용</x:v>
      </x:c>
      <x:c r="J7" s="15" t="str">
        <x:v>context_packages_request_id_fkey</x:v>
      </x:c>
    </x:row>
    <x:row r="8">
      <x:c r="A8" s="15" t="n">
        <x:v>4</x:v>
      </x:c>
      <x:c r="B8" s="15" t="str">
        <x:v>Application</x:v>
      </x:c>
      <x:c r="C8" s="15" t="str">
        <x:v>context.context_releases.rollback_release_id</x:v>
      </x:c>
      <x:c r="D8" s="15" t="str">
        <x:v>PHYSICAL</x:v>
      </x:c>
      <x:c r="E8" s="15" t="str">
        <x:v>context.context_releases.context_release_id</x:v>
      </x:c>
      <x:c r="F8" s="15" t="str">
        <x:v>Y</x:v>
      </x:c>
      <x:c r="G8" s="15" t="str">
        <x:v>DB FK</x:v>
      </x:c>
      <x:c r="H8" s="42" t="str">
        <x:v>PASS</x:v>
      </x:c>
      <x:c r="I8" s="15" t="str">
        <x:v>사용</x:v>
      </x:c>
      <x:c r="J8" s="15" t="str">
        <x:v>context_releases_rollback_release_id_fkey</x:v>
      </x:c>
    </x:row>
    <x:row r="9">
      <x:c r="A9" s="15" t="n">
        <x:v>5</x:v>
      </x:c>
      <x:c r="B9" s="15" t="str">
        <x:v>Application</x:v>
      </x:c>
      <x:c r="C9" s="15" t="str">
        <x:v>chat.analysis_requests.command_id</x:v>
      </x:c>
      <x:c r="D9" s="15" t="str">
        <x:v>PHYSICAL</x:v>
      </x:c>
      <x:c r="E9" s="15" t="str">
        <x:v>chat.turn_commands.command_id</x:v>
      </x:c>
      <x:c r="F9" s="15" t="str">
        <x:v>Y</x:v>
      </x:c>
      <x:c r="G9" s="15" t="str">
        <x:v>DB FK</x:v>
      </x:c>
      <x:c r="H9" s="42" t="str">
        <x:v>PASS</x:v>
      </x:c>
      <x:c r="I9" s="15" t="str">
        <x:v>사용</x:v>
      </x:c>
      <x:c r="J9" s="15" t="str">
        <x:v>analysis_requests_command_id_fkey</x:v>
      </x:c>
    </x:row>
    <x:row r="10">
      <x:c r="A10" s="15" t="n">
        <x:v>6</x:v>
      </x:c>
      <x:c r="B10" s="15" t="str">
        <x:v>Application</x:v>
      </x:c>
      <x:c r="C10" s="15" t="str">
        <x:v>chat.analysis_requests.context_package_id</x:v>
      </x:c>
      <x:c r="D10" s="15" t="str">
        <x:v>PHYSICAL</x:v>
      </x:c>
      <x:c r="E10" s="15" t="str">
        <x:v>context.context_packages.context_package_id</x:v>
      </x:c>
      <x:c r="F10" s="15" t="str">
        <x:v>Y</x:v>
      </x:c>
      <x:c r="G10" s="15" t="str">
        <x:v>DB FK</x:v>
      </x:c>
      <x:c r="H10" s="42" t="str">
        <x:v>PASS</x:v>
      </x:c>
      <x:c r="I10" s="15" t="str">
        <x:v>사용</x:v>
      </x:c>
      <x:c r="J10" s="15" t="str">
        <x:v>fk_analysis_request_context_package</x:v>
      </x:c>
    </x:row>
    <x:row r="11">
      <x:c r="A11" s="15" t="n">
        <x:v>7</x:v>
      </x:c>
      <x:c r="B11" s="15" t="str">
        <x:v>Application</x:v>
      </x:c>
      <x:c r="C11" s="15" t="str">
        <x:v>chat.analysis_requests.context_release_id</x:v>
      </x:c>
      <x:c r="D11" s="15" t="str">
        <x:v>PHYSICAL</x:v>
      </x:c>
      <x:c r="E11" s="15" t="str">
        <x:v>context.context_releases.context_release_id</x:v>
      </x:c>
      <x:c r="F11" s="15" t="str">
        <x:v>Y</x:v>
      </x:c>
      <x:c r="G11" s="15" t="str">
        <x:v>DB FK</x:v>
      </x:c>
      <x:c r="H11" s="42" t="str">
        <x:v>PASS</x:v>
      </x:c>
      <x:c r="I11" s="15" t="str">
        <x:v>사용</x:v>
      </x:c>
      <x:c r="J11" s="15" t="str">
        <x:v>analysis_requests_context_release_id_fkey</x:v>
      </x:c>
    </x:row>
    <x:row r="12">
      <x:c r="A12" s="15" t="n">
        <x:v>8</x:v>
      </x:c>
      <x:c r="B12" s="15" t="str">
        <x:v>Application</x:v>
      </x:c>
      <x:c r="C12" s="15" t="str">
        <x:v>chat.analysis_requests.conversation_id</x:v>
      </x:c>
      <x:c r="D12" s="15" t="str">
        <x:v>PHYSICAL</x:v>
      </x:c>
      <x:c r="E12" s="15" t="str">
        <x:v>chat.conversations.conversation_id</x:v>
      </x:c>
      <x:c r="F12" s="15" t="str">
        <x:v>Y</x:v>
      </x:c>
      <x:c r="G12" s="15" t="str">
        <x:v>DB FK</x:v>
      </x:c>
      <x:c r="H12" s="42" t="str">
        <x:v>PASS</x:v>
      </x:c>
      <x:c r="I12" s="15" t="str">
        <x:v>사용</x:v>
      </x:c>
      <x:c r="J12" s="15" t="str">
        <x:v>analysis_requests_conversation_id_fkey</x:v>
      </x:c>
    </x:row>
    <x:row r="13">
      <x:c r="A13" s="15" t="n">
        <x:v>9</x:v>
      </x:c>
      <x:c r="B13" s="15" t="str">
        <x:v>Application</x:v>
      </x:c>
      <x:c r="C13" s="15" t="str">
        <x:v>chat.analysis_requests.product_release_id</x:v>
      </x:c>
      <x:c r="D13" s="15" t="str">
        <x:v>PHYSICAL</x:v>
      </x:c>
      <x:c r="E13" s="15" t="str">
        <x:v>governance.product_release_manifests.product_release_id</x:v>
      </x:c>
      <x:c r="F13" s="15" t="str">
        <x:v>Y</x:v>
      </x:c>
      <x:c r="G13" s="15" t="str">
        <x:v>DB FK</x:v>
      </x:c>
      <x:c r="H13" s="42" t="str">
        <x:v>PASS</x:v>
      </x:c>
      <x:c r="I13" s="15" t="str">
        <x:v>사용</x:v>
      </x:c>
      <x:c r="J13" s="15" t="str">
        <x:v>analysis_request_product_release_fk</x:v>
      </x:c>
    </x:row>
    <x:row r="14">
      <x:c r="A14" s="15" t="n">
        <x:v>10</x:v>
      </x:c>
      <x:c r="B14" s="15" t="str">
        <x:v>Application</x:v>
      </x:c>
      <x:c r="C14" s="15" t="str">
        <x:v>chat.analysis_requests.sql_generation_model_id</x:v>
      </x:c>
      <x:c r="D14" s="15" t="str">
        <x:v>PHYSICAL</x:v>
      </x:c>
      <x:c r="E14" s="15" t="str">
        <x:v>model.model_versions.model_version_id</x:v>
      </x:c>
      <x:c r="F14" s="15" t="str">
        <x:v>Y</x:v>
      </x:c>
      <x:c r="G14" s="15" t="str">
        <x:v>DB FK</x:v>
      </x:c>
      <x:c r="H14" s="42" t="str">
        <x:v>PASS</x:v>
      </x:c>
      <x:c r="I14" s="15" t="str">
        <x:v>사용</x:v>
      </x:c>
      <x:c r="J14" s="15" t="str">
        <x:v>analysis_requests_sql_generation_model_id_fkey</x:v>
      </x:c>
    </x:row>
    <x:row r="15">
      <x:c r="A15" s="15" t="n">
        <x:v>11</x:v>
      </x:c>
      <x:c r="B15" s="15" t="str">
        <x:v>Application</x:v>
      </x:c>
      <x:c r="C15" s="15" t="str">
        <x:v>chat.analysis_state_transitions.request_id</x:v>
      </x:c>
      <x:c r="D15" s="15" t="str">
        <x:v>PHYSICAL</x:v>
      </x:c>
      <x:c r="E15" s="15" t="str">
        <x:v>chat.analysis_requests.request_id</x:v>
      </x:c>
      <x:c r="F15" s="15" t="str">
        <x:v>N</x:v>
      </x:c>
      <x:c r="G15" s="15" t="str">
        <x:v>DB FK</x:v>
      </x:c>
      <x:c r="H15" s="42" t="str">
        <x:v>PASS</x:v>
      </x:c>
      <x:c r="I15" s="15" t="str">
        <x:v>사용</x:v>
      </x:c>
      <x:c r="J15" s="15" t="str">
        <x:v>analysis_state_transitions_request_id_fkey</x:v>
      </x:c>
    </x:row>
    <x:row r="16">
      <x:c r="A16" s="15" t="n">
        <x:v>12</x:v>
      </x:c>
      <x:c r="B16" s="15" t="str">
        <x:v>Application</x:v>
      </x:c>
      <x:c r="C16" s="15" t="str">
        <x:v>chat.conversations.active_command_id</x:v>
      </x:c>
      <x:c r="D16" s="15" t="str">
        <x:v>PHYSICAL</x:v>
      </x:c>
      <x:c r="E16" s="15" t="str">
        <x:v>chat.turn_commands.command_id</x:v>
      </x:c>
      <x:c r="F16" s="15" t="str">
        <x:v>Y</x:v>
      </x:c>
      <x:c r="G16" s="15" t="str">
        <x:v>DB FK</x:v>
      </x:c>
      <x:c r="H16" s="42" t="str">
        <x:v>PASS</x:v>
      </x:c>
      <x:c r="I16" s="15" t="str">
        <x:v>사용</x:v>
      </x:c>
      <x:c r="J16" s="15" t="str">
        <x:v>conversations_active_command_id_fkey</x:v>
      </x:c>
    </x:row>
    <x:row r="17">
      <x:c r="A17" s="15" t="n">
        <x:v>13</x:v>
      </x:c>
      <x:c r="B17" s="15" t="str">
        <x:v>Application</x:v>
      </x:c>
      <x:c r="C17" s="15" t="str">
        <x:v>chat.conversations.data_focus_artifact_id</x:v>
      </x:c>
      <x:c r="D17" s="15" t="str">
        <x:v>PHYSICAL</x:v>
      </x:c>
      <x:c r="E17" s="15" t="str">
        <x:v>artifact.analysis_artifacts.artifact_id</x:v>
      </x:c>
      <x:c r="F17" s="15" t="str">
        <x:v>Y</x:v>
      </x:c>
      <x:c r="G17" s="15" t="str">
        <x:v>DB FK</x:v>
      </x:c>
      <x:c r="H17" s="42" t="str">
        <x:v>PASS</x:v>
      </x:c>
      <x:c r="I17" s="15" t="str">
        <x:v>사용</x:v>
      </x:c>
      <x:c r="J17" s="15" t="str">
        <x:v>conversations_data_focus_artifact_id_fkey</x:v>
      </x:c>
    </x:row>
    <x:row r="18">
      <x:c r="A18" s="15" t="n">
        <x:v>14</x:v>
      </x:c>
      <x:c r="B18" s="15" t="str">
        <x:v>Application</x:v>
      </x:c>
      <x:c r="C18" s="15" t="str">
        <x:v>chat.conversations.data_focus_turn_id</x:v>
      </x:c>
      <x:c r="D18" s="15" t="str">
        <x:v>PHYSICAL</x:v>
      </x:c>
      <x:c r="E18" s="15" t="str">
        <x:v>chat.turns.turn_id</x:v>
      </x:c>
      <x:c r="F18" s="15" t="str">
        <x:v>Y</x:v>
      </x:c>
      <x:c r="G18" s="15" t="str">
        <x:v>DB FK</x:v>
      </x:c>
      <x:c r="H18" s="42" t="str">
        <x:v>PASS</x:v>
      </x:c>
      <x:c r="I18" s="15" t="str">
        <x:v>사용</x:v>
      </x:c>
      <x:c r="J18" s="15" t="str">
        <x:v>conversations_data_focus_turn_id_fkey</x:v>
      </x:c>
    </x:row>
    <x:row r="19">
      <x:c r="A19" s="15" t="n">
        <x:v>15</x:v>
      </x:c>
      <x:c r="B19" s="15" t="str">
        <x:v>Application</x:v>
      </x:c>
      <x:c r="C19" s="15" t="str">
        <x:v>chat.conversations.head_turn_id</x:v>
      </x:c>
      <x:c r="D19" s="15" t="str">
        <x:v>PHYSICAL</x:v>
      </x:c>
      <x:c r="E19" s="15" t="str">
        <x:v>chat.turns.turn_id</x:v>
      </x:c>
      <x:c r="F19" s="15" t="str">
        <x:v>Y</x:v>
      </x:c>
      <x:c r="G19" s="15" t="str">
        <x:v>DB FK</x:v>
      </x:c>
      <x:c r="H19" s="42" t="str">
        <x:v>PASS</x:v>
      </x:c>
      <x:c r="I19" s="15" t="str">
        <x:v>사용</x:v>
      </x:c>
      <x:c r="J19" s="15" t="str">
        <x:v>conversations_head_turn_id_fkey</x:v>
      </x:c>
    </x:row>
    <x:row r="20">
      <x:c r="A20" s="15" t="n">
        <x:v>16</x:v>
      </x:c>
      <x:c r="B20" s="15" t="str">
        <x:v>Application</x:v>
      </x:c>
      <x:c r="C20" s="15" t="str">
        <x:v>chat.conversations.product_release_id</x:v>
      </x:c>
      <x:c r="D20" s="15" t="str">
        <x:v>PHYSICAL</x:v>
      </x:c>
      <x:c r="E20" s="15" t="str">
        <x:v>governance.product_release_manifests.product_release_id</x:v>
      </x:c>
      <x:c r="F20" s="15" t="str">
        <x:v>Y</x:v>
      </x:c>
      <x:c r="G20" s="15" t="str">
        <x:v>DB FK</x:v>
      </x:c>
      <x:c r="H20" s="42" t="str">
        <x:v>PASS</x:v>
      </x:c>
      <x:c r="I20" s="15" t="str">
        <x:v>사용</x:v>
      </x:c>
      <x:c r="J20" s="15" t="str">
        <x:v>conversation_product_release_fk</x:v>
      </x:c>
    </x:row>
    <x:row r="21">
      <x:c r="A21" s="15" t="n">
        <x:v>17</x:v>
      </x:c>
      <x:c r="B21" s="15" t="str">
        <x:v>Application</x:v>
      </x:c>
      <x:c r="C21" s="15" t="str">
        <x:v>chat.conversations.view_focus_spec_id</x:v>
      </x:c>
      <x:c r="D21" s="15" t="str">
        <x:v>PHYSICAL</x:v>
      </x:c>
      <x:c r="E21" s="15" t="str">
        <x:v>artifact.view_specs.view_spec_id</x:v>
      </x:c>
      <x:c r="F21" s="15" t="str">
        <x:v>Y</x:v>
      </x:c>
      <x:c r="G21" s="15" t="str">
        <x:v>DB FK</x:v>
      </x:c>
      <x:c r="H21" s="42" t="str">
        <x:v>PASS</x:v>
      </x:c>
      <x:c r="I21" s="15" t="str">
        <x:v>사용</x:v>
      </x:c>
      <x:c r="J21" s="15" t="str">
        <x:v>conversations_view_focus_spec_id_fkey</x:v>
      </x:c>
    </x:row>
    <x:row r="22">
      <x:c r="A22" s="15" t="n">
        <x:v>18</x:v>
      </x:c>
      <x:c r="B22" s="15" t="str">
        <x:v>Application</x:v>
      </x:c>
      <x:c r="C22" s="15" t="str">
        <x:v>chat.conversations.view_focus_turn_id</x:v>
      </x:c>
      <x:c r="D22" s="15" t="str">
        <x:v>PHYSICAL</x:v>
      </x:c>
      <x:c r="E22" s="15" t="str">
        <x:v>chat.turns.turn_id</x:v>
      </x:c>
      <x:c r="F22" s="15" t="str">
        <x:v>Y</x:v>
      </x:c>
      <x:c r="G22" s="15" t="str">
        <x:v>DB FK</x:v>
      </x:c>
      <x:c r="H22" s="42" t="str">
        <x:v>PASS</x:v>
      </x:c>
      <x:c r="I22" s="15" t="str">
        <x:v>사용</x:v>
      </x:c>
      <x:c r="J22" s="15" t="str">
        <x:v>conversations_view_focus_turn_id_fkey</x:v>
      </x:c>
    </x:row>
    <x:row r="23">
      <x:c r="A23" s="15" t="n">
        <x:v>19</x:v>
      </x:c>
      <x:c r="B23" s="15" t="str">
        <x:v>Application</x:v>
      </x:c>
      <x:c r="C23" s="15" t="str">
        <x:v>chat.turn_commands.conversation_id</x:v>
      </x:c>
      <x:c r="D23" s="15" t="str">
        <x:v>PHYSICAL</x:v>
      </x:c>
      <x:c r="E23" s="15" t="str">
        <x:v>chat.conversations.conversation_id</x:v>
      </x:c>
      <x:c r="F23" s="15" t="str">
        <x:v>N</x:v>
      </x:c>
      <x:c r="G23" s="15" t="str">
        <x:v>DB FK</x:v>
      </x:c>
      <x:c r="H23" s="42" t="str">
        <x:v>PASS</x:v>
      </x:c>
      <x:c r="I23" s="15" t="str">
        <x:v>사용</x:v>
      </x:c>
      <x:c r="J23" s="15" t="str">
        <x:v>turn_commands_conversation_id_fkey</x:v>
      </x:c>
    </x:row>
    <x:row r="24">
      <x:c r="A24" s="15" t="n">
        <x:v>20</x:v>
      </x:c>
      <x:c r="B24" s="15" t="str">
        <x:v>Application</x:v>
      </x:c>
      <x:c r="C24" s="15" t="str">
        <x:v>chat.turn_commands.product_release_id</x:v>
      </x:c>
      <x:c r="D24" s="15" t="str">
        <x:v>PHYSICAL</x:v>
      </x:c>
      <x:c r="E24" s="15" t="str">
        <x:v>governance.product_release_manifests.product_release_id</x:v>
      </x:c>
      <x:c r="F24" s="15" t="str">
        <x:v>Y</x:v>
      </x:c>
      <x:c r="G24" s="15" t="str">
        <x:v>DB FK</x:v>
      </x:c>
      <x:c r="H24" s="42" t="str">
        <x:v>PASS</x:v>
      </x:c>
      <x:c r="I24" s="15" t="str">
        <x:v>사용</x:v>
      </x:c>
      <x:c r="J24" s="15" t="str">
        <x:v>command_product_release_fk</x:v>
      </x:c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</x:row>
    <x:row r="26">
      <x:c r="A26" s="43" t="str">
        <x:v>대표 관계만 수록했다. 전체 물리 FK·UNIQUE·CHECK·INDEX는 상세 시트의 PK/FK·참조 기준·Index 구역과 현재 migration/init SQL을 함께 확인한다.</x:v>
      </x:c>
      <x:c r="B26" s="43"/>
      <x:c r="C26" s="43"/>
      <x:c r="D26" s="43"/>
      <x:c r="E26" s="43"/>
      <x:c r="F26" s="43"/>
      <x:c r="G26" s="43"/>
      <x:c r="H26" s="43"/>
      <x:c r="I26" s="43"/>
      <x:c r="J26" s="43"/>
    </x:row>
  </x:sheetData>
  <x:mergeCells>
    <x:mergeCell ref="A1:J1"/>
    <x:mergeCell ref="A2:J2"/>
    <x:mergeCell ref="A26:J2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analysis_v1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analysis_definitions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분석 정의 버전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사용자 소유의 재실행 가능한 분석 정의를 불변 버전으로 저장한다. 질문은 비식별 본문과 typed parameter 계약으로 보관한다.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definition_id</x:v>
      </x:c>
      <x:c r="C17" s="15" t="str">
        <x:v>분석 정의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/>
      <x:c r="I17" s="15" t="str">
        <x:v>논리 분석 정의 식별자</x:v>
      </x:c>
      <x:c r="J17" s="15" t="str">
        <x:v>복합 PK: version</x:v>
      </x:c>
      <x:c r="K17" s="15" t="str">
        <x:v>INTERNAL</x:v>
      </x:c>
    </x:row>
    <x:row r="18" ht="44" customHeight="1">
      <x:c r="A18" s="15" t="n">
        <x:v>2</x:v>
      </x:c>
      <x:c r="B18" s="15" t="str">
        <x:v>version</x:v>
      </x:c>
      <x:c r="C18" s="15" t="str">
        <x:v>정의 버전</x:v>
      </x:c>
      <x:c r="D18" s="15" t="str">
        <x:v>integer</x:v>
      </x:c>
      <x:c r="E18" s="15"/>
      <x:c r="F18" s="15" t="str">
        <x:v>PK</x:v>
      </x:c>
      <x:c r="G18" s="15" t="str">
        <x:v>NOT NULL</x:v>
      </x:c>
      <x:c r="H18" s="15"/>
      <x:c r="I18" s="15" t="str">
        <x:v>1 이상인 불변 버전</x:v>
      </x:c>
      <x:c r="J18" s="15" t="str">
        <x:v>CHECK | CHECK (version &gt;= 1)</x:v>
      </x:c>
      <x:c r="K18" s="15" t="str">
        <x:v>INTERNAL</x:v>
      </x:c>
    </x:row>
    <x:row r="19" ht="44" customHeight="1">
      <x:c r="A19" s="15" t="n">
        <x:v>3</x:v>
      </x:c>
      <x:c r="B19" s="15" t="str">
        <x:v>owner_id</x:v>
      </x:c>
      <x:c r="C19" s="15" t="str">
        <x:v>소유자 ID</x:v>
      </x:c>
      <x:c r="D19" s="15" t="str">
        <x:v>uuid</x:v>
      </x:c>
      <x:c r="E19" s="15"/>
      <x:c r="F19" s="15"/>
      <x:c r="G19" s="15" t="str">
        <x:v>NOT NULL</x:v>
      </x:c>
      <x:c r="H19" s="15"/>
      <x:c r="I19" s="15" t="str">
        <x:v>인증 주체의 내부 식별자</x:v>
      </x:c>
      <x:c r="J19" s="15" t="str">
        <x:v>사용자 디렉터리 논리 참조</x:v>
      </x:c>
      <x:c r="K19" s="15" t="str">
        <x:v>INTERNAL</x:v>
      </x:c>
    </x:row>
    <x:row r="20" ht="44" customHeight="1">
      <x:c r="A20" s="15" t="n">
        <x:v>4</x:v>
      </x:c>
      <x:c r="B20" s="15" t="str">
        <x:v>title</x:v>
      </x:c>
      <x:c r="C20" s="15" t="str">
        <x:v>제목</x:v>
      </x:c>
      <x:c r="D20" s="15" t="str">
        <x:v>varchar</x:v>
      </x:c>
      <x:c r="E20" s="15" t="n">
        <x:v>255</x:v>
      </x:c>
      <x:c r="F20" s="15"/>
      <x:c r="G20" s="15" t="str">
        <x:v>NOT NULL</x:v>
      </x:c>
      <x:c r="H20" s="15"/>
      <x:c r="I20" s="15" t="str">
        <x:v>공백이 아닌 사용자 표시 제목</x:v>
      </x:c>
      <x:c r="J20" s="15" t="str">
        <x:v>CHECK | CHECK (btrim(title::text) &lt;&gt; ''::text)</x:v>
      </x:c>
      <x:c r="K20" s="15" t="str">
        <x:v>INTERNAL</x:v>
      </x:c>
    </x:row>
    <x:row r="21" ht="44" customHeight="1">
      <x:c r="A21" s="15" t="n">
        <x:v>5</x:v>
      </x:c>
      <x:c r="B21" s="15" t="str">
        <x:v>question_text_redacted</x:v>
      </x:c>
      <x:c r="C21" s="15" t="str">
        <x:v>비식별 질문</x:v>
      </x:c>
      <x:c r="D21" s="15" t="str">
        <x:v>text</x:v>
      </x:c>
      <x:c r="E21" s="15"/>
      <x:c r="F21" s="15"/>
      <x:c r="G21" s="15" t="str">
        <x:v>NOT NULL</x:v>
      </x:c>
      <x:c r="H21" s="15"/>
      <x:c r="I21" s="15" t="str">
        <x:v>직접식별정보와 비밀값을 제거한 질문 본문</x:v>
      </x:c>
      <x:c r="J21" s="15" t="str">
        <x:v>CHECK | CHECK (btrim(question_text_redacted) &lt;&gt; ''::text)</x:v>
      </x:c>
      <x:c r="K21" s="15" t="str">
        <x:v>CONFIDENTIAL</x:v>
      </x:c>
    </x:row>
    <x:row r="22" ht="44" customHeight="1">
      <x:c r="A22" s="15" t="n">
        <x:v>6</x:v>
      </x:c>
      <x:c r="B22" s="15" t="str">
        <x:v>parameters_json</x:v>
      </x:c>
      <x:c r="C22" s="15" t="str">
        <x:v>Parameter 계약</x:v>
      </x:c>
      <x:c r="D22" s="15" t="str">
        <x:v>jsonb</x:v>
      </x:c>
      <x:c r="E22" s="15"/>
      <x:c r="F22" s="15"/>
      <x:c r="G22" s="15" t="str">
        <x:v>NOT NULL</x:v>
      </x:c>
      <x:c r="H22" s="15"/>
      <x:c r="I22" s="15" t="str">
        <x:v>재실행 가능한 typed parameter 값과 schema</x:v>
      </x:c>
      <x:c r="J22" s="15" t="str">
        <x:v>승인 JSON Schema</x:v>
      </x:c>
      <x:c r="K22" s="15" t="str">
        <x:v>POLICY</x:v>
      </x:c>
    </x:row>
    <x:row r="23" ht="44" customHeight="1">
      <x:c r="A23" s="15" t="n">
        <x:v>7</x:v>
      </x:c>
      <x:c r="B23" s="15" t="str">
        <x:v>parameter_hash</x:v>
      </x:c>
      <x:c r="C23" s="15" t="str">
        <x:v>Parameter hash</x:v>
      </x:c>
      <x:c r="D23" s="15" t="str">
        <x:v>varchar</x:v>
      </x:c>
      <x:c r="E23" s="15" t="n">
        <x:v>64</x:v>
      </x:c>
      <x:c r="F23" s="15"/>
      <x:c r="G23" s="15" t="str">
        <x:v>NOT NULL</x:v>
      </x:c>
      <x:c r="H23" s="15"/>
      <x:c r="I23" s="15" t="str">
        <x:v>정규화된 parameter 계약의 무결성 hash</x:v>
      </x:c>
      <x:c r="J23" s="15" t="str">
        <x:v>승인 checksum 방식</x:v>
      </x:c>
      <x:c r="K23" s="15" t="str">
        <x:v>INTERNAL</x:v>
      </x:c>
    </x:row>
    <x:row r="24" ht="44" customHeight="1">
      <x:c r="A24" s="15" t="n">
        <x:v>8</x:v>
      </x:c>
      <x:c r="B24" s="15" t="str">
        <x:v>status</x:v>
      </x:c>
      <x:c r="C24" s="15" t="str">
        <x:v>상태</x:v>
      </x:c>
      <x:c r="D24" s="15" t="str">
        <x:v>varchar</x:v>
      </x:c>
      <x:c r="E24" s="15" t="n">
        <x:v>16</x:v>
      </x:c>
      <x:c r="F24" s="15"/>
      <x:c r="G24" s="15" t="str">
        <x:v>NOT NULL</x:v>
      </x:c>
      <x:c r="H24" s="15" t="str">
        <x:v>'approved'::character varying</x:v>
      </x:c>
      <x:c r="I24" s="15" t="str">
        <x:v>현재 구현은 approved만 허용</x:v>
      </x:c>
      <x:c r="J24" s="15" t="str">
        <x:v>CHECK | CHECK (status::text = 'approved'::text)</x:v>
      </x:c>
      <x:c r="K24" s="15" t="str">
        <x:v>INTERNAL</x:v>
      </x:c>
    </x:row>
    <x:row r="25" ht="44" customHeight="1">
      <x:c r="A25" s="15" t="n">
        <x:v>9</x:v>
      </x:c>
      <x:c r="B25" s="15" t="str">
        <x:v>created_at</x:v>
      </x:c>
      <x:c r="C25" s="15" t="str">
        <x:v>생성 시각</x:v>
      </x:c>
      <x:c r="D25" s="15" t="str">
        <x:v>timestamptz</x:v>
      </x:c>
      <x:c r="E25" s="15"/>
      <x:c r="F25" s="15"/>
      <x:c r="G25" s="15" t="str">
        <x:v>NOT NULL</x:v>
      </x:c>
      <x:c r="H25" s="15" t="str">
        <x:v>now()</x:v>
      </x:c>
      <x:c r="I25" s="15" t="str">
        <x:v>불변 버전 생성 시각</x:v>
      </x:c>
      <x:c r="J25" s="15" t="str">
        <x:v>update/delete trigger 차단</x:v>
      </x:c>
      <x:c r="K25" s="15" t="str">
        <x:v>INTERNAL</x:v>
      </x:c>
    </x:row>
    <x:row r="26" ht="44" customHeight="1">
      <x:c r="A26" s="15" t="n">
        <x:v>10</x:v>
      </x:c>
      <x:c r="B26" s="15" t="str">
        <x:v>is_saved</x:v>
      </x:c>
      <x:c r="C26" s="15" t="str">
        <x:v>is saved</x:v>
      </x:c>
      <x:c r="D26" s="15" t="str">
        <x:v>boolean</x:v>
      </x:c>
      <x:c r="E26" s="15"/>
      <x:c r="F26" s="15"/>
      <x:c r="G26" s="15" t="str">
        <x:v>NOT NULL</x:v>
      </x:c>
      <x:c r="H26" s="15" t="str">
        <x:v>false</x:v>
      </x:c>
      <x:c r="I26" s="15" t="str">
        <x:v>analysis_v1.analysis_definitions에서 is saved 값을 저장한다.</x:v>
      </x:c>
      <x:c r="J26" s="15"/>
      <x:c r="K26" s="15" t="str">
        <x:v>보안: INTERNAL</x:v>
      </x:c>
    </x:row>
    <x:row r="27" ht="44" customHeight="1">
      <x:c r="A27" s="15" t="n">
        <x:v>11</x:v>
      </x:c>
      <x:c r="B27" s="15" t="str">
        <x:v>semantic_request_json</x:v>
      </x:c>
      <x:c r="C27" s="15" t="str">
        <x:v>semantic 요청 json</x:v>
      </x:c>
      <x:c r="D27" s="15" t="str">
        <x:v>jsonb</x:v>
      </x:c>
      <x:c r="E27" s="15"/>
      <x:c r="F27" s="15"/>
      <x:c r="G27" s="15" t="str">
        <x:v>NOT NULL</x:v>
      </x:c>
      <x:c r="H27" s="15" t="str">
        <x:v>'{}'::jsonb</x:v>
      </x:c>
      <x:c r="I27" s="15" t="str">
        <x:v>analysis_v1.analysis_definitions의 semantic 요청 json 구조를 JSONB로 저장하며 승인된 스키마 계약으로 검증한다.</x:v>
      </x:c>
      <x:c r="J27" s="15"/>
      <x:c r="K27" s="15" t="str">
        <x:v>보안: INTERNAL</x:v>
      </x:c>
    </x:row>
    <x:row r="28" ht="44" customHeight="1">
      <x:c r="A28" s="15" t="n">
        <x:v>12</x:v>
      </x:c>
      <x:c r="B28" s="15" t="str">
        <x:v>parameter_schema_json</x:v>
      </x:c>
      <x:c r="C28" s="15" t="str">
        <x:v>parameter schema json</x:v>
      </x:c>
      <x:c r="D28" s="15" t="str">
        <x:v>jsonb</x:v>
      </x:c>
      <x:c r="E28" s="15"/>
      <x:c r="F28" s="15"/>
      <x:c r="G28" s="15" t="str">
        <x:v>NOT NULL</x:v>
      </x:c>
      <x:c r="H28" s="15" t="str">
        <x:v>'{}'::jsonb</x:v>
      </x:c>
      <x:c r="I28" s="15" t="str">
        <x:v>analysis_v1.analysis_definitions의 parameter schema json 구조를 JSONB로 저장하며 승인된 스키마 계약으로 검증한다.</x:v>
      </x:c>
      <x:c r="J28" s="15"/>
      <x:c r="K28" s="15" t="str">
        <x:v>보안: INTERNAL</x:v>
      </x:c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>
      <x:c r="A30" s="58" t="str">
        <x:v>no</x:v>
      </x:c>
      <x:c r="B30" s="58" t="str">
        <x:v>Index name</x:v>
      </x:c>
      <x:c r="C30" s="58"/>
      <x:c r="D30" s="58" t="str">
        <x:v>Index type</x:v>
      </x:c>
      <x:c r="E30" s="58"/>
      <x:c r="F30" s="58" t="str">
        <x:v>Unique</x:v>
      </x:c>
      <x:c r="G30" s="58"/>
      <x:c r="H30" s="58" t="str">
        <x:v>구성 컬럼</x:v>
      </x:c>
      <x:c r="I30" s="58"/>
      <x:c r="J30" s="58"/>
      <x:c r="K30" s="58"/>
    </x:row>
    <x:row r="31">
      <x:c r="A31" s="15" t="n">
        <x:v>1</x:v>
      </x:c>
      <x:c r="B31" s="15" t="str">
        <x:v>analysis_definitions_pkey</x:v>
      </x:c>
      <x:c r="C31" s="15"/>
      <x:c r="D31" s="15" t="str">
        <x:v>BTREE</x:v>
      </x:c>
      <x:c r="E31" s="15"/>
      <x:c r="F31" s="15" t="str">
        <x:v>Unique</x:v>
      </x:c>
      <x:c r="G31" s="15"/>
      <x:c r="H31" s="15" t="str">
        <x:v>definition_id, version</x:v>
      </x:c>
      <x:c r="I31" s="15"/>
      <x:c r="J31" s="15"/>
      <x:c r="K31" s="15"/>
    </x:row>
    <x:row r="32">
      <x:c r="A32" s="15" t="n">
        <x:v>2</x:v>
      </x:c>
      <x:c r="B32" s="15" t="str">
        <x:v>idx_analysis_definitions_saved_owner_created</x:v>
      </x:c>
      <x:c r="C32" s="15"/>
      <x:c r="D32" s="15" t="str">
        <x:v>BTREE</x:v>
      </x:c>
      <x:c r="E32" s="15"/>
      <x:c r="F32" s="15" t="str">
        <x:v>Non-Unique</x:v>
      </x:c>
      <x:c r="G32" s="15"/>
      <x:c r="H32" s="15" t="str">
        <x:v>owner_id, created_at DESC</x:v>
      </x:c>
      <x:c r="I32" s="15"/>
      <x:c r="J32" s="15"/>
      <x:c r="K32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0:C30"/>
    <x:mergeCell ref="D30:E30"/>
    <x:mergeCell ref="F30:G30"/>
    <x:mergeCell ref="H30:K30"/>
    <x:mergeCell ref="B31:C31"/>
    <x:mergeCell ref="D31:E31"/>
    <x:mergeCell ref="F31:G31"/>
    <x:mergeCell ref="H31:K31"/>
    <x:mergeCell ref="B32:C32"/>
    <x:mergeCell ref="D32:E32"/>
    <x:mergeCell ref="F32:G32"/>
    <x:mergeCell ref="H32:K3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analysis_v1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analysis_run_links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분석 정의-실행 연결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Analysis Definition 버전과 기존 분석 실행 trace를 연결한다. Run·Result 본체는 중복 저장하지 않고 chat→query→artifact 체계를 재사용한다.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definition_id</x:v>
      </x:c>
      <x:c r="C17" s="15" t="str">
        <x:v>분석 정의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/>
      <x:c r="I17" s="15" t="str">
        <x:v>실행한 정의 식별자</x:v>
      </x:c>
      <x:c r="J17" s="15" t="str">
        <x:v>물리 FK | analysis_v1.analysis_definitions.definition_id</x:v>
      </x:c>
      <x:c r="K17" s="15" t="str">
        <x:v>INTERNAL</x:v>
      </x:c>
    </x:row>
    <x:row r="18" ht="44" customHeight="1">
      <x:c r="A18" s="15" t="n">
        <x:v>2</x:v>
      </x:c>
      <x:c r="B18" s="15" t="str">
        <x:v>definition_version</x:v>
      </x:c>
      <x:c r="C18" s="15" t="str">
        <x:v>정의 버전</x:v>
      </x:c>
      <x:c r="D18" s="15" t="str">
        <x:v>integer</x:v>
      </x:c>
      <x:c r="E18" s="15"/>
      <x:c r="F18" s="15" t="str">
        <x:v>PK</x:v>
      </x:c>
      <x:c r="G18" s="15" t="str">
        <x:v>NOT NULL</x:v>
      </x:c>
      <x:c r="H18" s="15"/>
      <x:c r="I18" s="15" t="str">
        <x:v>실행한 불변 정의 버전</x:v>
      </x:c>
      <x:c r="J18" s="15" t="str">
        <x:v>물리 FK | analysis_v1.analysis_definitions.version</x:v>
      </x:c>
      <x:c r="K18" s="15" t="str">
        <x:v>INTERNAL</x:v>
      </x:c>
    </x:row>
    <x:row r="19" ht="44" customHeight="1">
      <x:c r="A19" s="15" t="n">
        <x:v>3</x:v>
      </x:c>
      <x:c r="B19" s="15" t="str">
        <x:v>request_id</x:v>
      </x:c>
      <x:c r="C19" s="15" t="str">
        <x:v>분석 요청 ID</x:v>
      </x:c>
      <x:c r="D19" s="15" t="str">
        <x:v>uuid</x:v>
      </x:c>
      <x:c r="E19" s="15"/>
      <x:c r="F19" s="15" t="str">
        <x:v>PK</x:v>
      </x:c>
      <x:c r="G19" s="15" t="str">
        <x:v>NOT NULL</x:v>
      </x:c>
      <x:c r="H19" s="15"/>
      <x:c r="I19" s="15" t="str">
        <x:v>실제 실행 trace 식별자</x:v>
      </x:c>
      <x:c r="J19" s="15" t="str">
        <x:v>물리 FK | chat.analysis_requests.request_id</x:v>
      </x:c>
      <x:c r="K19" s="15" t="str">
        <x:v>INTERNAL</x:v>
      </x:c>
    </x:row>
    <x:row r="20" ht="44" customHeight="1">
      <x:c r="A20" s="15" t="n">
        <x:v>4</x:v>
      </x:c>
      <x:c r="B20" s="15" t="str">
        <x:v>idempotency_key</x:v>
      </x:c>
      <x:c r="C20" s="15" t="str">
        <x:v>멱등 키</x:v>
      </x:c>
      <x:c r="D20" s="15" t="str">
        <x:v>varchar</x:v>
      </x:c>
      <x:c r="E20" s="15" t="n">
        <x:v>128</x:v>
      </x:c>
      <x:c r="F20" s="15" t="str">
        <x:v>UK</x:v>
      </x:c>
      <x:c r="G20" s="15" t="str">
        <x:v>NOT NULL</x:v>
      </x:c>
      <x:c r="H20" s="15"/>
      <x:c r="I20" s="15" t="str">
        <x:v>동일 정의·버전의 중복 실행 방지 키</x:v>
      </x:c>
      <x:c r="J20" s="15" t="str">
        <x:v>CHECK | CHECK (btrim(idempotency_key::text) &lt;&gt; ''::text)</x:v>
      </x:c>
      <x:c r="K20" s="15" t="str">
        <x:v>INTERNAL</x:v>
      </x:c>
    </x:row>
    <x:row r="21" ht="44" customHeight="1">
      <x:c r="A21" s="15" t="n">
        <x:v>5</x:v>
      </x:c>
      <x:c r="B21" s="15" t="str">
        <x:v>as_of</x:v>
      </x:c>
      <x:c r="C21" s="15" t="str">
        <x:v>기준일</x:v>
      </x:c>
      <x:c r="D21" s="15" t="str">
        <x:v>date</x:v>
      </x:c>
      <x:c r="E21" s="15"/>
      <x:c r="F21" s="15"/>
      <x:c r="G21" s="15" t="str">
        <x:v>NOT NULL</x:v>
      </x:c>
      <x:c r="H21" s="15"/>
      <x:c r="I21" s="15" t="str">
        <x:v>상대 기간 계산 기준일</x:v>
      </x:c>
      <x:c r="J21" s="15" t="str">
        <x:v>Backend 계산</x:v>
      </x:c>
      <x:c r="K21" s="15" t="str">
        <x:v>INTERNAL</x:v>
      </x:c>
    </x:row>
    <x:row r="22" ht="44" customHeight="1">
      <x:c r="A22" s="15" t="n">
        <x:v>6</x:v>
      </x:c>
      <x:c r="B22" s="15" t="str">
        <x:v>timezone_name</x:v>
      </x:c>
      <x:c r="C22" s="15" t="str">
        <x:v>시간대</x:v>
      </x:c>
      <x:c r="D22" s="15" t="str">
        <x:v>varchar</x:v>
      </x:c>
      <x:c r="E22" s="15" t="n">
        <x:v>64</x:v>
      </x:c>
      <x:c r="F22" s="15"/>
      <x:c r="G22" s="15" t="str">
        <x:v>NOT NULL</x:v>
      </x:c>
      <x:c r="H22" s="15"/>
      <x:c r="I22" s="15" t="str">
        <x:v>MVP 고정 시간대</x:v>
      </x:c>
      <x:c r="J22" s="15" t="str">
        <x:v>CHECK | CHECK (timezone_name::text = 'Asia/Seoul'::text)</x:v>
      </x:c>
      <x:c r="K22" s="15" t="str">
        <x:v>POLICY</x:v>
      </x:c>
    </x:row>
    <x:row r="23" ht="44" customHeight="1">
      <x:c r="A23" s="15" t="n">
        <x:v>7</x:v>
      </x:c>
      <x:c r="B23" s="15" t="str">
        <x:v>created_at</x:v>
      </x:c>
      <x:c r="C23" s="15" t="str">
        <x:v>생성 시각</x:v>
      </x:c>
      <x:c r="D23" s="15" t="str">
        <x:v>timestamptz</x:v>
      </x:c>
      <x:c r="E23" s="15"/>
      <x:c r="F23" s="15"/>
      <x:c r="G23" s="15" t="str">
        <x:v>NOT NULL</x:v>
      </x:c>
      <x:c r="H23" s="15" t="str">
        <x:v>now()</x:v>
      </x:c>
      <x:c r="I23" s="15" t="str">
        <x:v>실행 연결 생성 시각</x:v>
      </x:c>
      <x:c r="J23" s="15" t="str">
        <x:v>update/delete trigger 차단</x:v>
      </x:c>
      <x:c r="K23" s="15" t="str">
        <x:v>INTERNAL</x:v>
      </x:c>
    </x:row>
    <x:row r="24" ht="44" customHeight="1">
      <x:c r="A24" s="15" t="n">
        <x:v>8</x:v>
      </x:c>
      <x:c r="B24" s="15" t="str">
        <x:v>parameters_json</x:v>
      </x:c>
      <x:c r="C24" s="15" t="str">
        <x:v>parameters json</x:v>
      </x:c>
      <x:c r="D24" s="15" t="str">
        <x:v>jsonb</x:v>
      </x:c>
      <x:c r="E24" s="15"/>
      <x:c r="F24" s="15"/>
      <x:c r="G24" s="15" t="str">
        <x:v>NOT NULL</x:v>
      </x:c>
      <x:c r="H24" s="15"/>
      <x:c r="I24" s="15" t="str">
        <x:v>analysis_v1.analysis_run_links의 parameters json 구조를 JSONB로 저장하며 승인된 스키마 계약으로 검증한다.</x:v>
      </x:c>
      <x:c r="J24" s="15"/>
      <x:c r="K24" s="15" t="str">
        <x:v>보안: INTERNAL</x:v>
      </x:c>
    </x:row>
    <x:row r="25" ht="44" customHeight="1">
      <x:c r="A25" s="15" t="n">
        <x:v>9</x:v>
      </x:c>
      <x:c r="B25" s="15" t="str">
        <x:v>parameter_hash</x:v>
      </x:c>
      <x:c r="C25" s="15" t="str">
        <x:v>parameter 해시</x:v>
      </x:c>
      <x:c r="D25" s="15" t="str">
        <x:v>varchar</x:v>
      </x:c>
      <x:c r="E25" s="15" t="n">
        <x:v>64</x:v>
      </x:c>
      <x:c r="F25" s="15"/>
      <x:c r="G25" s="15" t="str">
        <x:v>NOT NULL</x:v>
      </x:c>
      <x:c r="H25" s="15"/>
      <x:c r="I25" s="15" t="str">
        <x:v>analysis_v1.analysis_run_links에서 parameter 해시 값을 저장한다.</x:v>
      </x:c>
      <x:c r="J25" s="15"/>
      <x:c r="K25" s="15" t="str">
        <x:v>보안: INTERNAL</x:v>
      </x:c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>
      <x:c r="A27" s="58" t="str">
        <x:v>no</x:v>
      </x:c>
      <x:c r="B27" s="58" t="str">
        <x:v>Index name</x:v>
      </x:c>
      <x:c r="C27" s="58"/>
      <x:c r="D27" s="58" t="str">
        <x:v>Index type</x:v>
      </x:c>
      <x:c r="E27" s="58"/>
      <x:c r="F27" s="58" t="str">
        <x:v>Unique</x:v>
      </x:c>
      <x:c r="G27" s="58"/>
      <x:c r="H27" s="58" t="str">
        <x:v>구성 컬럼</x:v>
      </x:c>
      <x:c r="I27" s="58"/>
      <x:c r="J27" s="58"/>
      <x:c r="K27" s="58"/>
    </x:row>
    <x:row r="28">
      <x:c r="A28" s="15" t="n">
        <x:v>1</x:v>
      </x:c>
      <x:c r="B28" s="15" t="str">
        <x:v>analysis_run_links_definition_id_definition_version_idempot_key</x:v>
      </x:c>
      <x:c r="C28" s="15"/>
      <x:c r="D28" s="15" t="str">
        <x:v>BTREE</x:v>
      </x:c>
      <x:c r="E28" s="15"/>
      <x:c r="F28" s="15" t="str">
        <x:v>Unique</x:v>
      </x:c>
      <x:c r="G28" s="15"/>
      <x:c r="H28" s="15" t="str">
        <x:v>definition_id, definition_version, idempotency_key</x:v>
      </x:c>
      <x:c r="I28" s="15"/>
      <x:c r="J28" s="15"/>
      <x:c r="K28" s="15"/>
    </x:row>
    <x:row r="29">
      <x:c r="A29" s="15" t="n">
        <x:v>2</x:v>
      </x:c>
      <x:c r="B29" s="15" t="str">
        <x:v>analysis_run_links_pkey</x:v>
      </x:c>
      <x:c r="C29" s="15"/>
      <x:c r="D29" s="15" t="str">
        <x:v>BTREE</x:v>
      </x:c>
      <x:c r="E29" s="15"/>
      <x:c r="F29" s="15" t="str">
        <x:v>Unique</x:v>
      </x:c>
      <x:c r="G29" s="15"/>
      <x:c r="H29" s="15" t="str">
        <x:v>definition_id, definition_version, request_id</x:v>
      </x:c>
      <x:c r="I29" s="15"/>
      <x:c r="J29" s="15"/>
      <x:c r="K29" s="15"/>
    </x:row>
    <x:row r="30">
      <x:c r="A30" s="15" t="n">
        <x:v>3</x:v>
      </x:c>
      <x:c r="B30" s="15" t="str">
        <x:v>analysis_run_links_request_id_key</x:v>
      </x:c>
      <x:c r="C30" s="15"/>
      <x:c r="D30" s="15" t="str">
        <x:v>BTREE</x:v>
      </x:c>
      <x:c r="E30" s="15"/>
      <x:c r="F30" s="15" t="str">
        <x:v>Unique</x:v>
      </x:c>
      <x:c r="G30" s="15"/>
      <x:c r="H30" s="15" t="str">
        <x:v>request_id</x:v>
      </x:c>
      <x:c r="I30" s="15"/>
      <x:c r="J30" s="15"/>
      <x:c r="K30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27:C27"/>
    <x:mergeCell ref="D27:E27"/>
    <x:mergeCell ref="F27:G27"/>
    <x:mergeCell ref="H27:K27"/>
    <x:mergeCell ref="B28:C28"/>
    <x:mergeCell ref="D28:E28"/>
    <x:mergeCell ref="F28:G28"/>
    <x:mergeCell ref="H28:K28"/>
    <x:mergeCell ref="B29:C29"/>
    <x:mergeCell ref="D29:E29"/>
    <x:mergeCell ref="F29:G29"/>
    <x:mergeCell ref="H29:K29"/>
    <x:mergeCell ref="B30:C30"/>
    <x:mergeCell ref="D30:E30"/>
    <x:mergeCell ref="F30:G30"/>
    <x:mergeCell ref="H30:K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artifact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analysis_artifacts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분석 산출물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분석 결과를 표·차트·KPI·설명 형태로 묶은 사용자 표시 산출물을 저장한다. 제한된 결과 snapshot, 검증된 차트 사양, 근거 자산·지표·필터·기간·쿼리 정보를 포함하며 승인 또는 무효화 상태를 관리한다.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artifact_id</x:v>
      </x:c>
      <x:c r="C17" s="15" t="str">
        <x:v>artifact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 t="str">
        <x:v>gen_random_uuid()</x:v>
      </x:c>
      <x:c r="I17" s="15" t="str">
        <x:v>분석 산출물의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15" t="str">
        <x:v>참조됨 | report_v1.report_blocks.source_artifact_id, report_v1.report_block_runs.artifact_id, report_v1.report_assistant_requests.artifact_id, governance.audit_events.artifact_id</x:v>
      </x:c>
      <x:c r="K17" s="15" t="str">
        <x:v>보안: INTERNAL</x:v>
      </x:c>
    </x:row>
    <x:row r="18" ht="44" customHeight="1">
      <x:c r="A18" s="15" t="n">
        <x:v>2</x:v>
      </x:c>
      <x:c r="B18" s="15" t="str">
        <x:v>request_id</x:v>
      </x:c>
      <x:c r="C18" s="15" t="str">
        <x:v>요청 ID</x:v>
      </x:c>
      <x:c r="D18" s="15" t="str">
        <x:v>uuid</x:v>
      </x:c>
      <x:c r="E18" s="15"/>
      <x:c r="F18" s="15" t="str">
        <x:v>FK</x:v>
      </x:c>
      <x:c r="G18" s="15" t="str">
        <x:v>NOT NULL</x:v>
      </x:c>
      <x:c r="H18" s="15"/>
      <x:c r="I18" s="15" t="str">
        <x:v>요청 ID를 hotel_datahub_app.chat.analysis_requests.request_id와 연결하는 물리 외래키다. 반드시 존재하는 상위 행을 참조해야 한다.</x:v>
      </x:c>
      <x:c r="J18" s="15" t="str">
        <x:v>물리 FK | chat.analysis_requests.request_id</x:v>
      </x:c>
      <x:c r="K18" s="15" t="str">
        <x:v>보안: INTERNAL</x:v>
      </x:c>
    </x:row>
    <x:row r="19" ht="44" customHeight="1">
      <x:c r="A19" s="15" t="n">
        <x:v>3</x:v>
      </x:c>
      <x:c r="B19" s="15" t="str">
        <x:v>query_execution_id</x:v>
      </x:c>
      <x:c r="C19" s="15" t="str">
        <x:v>query 실행 ID</x:v>
      </x:c>
      <x:c r="D19" s="15" t="str">
        <x:v>uuid</x:v>
      </x:c>
      <x:c r="E19" s="15"/>
      <x:c r="F19" s="15" t="str">
        <x:v>FK</x:v>
      </x:c>
      <x:c r="G19" s="15"/>
      <x:c r="H19" s="15"/>
      <x:c r="I19" s="15" t="str">
        <x:v>query 실행 ID를 hotel_datahub_app.query.query_executions.query_execution_id와 연결하는 물리 외래키다. NULL을 허용하므로 연결 대상이 없는 선택 관계를 표현할 수 있다.</x:v>
      </x:c>
      <x:c r="J19" s="15" t="str">
        <x:v>물리 FK | query.query_executions.query_execution_id</x:v>
      </x:c>
      <x:c r="K19" s="15" t="str">
        <x:v>보안: INTERNAL</x:v>
      </x:c>
    </x:row>
    <x:row r="20" ht="44" customHeight="1">
      <x:c r="A20" s="15" t="n">
        <x:v>4</x:v>
      </x:c>
      <x:c r="B20" s="15" t="str">
        <x:v>artifact_type</x:v>
      </x:c>
      <x:c r="C20" s="15" t="str">
        <x:v>산출물 유형</x:v>
      </x:c>
      <x:c r="D20" s="15" t="str">
        <x:v>varchar</x:v>
      </x:c>
      <x:c r="E20" s="15" t="n">
        <x:v>20</x:v>
      </x:c>
      <x:c r="F20" s="15"/>
      <x:c r="G20" s="15" t="str">
        <x:v>NOT NULL</x:v>
      </x:c>
      <x:c r="H20" s="15"/>
      <x:c r="I20" s="15" t="str">
        <x:v>산출물 유형: 승인된 표준 코드 값이다. 허용값은 TABLE, CHART, KPI, TEXT, COMPOSITE이며 값에 따라 분석 산출물의 처리 규칙·집계 범위·표시 방식이 달라지므로 자유서술을 허용하지 않는다.</x:v>
      </x:c>
      <x:c r="J20" s="15" t="str">
        <x:v>CHECK | CHECK (artifact_type::text = ANY (ARRAY['TABLE'::character varying, 'CHART'::character varying, 'KPI'::character varying, 'TEXT'::character varying, 'COMPOSITE'::character varying]::text[]))</x:v>
      </x:c>
      <x:c r="K20" s="15" t="str">
        <x:v>보안: INTERNAL</x:v>
      </x:c>
    </x:row>
    <x:row r="21" ht="44" customHeight="1">
      <x:c r="A21" s="15" t="n">
        <x:v>5</x:v>
      </x:c>
      <x:c r="B21" s="15" t="str">
        <x:v>title</x:v>
      </x:c>
      <x:c r="C21" s="15" t="str">
        <x:v>제목</x:v>
      </x:c>
      <x:c r="D21" s="15" t="str">
        <x:v>varchar</x:v>
      </x:c>
      <x:c r="E21" s="15" t="n">
        <x:v>255</x:v>
      </x:c>
      <x:c r="F21" s="15"/>
      <x:c r="G21" s="15" t="str">
        <x:v>NOT NULL</x:v>
      </x:c>
      <x:c r="H21" s="15"/>
      <x:c r="I21" s="15" t="str">
        <x:v>제목으로 화면·보고서에 표시하는 사람이 읽을 수 있는 명칭이다. 식별·조인에는 별도 ID 또는 안정 키를 사용하며 민감정보를 포함하지 않는다.</x:v>
      </x:c>
      <x:c r="J21" s="15"/>
      <x:c r="K21" s="15" t="str">
        <x:v>보안: INTERNAL</x:v>
      </x:c>
    </x:row>
    <x:row r="22" ht="44" customHeight="1">
      <x:c r="A22" s="15" t="n">
        <x:v>6</x:v>
      </x:c>
      <x:c r="B22" s="15" t="str">
        <x:v>data_snapshot_json</x:v>
      </x:c>
      <x:c r="C22" s="15" t="str">
        <x:v>결과 snapshot</x:v>
      </x:c>
      <x:c r="D22" s="15" t="str">
        <x:v>jsonb</x:v>
      </x:c>
      <x:c r="E22" s="15"/>
      <x:c r="F22" s="15"/>
      <x:c r="G22" s="15" t="str">
        <x:v>NOT NULL</x:v>
      </x:c>
      <x:c r="H22" s="15"/>
      <x:c r="I22" s="15" t="str">
        <x:v>화면·보고서 재표시에 필요한 제한된 결과 행 또는 별도 저장 위치 참조를 저장한다. 전체 원천 데이터를 복제하지 않고 권한·보존기간·마스킹 정책을 적용한다.</x:v>
      </x:c>
      <x:c r="J22" s="15" t="str">
        <x:v>구조 기준 | 해당 컬럼의 승인 JSON Schema</x:v>
      </x:c>
      <x:c r="K22" s="15" t="str">
        <x:v>보안: CONFIDENTIAL</x:v>
      </x:c>
    </x:row>
    <x:row r="23" ht="44" customHeight="1">
      <x:c r="A23" s="15" t="n">
        <x:v>7</x:v>
      </x:c>
      <x:c r="B23" s="15" t="str">
        <x:v>chart_spec_json</x:v>
      </x:c>
      <x:c r="C23" s="15" t="str">
        <x:v>차트 사양</x:v>
      </x:c>
      <x:c r="D23" s="15" t="str">
        <x:v>jsonb</x:v>
      </x:c>
      <x:c r="E23" s="15"/>
      <x:c r="F23" s="15"/>
      <x:c r="G23" s="15" t="str">
        <x:v>NOT NULL</x:v>
      </x:c>
      <x:c r="H23" s="15"/>
      <x:c r="I23" s="15" t="str">
        <x:v>검증된 ECharts 허용 subset으로 차트 유형, 축, series, 단위와 표시 옵션을 저장한다. 임의 JavaScript·외부 URL은 허용하지 않는다.</x:v>
      </x:c>
      <x:c r="J23" s="15" t="str">
        <x:v>구조 기준 | 해당 컬럼의 승인 JSON Schema</x:v>
      </x:c>
      <x:c r="K23" s="15" t="str">
        <x:v>보안: INTERNAL</x:v>
      </x:c>
    </x:row>
    <x:row r="24" ht="44" customHeight="1">
      <x:c r="A24" s="15" t="n">
        <x:v>8</x:v>
      </x:c>
      <x:c r="B24" s="15" t="str">
        <x:v>narrative_markdown</x:v>
      </x:c>
      <x:c r="C24" s="15" t="str">
        <x:v>결과 설명</x:v>
      </x:c>
      <x:c r="D24" s="15" t="str">
        <x:v>text</x:v>
      </x:c>
      <x:c r="E24" s="15"/>
      <x:c r="F24" s="15"/>
      <x:c r="G24" s="15"/>
      <x:c r="H24" s="15"/>
      <x:c r="I24" s="15" t="str">
        <x:v>쿼리 결과를 설명하는 서술형 본문이다. 계산된 수치·단위·기간을 변경하지 않고 evidence_json에서 확인 가능한 근거만 인용한다.</x:v>
      </x:c>
      <x:c r="J24" s="15"/>
      <x:c r="K24" s="15" t="str">
        <x:v>보안: INTERNAL</x:v>
      </x:c>
    </x:row>
    <x:row r="25" ht="44" customHeight="1">
      <x:c r="A25" s="15" t="n">
        <x:v>9</x:v>
      </x:c>
      <x:c r="B25" s="15" t="str">
        <x:v>evidence_json</x:v>
      </x:c>
      <x:c r="C25" s="15" t="str">
        <x:v>근거</x:v>
      </x:c>
      <x:c r="D25" s="15" t="str">
        <x:v>jsonb</x:v>
      </x:c>
      <x:c r="E25" s="15"/>
      <x:c r="F25" s="15"/>
      <x:c r="G25" s="15" t="str">
        <x:v>NOT NULL</x:v>
      </x:c>
      <x:c r="H25" s="15"/>
      <x:c r="I25" s="15" t="str">
        <x:v>결과의 DataHub URN, 지표 정의, 필터, 기간, JOIN, Trino query ID와 source cutoff를 저장한다. 사용자가 수치의 출처를 역추적하는 핵심 근거다.</x:v>
      </x:c>
      <x:c r="J25" s="15" t="str">
        <x:v>구조 기준 | 해당 컬럼의 승인 JSON Schema</x:v>
      </x:c>
      <x:c r="K25" s="15" t="str">
        <x:v>보안: INTERNAL</x:v>
      </x:c>
    </x:row>
    <x:row r="26" ht="44" customHeight="1">
      <x:c r="A26" s="15" t="n">
        <x:v>10</x:v>
      </x:c>
      <x:c r="B26" s="15" t="str">
        <x:v>freshness_status</x:v>
      </x:c>
      <x:c r="C26" s="15" t="str">
        <x:v>freshness</x:v>
      </x:c>
      <x:c r="D26" s="15" t="str">
        <x:v>varchar</x:v>
      </x:c>
      <x:c r="E26" s="15" t="n">
        <x:v>16</x:v>
      </x:c>
      <x:c r="F26" s="15"/>
      <x:c r="G26" s="15" t="str">
        <x:v>NOT NULL</x:v>
      </x:c>
      <x:c r="H26" s="15"/>
      <x:c r="I26" s="15" t="str">
        <x:v>freshness의 현재 업무 상태를 나타내는 코드다. 허용값은 FRESH, STALE, PARTIAL이며 관련 시각·금액·결과 컬럼과 모순되지 않도록 검증한다.</x:v>
      </x:c>
      <x:c r="J26" s="15" t="str">
        <x:v>CHECK | CHECK (freshness_status::text = ANY (ARRAY['FRESH'::character varying, 'STALE'::character varying, 'PARTIAL'::character varying]::text[]))</x:v>
      </x:c>
      <x:c r="K26" s="15" t="str">
        <x:v>보안: INTERNAL</x:v>
      </x:c>
    </x:row>
    <x:row r="27" ht="44" customHeight="1">
      <x:c r="A27" s="15" t="n">
        <x:v>11</x:v>
      </x:c>
      <x:c r="B27" s="15" t="str">
        <x:v>status</x:v>
      </x:c>
      <x:c r="C27" s="15" t="str">
        <x:v>상태</x:v>
      </x:c>
      <x:c r="D27" s="15" t="str">
        <x:v>varchar</x:v>
      </x:c>
      <x:c r="E27" s="15" t="n">
        <x:v>16</x:v>
      </x:c>
      <x:c r="F27" s="15"/>
      <x:c r="G27" s="15" t="str">
        <x:v>NOT NULL</x:v>
      </x:c>
      <x:c r="H27" s="15"/>
      <x:c r="I27" s="15" t="str">
        <x:v>분석 산출물 레코드의 현재 처리 단계 또는 사용 가능 상태를 나타낸다. 허용값은 DRAFT, APPROVED, INVALIDATED이며 상태 전이는 업무 규칙과 감사 이벤트로 추적한다.</x:v>
      </x:c>
      <x:c r="J27" s="15" t="str">
        <x:v>CHECK | CHECK (freshness_status::text = ANY (ARRAY['FRESH'::character varying, 'STALE'::character varying, 'PARTIAL'::character varying]::text[]))</x:v>
      </x:c>
      <x:c r="K27" s="15" t="str">
        <x:v>보안: INTERNAL</x:v>
      </x:c>
    </x:row>
    <x:row r="28" ht="44" customHeight="1">
      <x:c r="A28" s="15" t="n">
        <x:v>12</x:v>
      </x:c>
      <x:c r="B28" s="15" t="str">
        <x:v>artifact_checksum</x:v>
      </x:c>
      <x:c r="C28" s="15" t="str">
        <x:v>artifact checksum</x:v>
      </x:c>
      <x:c r="D28" s="15" t="str">
        <x:v>varchar</x:v>
      </x:c>
      <x:c r="E28" s="15" t="n">
        <x:v>64</x:v>
      </x:c>
      <x:c r="F28" s="15"/>
      <x:c r="G28" s="15" t="str">
        <x:v>NOT NULL</x:v>
      </x:c>
      <x:c r="H28" s="15"/>
      <x:c r="I28" s="15" t="str">
        <x:v>snapshot, chart spec, narrative, evidence를 정규화해 계산한 checksum이다. 승인 후 내용 변경과 보고서 복사 과정의 손상을 탐지한다.</x:v>
      </x:c>
      <x:c r="J28" s="15" t="str">
        <x:v>무결성 기준 | 정규화 후 SHA-256 또는 승인된 checksum 방식</x:v>
      </x:c>
      <x:c r="K28" s="15" t="str">
        <x:v>보안: INTERNAL</x:v>
      </x:c>
    </x:row>
    <x:row r="29" ht="44" customHeight="1">
      <x:c r="A29" s="15" t="n">
        <x:v>13</x:v>
      </x:c>
      <x:c r="B29" s="15" t="str">
        <x:v>product_release_id</x:v>
      </x:c>
      <x:c r="C29" s="15" t="str">
        <x:v>product 릴리스 ID</x:v>
      </x:c>
      <x:c r="D29" s="15" t="str">
        <x:v>varchar</x:v>
      </x:c>
      <x:c r="E29" s="15" t="n">
        <x:v>160</x:v>
      </x:c>
      <x:c r="F29" s="15" t="str">
        <x:v>FK</x:v>
      </x:c>
      <x:c r="G29" s="15"/>
      <x:c r="H29" s="15"/>
      <x:c r="I29" s="15" t="str">
        <x:v>governance.product_release_manifests.product_release_id를 참조해 artifact.analysis_artifacts의 product 릴리스 ID 관계를 연결한다.</x:v>
      </x:c>
      <x:c r="J29" s="15" t="str">
        <x:v>물리 FK | governance.product_release_manifests.product_release_id</x:v>
      </x:c>
      <x:c r="K29" s="15" t="str">
        <x:v>보안: INTERNAL</x:v>
      </x:c>
    </x:row>
    <x:row r="30" ht="44" customHeight="1">
      <x:c r="A30" s="15" t="n">
        <x:v>14</x:v>
      </x:c>
      <x:c r="B30" s="15" t="str">
        <x:v>permission_snapshot_id</x:v>
      </x:c>
      <x:c r="C30" s="15" t="str">
        <x:v>permission snapshot ID</x:v>
      </x:c>
      <x:c r="D30" s="15" t="str">
        <x:v>varchar</x:v>
      </x:c>
      <x:c r="E30" s="15" t="n">
        <x:v>160</x:v>
      </x:c>
      <x:c r="F30" s="15"/>
      <x:c r="G30" s="15"/>
      <x:c r="H30" s="15"/>
      <x:c r="I30" s="15" t="str">
        <x:v>artifact.analysis_artifacts에서 permission snapshot ID 값을 저장한다.</x:v>
      </x:c>
      <x:c r="J30" s="15" t="str">
        <x:v>CHECK | CHECK (product_release_id IS NULL OR permission_snapshot_id IS NOT NULL AND semantic_release_id IS NOT NULL) NOT VALID</x:v>
      </x:c>
      <x:c r="K30" s="15" t="str">
        <x:v>보안: INTERNAL</x:v>
      </x:c>
    </x:row>
    <x:row r="31" ht="44" customHeight="1">
      <x:c r="A31" s="15" t="n">
        <x:v>15</x:v>
      </x:c>
      <x:c r="B31" s="15" t="str">
        <x:v>semantic_release_id</x:v>
      </x:c>
      <x:c r="C31" s="15" t="str">
        <x:v>semantic 릴리스 ID</x:v>
      </x:c>
      <x:c r="D31" s="15" t="str">
        <x:v>varchar</x:v>
      </x:c>
      <x:c r="E31" s="15" t="n">
        <x:v>256</x:v>
      </x:c>
      <x:c r="F31" s="15"/>
      <x:c r="G31" s="15"/>
      <x:c r="H31" s="15"/>
      <x:c r="I31" s="15" t="str">
        <x:v>artifact.analysis_artifacts에서 semantic 릴리스 ID 값을 저장한다.</x:v>
      </x:c>
      <x:c r="J31" s="15" t="str">
        <x:v>CHECK | CHECK (product_release_id IS NULL OR permission_snapshot_id IS NOT NULL AND semantic_release_id IS NOT NULL) NOT VALID</x:v>
      </x:c>
      <x:c r="K31" s="15" t="str">
        <x:v>보안: INTERNAL</x:v>
      </x:c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>
      <x:c r="A33" s="58" t="str">
        <x:v>no</x:v>
      </x:c>
      <x:c r="B33" s="58" t="str">
        <x:v>Index name</x:v>
      </x:c>
      <x:c r="C33" s="58"/>
      <x:c r="D33" s="58" t="str">
        <x:v>Index type</x:v>
      </x:c>
      <x:c r="E33" s="58"/>
      <x:c r="F33" s="58" t="str">
        <x:v>Unique</x:v>
      </x:c>
      <x:c r="G33" s="58"/>
      <x:c r="H33" s="58" t="str">
        <x:v>구성 컬럼</x:v>
      </x:c>
      <x:c r="I33" s="58"/>
      <x:c r="J33" s="58"/>
      <x:c r="K33" s="58"/>
    </x:row>
    <x:row r="34">
      <x:c r="A34" s="15" t="n">
        <x:v>1</x:v>
      </x:c>
      <x:c r="B34" s="15" t="str">
        <x:v>analysis_artifacts_pkey</x:v>
      </x:c>
      <x:c r="C34" s="15"/>
      <x:c r="D34" s="15" t="str">
        <x:v>BTREE</x:v>
      </x:c>
      <x:c r="E34" s="15"/>
      <x:c r="F34" s="15" t="str">
        <x:v>Unique</x:v>
      </x:c>
      <x:c r="G34" s="15"/>
      <x:c r="H34" s="15" t="str">
        <x:v>artifact_id</x:v>
      </x:c>
      <x:c r="I34" s="15"/>
      <x:c r="J34" s="15"/>
      <x:c r="K34" s="15"/>
    </x:row>
    <x:row r="35">
      <x:c r="A35" s="15" t="n">
        <x:v>2</x:v>
      </x:c>
      <x:c r="B35" s="15" t="str">
        <x:v>idx_artifacts_request</x:v>
      </x:c>
      <x:c r="C35" s="15"/>
      <x:c r="D35" s="15" t="str">
        <x:v>BTREE</x:v>
      </x:c>
      <x:c r="E35" s="15"/>
      <x:c r="F35" s="15" t="str">
        <x:v>Non-Unique</x:v>
      </x:c>
      <x:c r="G35" s="15"/>
      <x:c r="H35" s="15" t="str">
        <x:v>request_id, status</x:v>
      </x:c>
      <x:c r="I35" s="15"/>
      <x:c r="J35" s="15"/>
      <x:c r="K35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3:C33"/>
    <x:mergeCell ref="D33:E33"/>
    <x:mergeCell ref="F33:G33"/>
    <x:mergeCell ref="H33:K33"/>
    <x:mergeCell ref="B34:C34"/>
    <x:mergeCell ref="D34:E34"/>
    <x:mergeCell ref="F34:G34"/>
    <x:mergeCell ref="H34:K34"/>
    <x:mergeCell ref="B35:C35"/>
    <x:mergeCell ref="D35:E35"/>
    <x:mergeCell ref="F35:G35"/>
    <x:mergeCell ref="H35:K3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artifact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view_specs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표·차트 표시 명세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Application PostgreSQL의 표·차트 표시 명세을 관리한다. 현재 Alembic head 20260828_49에서 재현한 물리 구조다.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view_spec_id</x:v>
      </x:c>
      <x:c r="C17" s="15" t="str">
        <x:v>view spec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 t="str">
        <x:v>gen_random_uuid()</x:v>
      </x:c>
      <x:c r="I17" s="15" t="str">
        <x:v>artifact.view_specs의 한 행을 식별하는 view spec ID 기본키다.</x:v>
      </x:c>
      <x:c r="J17" s="15"/>
      <x:c r="K17" s="15" t="str">
        <x:v>보안: INTERNAL</x:v>
      </x:c>
    </x:row>
    <x:row r="18" ht="44" customHeight="1">
      <x:c r="A18" s="15" t="n">
        <x:v>2</x:v>
      </x:c>
      <x:c r="B18" s="15" t="str">
        <x:v>artifact_id</x:v>
      </x:c>
      <x:c r="C18" s="15" t="str">
        <x:v>산출물 ID</x:v>
      </x:c>
      <x:c r="D18" s="15" t="str">
        <x:v>uuid</x:v>
      </x:c>
      <x:c r="E18" s="15"/>
      <x:c r="F18" s="15" t="str">
        <x:v>FK</x:v>
      </x:c>
      <x:c r="G18" s="15" t="str">
        <x:v>NOT NULL</x:v>
      </x:c>
      <x:c r="H18" s="15"/>
      <x:c r="I18" s="15" t="str">
        <x:v>artifact.analysis_artifacts.artifact_id를 참조해 artifact.view_specs의 산출물 ID 관계를 연결한다.</x:v>
      </x:c>
      <x:c r="J18" s="15" t="str">
        <x:v>물리 FK | artifact.analysis_artifacts.artifact_id</x:v>
      </x:c>
      <x:c r="K18" s="15" t="str">
        <x:v>보안: INTERNAL</x:v>
      </x:c>
    </x:row>
    <x:row r="19" ht="44" customHeight="1">
      <x:c r="A19" s="15" t="n">
        <x:v>3</x:v>
      </x:c>
      <x:c r="B19" s="15" t="str">
        <x:v>view_type</x:v>
      </x:c>
      <x:c r="C19" s="15" t="str">
        <x:v>view 유형</x:v>
      </x:c>
      <x:c r="D19" s="15" t="str">
        <x:v>varchar</x:v>
      </x:c>
      <x:c r="E19" s="15" t="n">
        <x:v>32</x:v>
      </x:c>
      <x:c r="F19" s="15"/>
      <x:c r="G19" s="15" t="str">
        <x:v>NOT NULL</x:v>
      </x:c>
      <x:c r="H19" s="15"/>
      <x:c r="I19" s="15" t="str">
        <x:v>artifact.view_specs에서 view 유형 값을 저장한다.</x:v>
      </x:c>
      <x:c r="J19" s="15" t="str">
        <x:v>CHECK | CHECK (view_type::text = ANY (ARRAY['TABLE'::character varying, 'BAR'::character varying, 'LINE'::character varying, 'PIE'::character varying, 'AREA'::character varying, 'SCATTER'::character varying, 'KPI'::character varying]::text[]))</x:v>
      </x:c>
      <x:c r="K19" s="15" t="str">
        <x:v>보안: INTERNAL</x:v>
      </x:c>
    </x:row>
    <x:row r="20" ht="44" customHeight="1">
      <x:c r="A20" s="15" t="n">
        <x:v>4</x:v>
      </x:c>
      <x:c r="B20" s="15" t="str">
        <x:v>spec_json</x:v>
      </x:c>
      <x:c r="C20" s="15" t="str">
        <x:v>spec json</x:v>
      </x:c>
      <x:c r="D20" s="15" t="str">
        <x:v>jsonb</x:v>
      </x:c>
      <x:c r="E20" s="15"/>
      <x:c r="F20" s="15"/>
      <x:c r="G20" s="15" t="str">
        <x:v>NOT NULL</x:v>
      </x:c>
      <x:c r="H20" s="15"/>
      <x:c r="I20" s="15" t="str">
        <x:v>artifact.view_specs의 spec json 구조를 JSONB로 저장하며 승인된 스키마 계약으로 검증한다.</x:v>
      </x:c>
      <x:c r="J20" s="15" t="str">
        <x:v>CHECK | CHECK (jsonb_typeof(spec_json) = 'object'::text) NOT VALID</x:v>
      </x:c>
      <x:c r="K20" s="15" t="str">
        <x:v>보안: INTERNAL</x:v>
      </x:c>
    </x:row>
    <x:row r="21" ht="44" customHeight="1">
      <x:c r="A21" s="15" t="n">
        <x:v>5</x:v>
      </x:c>
      <x:c r="B21" s="15" t="str">
        <x:v>created_at</x:v>
      </x:c>
      <x:c r="C21" s="15" t="str">
        <x:v>생성 시각</x:v>
      </x:c>
      <x:c r="D21" s="15" t="str">
        <x:v>timestamptz</x:v>
      </x:c>
      <x:c r="E21" s="15"/>
      <x:c r="F21" s="15"/>
      <x:c r="G21" s="15" t="str">
        <x:v>NOT NULL</x:v>
      </x:c>
      <x:c r="H21" s="15" t="str">
        <x:v>now()</x:v>
      </x:c>
      <x:c r="I21" s="15" t="str">
        <x:v>artifact.view_specs의 생성 시각을 UTC 기준 시각으로 저장한다.</x:v>
      </x:c>
      <x:c r="J21" s="15"/>
      <x:c r="K21" s="15" t="str">
        <x:v>보안: INTERNAL</x:v>
      </x:c>
    </x:row>
    <x:row r="22" ht="44" customHeight="1">
      <x:c r="A22" s="15" t="n">
        <x:v>6</x:v>
      </x:c>
      <x:c r="B22" s="15" t="str">
        <x:v>product_release_id</x:v>
      </x:c>
      <x:c r="C22" s="15" t="str">
        <x:v>product 릴리스 ID</x:v>
      </x:c>
      <x:c r="D22" s="15" t="str">
        <x:v>varchar</x:v>
      </x:c>
      <x:c r="E22" s="15" t="n">
        <x:v>160</x:v>
      </x:c>
      <x:c r="F22" s="15" t="str">
        <x:v>FK</x:v>
      </x:c>
      <x:c r="G22" s="15"/>
      <x:c r="H22" s="15"/>
      <x:c r="I22" s="15" t="str">
        <x:v>governance.product_release_manifests.product_release_id를 참조해 artifact.view_specs의 product 릴리스 ID 관계를 연결한다.</x:v>
      </x:c>
      <x:c r="J22" s="15" t="str">
        <x:v>물리 FK | governance.product_release_manifests.product_release_id</x:v>
      </x:c>
      <x:c r="K22" s="15" t="str">
        <x:v>보안: INTERNAL</x:v>
      </x:c>
    </x:row>
    <x:row r="23" ht="44" customHeight="1">
      <x:c r="A23" s="15" t="n">
        <x:v>7</x:v>
      </x:c>
      <x:c r="B23" s="15" t="str">
        <x:v>permission_snapshot_id</x:v>
      </x:c>
      <x:c r="C23" s="15" t="str">
        <x:v>permission snapshot ID</x:v>
      </x:c>
      <x:c r="D23" s="15" t="str">
        <x:v>varchar</x:v>
      </x:c>
      <x:c r="E23" s="15" t="n">
        <x:v>160</x:v>
      </x:c>
      <x:c r="F23" s="15"/>
      <x:c r="G23" s="15"/>
      <x:c r="H23" s="15"/>
      <x:c r="I23" s="15" t="str">
        <x:v>artifact.view_specs에서 permission snapshot ID 값을 저장한다.</x:v>
      </x:c>
      <x:c r="J23" s="15" t="str">
        <x:v>CHECK | CHECK (product_release_id IS NULL OR permission_snapshot_id IS NOT NULL AND semantic_release_id IS NOT NULL) NOT VALID</x:v>
      </x:c>
      <x:c r="K23" s="15" t="str">
        <x:v>보안: INTERNAL</x:v>
      </x:c>
    </x:row>
    <x:row r="24" ht="44" customHeight="1">
      <x:c r="A24" s="15" t="n">
        <x:v>8</x:v>
      </x:c>
      <x:c r="B24" s="15" t="str">
        <x:v>semantic_release_id</x:v>
      </x:c>
      <x:c r="C24" s="15" t="str">
        <x:v>semantic 릴리스 ID</x:v>
      </x:c>
      <x:c r="D24" s="15" t="str">
        <x:v>varchar</x:v>
      </x:c>
      <x:c r="E24" s="15" t="n">
        <x:v>256</x:v>
      </x:c>
      <x:c r="F24" s="15"/>
      <x:c r="G24" s="15"/>
      <x:c r="H24" s="15"/>
      <x:c r="I24" s="15" t="str">
        <x:v>artifact.view_specs에서 semantic 릴리스 ID 값을 저장한다.</x:v>
      </x:c>
      <x:c r="J24" s="15" t="str">
        <x:v>CHECK | CHECK (product_release_id IS NULL OR permission_snapshot_id IS NOT NULL AND semantic_release_id IS NOT NULL) NOT VALID</x:v>
      </x:c>
      <x:c r="K24" s="15" t="str">
        <x:v>보안: INTERNAL</x:v>
      </x:c>
    </x:row>
    <x:row r="25" ht="44" customHeight="1">
      <x:c r="A25" s="15" t="n">
        <x:v>9</x:v>
      </x:c>
      <x:c r="B25" s="15" t="str">
        <x:v>spec_sha256</x:v>
      </x:c>
      <x:c r="C25" s="15" t="str">
        <x:v>spec sha256</x:v>
      </x:c>
      <x:c r="D25" s="15" t="str">
        <x:v>character</x:v>
      </x:c>
      <x:c r="E25" s="15" t="n">
        <x:v>64</x:v>
      </x:c>
      <x:c r="F25" s="15"/>
      <x:c r="G25" s="15" t="str">
        <x:v>NOT NULL</x:v>
      </x:c>
      <x:c r="H25" s="15"/>
      <x:c r="I25" s="15" t="str">
        <x:v>artifact.view_specs에서 spec sha256 값을 저장한다.</x:v>
      </x:c>
      <x:c r="J25" s="15" t="str">
        <x:v>CHECK | CHECK (spec_sha256 ~ '^[0-9a-f]{64}$'::text)</x:v>
      </x:c>
      <x:c r="K25" s="15" t="str">
        <x:v>보안: INTERNAL</x:v>
      </x:c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>
      <x:c r="A27" s="58" t="str">
        <x:v>no</x:v>
      </x:c>
      <x:c r="B27" s="58" t="str">
        <x:v>Index name</x:v>
      </x:c>
      <x:c r="C27" s="58"/>
      <x:c r="D27" s="58" t="str">
        <x:v>Index type</x:v>
      </x:c>
      <x:c r="E27" s="58"/>
      <x:c r="F27" s="58" t="str">
        <x:v>Unique</x:v>
      </x:c>
      <x:c r="G27" s="58"/>
      <x:c r="H27" s="58" t="str">
        <x:v>구성 컬럼</x:v>
      </x:c>
      <x:c r="I27" s="58"/>
      <x:c r="J27" s="58"/>
      <x:c r="K27" s="58"/>
    </x:row>
    <x:row r="28">
      <x:c r="A28" s="15" t="n">
        <x:v>1</x:v>
      </x:c>
      <x:c r="B28" s="15" t="str">
        <x:v>idx_view_specs_artifact</x:v>
      </x:c>
      <x:c r="C28" s="15"/>
      <x:c r="D28" s="15" t="str">
        <x:v>BTREE</x:v>
      </x:c>
      <x:c r="E28" s="15"/>
      <x:c r="F28" s="15" t="str">
        <x:v>Non-Unique</x:v>
      </x:c>
      <x:c r="G28" s="15"/>
      <x:c r="H28" s="15" t="str">
        <x:v>artifact_id</x:v>
      </x:c>
      <x:c r="I28" s="15"/>
      <x:c r="J28" s="15"/>
      <x:c r="K28" s="15"/>
    </x:row>
    <x:row r="29">
      <x:c r="A29" s="15" t="n">
        <x:v>2</x:v>
      </x:c>
      <x:c r="B29" s="15" t="str">
        <x:v>view_specs_pkey</x:v>
      </x:c>
      <x:c r="C29" s="15"/>
      <x:c r="D29" s="15" t="str">
        <x:v>BTREE</x:v>
      </x:c>
      <x:c r="E29" s="15"/>
      <x:c r="F29" s="15" t="str">
        <x:v>Unique</x:v>
      </x:c>
      <x:c r="G29" s="15"/>
      <x:c r="H29" s="15" t="str">
        <x:v>view_spec_id</x:v>
      </x:c>
      <x:c r="I29" s="15"/>
      <x:c r="J29" s="15"/>
      <x:c r="K29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27:C27"/>
    <x:mergeCell ref="D27:E27"/>
    <x:mergeCell ref="F27:G27"/>
    <x:mergeCell ref="H27:K27"/>
    <x:mergeCell ref="B28:C28"/>
    <x:mergeCell ref="D28:E28"/>
    <x:mergeCell ref="F28:G28"/>
    <x:mergeCell ref="H28:K28"/>
    <x:mergeCell ref="B29:C29"/>
    <x:mergeCell ref="D29:E29"/>
    <x:mergeCell ref="F29:G29"/>
    <x:mergeCell ref="H29:K2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chat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analysis_requests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분석 요청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대화 질문, 보고서 블록 실행, 모델 평가 등 하나의 분석 요청 전체 수명주기를 기록한다. 요청자 역할 snapshot, 비식별 질문, 사용한 Context·모델·SQL 정책, 상태·오류·trace를 보관하며 후속 쿼리·산출물·감사 이벤트의 추적 루트가 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request_id</x:v>
      </x:c>
      <x:c r="C17" s="15" t="str">
        <x:v>요청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 t="str">
        <x:v>gen_random_uuid()</x:v>
      </x:c>
      <x:c r="I17" s="15" t="str">
        <x:v>분석 요청의 한 행을 안정적으로 식별하는 기본키다. 다른 이력·분석·참조에서 동일 레코드를 추적할 수 있도록 생성 후 재사용하거나 변경하지 않는다. UUID 형식의 불변 식별자를 사용한다. 설계 기준은 '전체 trace 루트'이다.</x:v>
      </x:c>
      <x:c r="J17" s="15" t="str">
        <x:v>참조됨 | context.context_packages.request_id, query.query_executions.request_id, artifact.analysis_artifacts.request_id, report.block_runs.request_id, governance.audit_events.request_id, tooling.tool_runs.request_id</x:v>
      </x:c>
      <x:c r="K17" s="15" t="str">
        <x:v>보안: INTERNAL</x:v>
      </x:c>
    </x:row>
    <x:row r="18" ht="44" customHeight="1">
      <x:c r="A18" s="15" t="n">
        <x:v>2</x:v>
      </x:c>
      <x:c r="B18" s="15" t="str">
        <x:v>conversation_id</x:v>
      </x:c>
      <x:c r="C18" s="15" t="str">
        <x:v>대화 ID</x:v>
      </x:c>
      <x:c r="D18" s="15" t="str">
        <x:v>uuid</x:v>
      </x:c>
      <x:c r="E18" s="15"/>
      <x:c r="F18" s="15" t="str">
        <x:v>FK</x:v>
      </x:c>
      <x:c r="G18" s="15"/>
      <x:c r="H18" s="15"/>
      <x:c r="I18" s="15" t="str">
        <x:v>대화 ID를 hotel_datahub_app.chat.conversations.conversation_id와 연결하는 물리 외래키다. NULL을 허용하므로 연결 대상이 없는 선택 관계를 표현할 수 있다.</x:v>
      </x:c>
      <x:c r="J18" s="15" t="str">
        <x:v>물리 FK | chat.conversations.conversation_id</x:v>
      </x:c>
      <x:c r="K18" s="15" t="str">
        <x:v>보안: INTERNAL</x:v>
      </x:c>
    </x:row>
    <x:row r="19" ht="44" customHeight="1">
      <x:c r="A19" s="15" t="n">
        <x:v>3</x:v>
      </x:c>
      <x:c r="B19" s="15" t="str">
        <x:v>request_type</x:v>
      </x:c>
      <x:c r="C19" s="15" t="str">
        <x:v>요청 유형</x:v>
      </x:c>
      <x:c r="D19" s="15" t="str">
        <x:v>varchar</x:v>
      </x:c>
      <x:c r="E19" s="15" t="n">
        <x:v>24</x:v>
      </x:c>
      <x:c r="F19" s="15"/>
      <x:c r="G19" s="15" t="str">
        <x:v>NOT NULL</x:v>
      </x:c>
      <x:c r="H19" s="15"/>
      <x:c r="I19" s="15" t="str">
        <x:v>요청 유형: 승인된 표준 코드 값이다. 허용값은 CHAT, BLOCK_PREVIEW, REPORT_BLOCK, MODEL_EVAL이며 값에 따라 분석 요청의 처리 규칙·집계 범위·표시 방식이 달라지므로 자유서술을 허용하지 않는다.</x:v>
      </x:c>
      <x:c r="J19" s="15" t="str">
        <x:v>CHECK | CHECK (request_type::text = ANY (ARRAY['CHAT'::character varying, 'BLOCK_PREVIEW'::character varying, 'REPORT_BLOCK'::character varying, 'MODEL_EVAL'::character varying]::text[]))</x:v>
      </x:c>
      <x:c r="K19" s="15" t="str">
        <x:v>보안: INTERNAL</x:v>
      </x:c>
    </x:row>
    <x:row r="20" ht="44" customHeight="1">
      <x:c r="A20" s="15" t="n">
        <x:v>4</x:v>
      </x:c>
      <x:c r="B20" s="15" t="str">
        <x:v>user_id</x:v>
      </x:c>
      <x:c r="C20" s="15" t="str">
        <x:v>사용자 ID</x:v>
      </x:c>
      <x:c r="D20" s="15" t="str">
        <x:v>uuid</x:v>
      </x:c>
      <x:c r="E20" s="15"/>
      <x:c r="F20" s="15"/>
      <x:c r="G20" s="15" t="str">
        <x:v>NOT NULL</x:v>
      </x:c>
      <x:c r="H20" s="15"/>
      <x:c r="I20" s="15" t="str">
        <x:v>사용자 ID에 해당하는 Answervice 사용자 식별자다. 인증·SSO 사용자 디렉터리를 논리 참조하며 표시 이름·이메일 같은 개인정보를 이 테이블에 복제하지 않는다.</x:v>
      </x:c>
      <x:c r="J20" s="15" t="str">
        <x:v>논리 참조 | Answervice 인증·사용자 디렉터리 user_id | 물리 FK 미적용</x:v>
      </x:c>
      <x:c r="K20" s="15" t="str">
        <x:v>보안: INTERNAL</x:v>
      </x:c>
    </x:row>
    <x:row r="21" ht="44" customHeight="1">
      <x:c r="A21" s="15" t="n">
        <x:v>5</x:v>
      </x:c>
      <x:c r="B21" s="15" t="str">
        <x:v>user_role</x:v>
      </x:c>
      <x:c r="C21" s="15" t="str">
        <x:v>요청 역할</x:v>
      </x:c>
      <x:c r="D21" s="15" t="str">
        <x:v>varchar</x:v>
      </x:c>
      <x:c r="E21" s="15" t="n">
        <x:v>64</x:v>
      </x:c>
      <x:c r="F21" s="15"/>
      <x:c r="G21" s="15" t="str">
        <x:v>NOT NULL</x:v>
      </x:c>
      <x:c r="H21" s="15"/>
      <x:c r="I21" s="15" t="str">
        <x:v>요청 역할의 권한 역할 코드를 요청 또는 행위 시점 snapshot으로 저장한다. 이후 사용자의 현재 역할이 바뀌어도 당시 정책 판정 근거를 재현하는 데 사용한다.</x:v>
      </x:c>
      <x:c r="J21" s="15"/>
      <x:c r="K21" s="15" t="str">
        <x:v>보안: POLICY</x:v>
      </x:c>
    </x:row>
    <x:row r="22" ht="44" customHeight="1">
      <x:c r="A22" s="15" t="n">
        <x:v>6</x:v>
      </x:c>
      <x:c r="B22" s="15" t="str">
        <x:v>question_text_redacted</x:v>
      </x:c>
      <x:c r="C22" s="15" t="str">
        <x:v>비식별 질문</x:v>
      </x:c>
      <x:c r="D22" s="15" t="str">
        <x:v>text</x:v>
      </x:c>
      <x:c r="E22" s="15"/>
      <x:c r="F22" s="15"/>
      <x:c r="G22" s="15" t="str">
        <x:v>NOT NULL</x:v>
      </x:c>
      <x:c r="H22" s="15"/>
      <x:c r="I22" s="15" t="str">
        <x:v>사용자가 입력한 질문에서 직접식별정보와 비밀값을 제거한 저장용 본문이다. 외부 모델 전송·로그·재현에 사용하는 버전이며 원문 민감정보는 보관하지 않는다.</x:v>
      </x:c>
      <x:c r="J22" s="15"/>
      <x:c r="K22" s="15" t="str">
        <x:v>보안: CONFIDENTIAL</x:v>
      </x:c>
    </x:row>
    <x:row r="23" ht="44" customHeight="1">
      <x:c r="A23" s="15" t="n">
        <x:v>7</x:v>
      </x:c>
      <x:c r="B23" s="15" t="str">
        <x:v>question_hash</x:v>
      </x:c>
      <x:c r="C23" s="15" t="str">
        <x:v>질문 hash</x:v>
      </x:c>
      <x:c r="D23" s="15" t="str">
        <x:v>varchar</x:v>
      </x:c>
      <x:c r="E23" s="15" t="n">
        <x:v>64</x:v>
      </x:c>
      <x:c r="F23" s="15"/>
      <x:c r="G23" s="15" t="str">
        <x:v>NOT NULL</x:v>
      </x:c>
      <x:c r="H23" s="15"/>
      <x:c r="I23" s="15" t="str">
        <x:v>정규화된 비식별 질문을 SHA-256으로 계산한 해시다. 동일 질문 탐지와 평가 fixture 대조에 사용하되 질문 원문 복원 용도로 사용하지 않는다.</x:v>
      </x:c>
      <x:c r="J23" s="15" t="str">
        <x:v>무결성 기준 | 정규화 후 SHA-256 또는 승인된 checksum 방식</x:v>
      </x:c>
      <x:c r="K23" s="15" t="str">
        <x:v>보안: INTERNAL</x:v>
      </x:c>
    </x:row>
    <x:row r="24" ht="44" customHeight="1">
      <x:c r="A24" s="15" t="n">
        <x:v>8</x:v>
      </x:c>
      <x:c r="B24" s="15" t="str">
        <x:v>ambiguity_status</x:v>
      </x:c>
      <x:c r="C24" s="15" t="str">
        <x:v>모호성 상태</x:v>
      </x:c>
      <x:c r="D24" s="15" t="str">
        <x:v>varchar</x:v>
      </x:c>
      <x:c r="E24" s="15" t="n">
        <x:v>16</x:v>
      </x:c>
      <x:c r="F24" s="15"/>
      <x:c r="G24" s="15" t="str">
        <x:v>NOT NULL</x:v>
      </x:c>
      <x:c r="H24" s="15"/>
      <x:c r="I24" s="15" t="str">
        <x:v>질문의 기간·지표·대상 등이 명확한지 나타낸다. CLEAR, NEEDS_CLARIFICATION, RESOLVED 중 하나이며 모호성이 해결되지 않으면 SQL 생성으로 진행하지 않는다.</x:v>
      </x:c>
      <x:c r="J24" s="15" t="str">
        <x:v>CHECK | CHECK (ambiguity_status::text = ANY (ARRAY['CLEAR'::character varying, 'NEEDS_CLARIFICATION'::character varying, 'RESOLVED'::character varying]::text[]))</x:v>
      </x:c>
      <x:c r="K24" s="15" t="str">
        <x:v>보안: INTERNAL</x:v>
      </x:c>
    </x:row>
    <x:row r="25" ht="44" customHeight="1">
      <x:c r="A25" s="15" t="n">
        <x:v>9</x:v>
      </x:c>
      <x:c r="B25" s="15" t="str">
        <x:v>context_release_id</x:v>
      </x:c>
      <x:c r="C25" s="15" t="str">
        <x:v>Context release</x:v>
      </x:c>
      <x:c r="D25" s="15" t="str">
        <x:v>uuid</x:v>
      </x:c>
      <x:c r="E25" s="15"/>
      <x:c r="F25" s="15" t="str">
        <x:v>FK</x:v>
      </x:c>
      <x:c r="G25" s="15"/>
      <x:c r="H25" s="15"/>
      <x:c r="I25" s="15" t="str">
        <x:v>Context release를 hotel_datahub_app.context.context_releases.context_release_id와 연결하는 물리 외래키다. NULL을 허용하므로 연결 대상이 없는 선택 관계를 표현할 수 있다.</x:v>
      </x:c>
      <x:c r="J25" s="15" t="str">
        <x:v>물리 FK | context.context_releases.context_release_id</x:v>
      </x:c>
      <x:c r="K25" s="15" t="str">
        <x:v>보안: INTERNAL</x:v>
      </x:c>
    </x:row>
    <x:row r="26" ht="44" customHeight="1">
      <x:c r="A26" s="15" t="n">
        <x:v>10</x:v>
      </x:c>
      <x:c r="B26" s="15" t="str">
        <x:v>context_package_id</x:v>
      </x:c>
      <x:c r="C26" s="15" t="str">
        <x:v>Context package</x:v>
      </x:c>
      <x:c r="D26" s="15" t="str">
        <x:v>uuid</x:v>
      </x:c>
      <x:c r="E26" s="15"/>
      <x:c r="F26" s="15" t="str">
        <x:v>FK</x:v>
      </x:c>
      <x:c r="G26" s="15"/>
      <x:c r="H26" s="15"/>
      <x:c r="I26" s="15" t="str">
        <x:v>요청에 대해 최종 생성된 Context package를 가리킨다. 요청 수신 시에는 NULL일 수 있고 Context 구축 완료 후 1건만 연결한다.</x:v>
      </x:c>
      <x:c r="J26" s="15" t="str">
        <x:v>물리 FK | context.context_packages.context_package_id</x:v>
      </x:c>
      <x:c r="K26" s="15" t="str">
        <x:v>보안: INTERNAL</x:v>
      </x:c>
    </x:row>
    <x:row r="27" ht="44" customHeight="1">
      <x:c r="A27" s="15" t="n">
        <x:v>11</x:v>
      </x:c>
      <x:c r="B27" s="15" t="str">
        <x:v>sql_generation_model_id</x:v>
      </x:c>
      <x:c r="C27" s="15" t="str">
        <x:v>SQL 생성 모델</x:v>
      </x:c>
      <x:c r="D27" s="15" t="str">
        <x:v>uuid</x:v>
      </x:c>
      <x:c r="E27" s="15"/>
      <x:c r="F27" s="15" t="str">
        <x:v>FK</x:v>
      </x:c>
      <x:c r="G27" s="15"/>
      <x:c r="H27" s="15"/>
      <x:c r="I27" s="15" t="str">
        <x:v>해당 요청의 SQL 생성에 실제 사용한 모델 버전 UUID다. template-only 경로 등 모델을 사용하지 않은 경우 정책에 따라 NULL일 수 있다.</x:v>
      </x:c>
      <x:c r="J27" s="15" t="str">
        <x:v>물리 FK | model.model_versions.model_version_id</x:v>
      </x:c>
      <x:c r="K27" s="15" t="str">
        <x:v>보안: INTERNAL</x:v>
      </x:c>
    </x:row>
    <x:row r="28" ht="44" customHeight="1">
      <x:c r="A28" s="15" t="n">
        <x:v>12</x:v>
      </x:c>
      <x:c r="B28" s="15" t="str">
        <x:v>sql_policy_version</x:v>
      </x:c>
      <x:c r="C28" s="15" t="str">
        <x:v>SQL 정책 버전</x:v>
      </x:c>
      <x:c r="D28" s="15" t="str">
        <x:v>varchar</x:v>
      </x:c>
      <x:c r="E28" s="15" t="n">
        <x:v>64</x:v>
      </x:c>
      <x:c r="F28" s="15"/>
      <x:c r="G28" s="15" t="str">
        <x:v>NOT NULL</x:v>
      </x:c>
      <x:c r="H28" s="15"/>
      <x:c r="I28" s="15" t="str">
        <x:v>SQL 정책 버전의 정확한 버전을 식별한다. 최신값을 묵시적으로 사용하지 않고 실행·승인·평가 시 이 값을 함께 고정해 결과를 재현한다.</x:v>
      </x:c>
      <x:c r="J28" s="15" t="str">
        <x:v>정책 참조 | versioned access-policy/sql-policy 산출물</x:v>
      </x:c>
      <x:c r="K28" s="15" t="str">
        <x:v>보안: POLICY</x:v>
      </x:c>
    </x:row>
    <x:row r="29" ht="44" customHeight="1">
      <x:c r="A29" s="15" t="n">
        <x:v>13</x:v>
      </x:c>
      <x:c r="B29" s="15" t="str">
        <x:v>status</x:v>
      </x:c>
      <x:c r="C29" s="15" t="str">
        <x:v>상태</x:v>
      </x:c>
      <x:c r="D29" s="15" t="str">
        <x:v>varchar</x:v>
      </x:c>
      <x:c r="E29" s="15" t="n">
        <x:v>20</x:v>
      </x:c>
      <x:c r="F29" s="15"/>
      <x:c r="G29" s="15" t="str">
        <x:v>NOT NULL</x:v>
      </x:c>
      <x:c r="H29" s="15"/>
      <x:c r="I29" s="15" t="str">
        <x:v>분석 요청 레코드의 현재 처리 단계 또는 사용 가능 상태를 나타낸다. 허용값은 RECEIVED, CLARIFYING, CONTEXT_BUILDING, GENERATING, VALIDATING, RUNNING, SUCCEEDED, PARTIAL, FAILED, DENIED이며 상태 전이는 업무 규칙과 감사 이벤트로 추…</x:v>
      </x:c>
      <x:c r="J29" s="15" t="str">
        <x:v>CHECK | CHECK (ambiguity_status::text = ANY (ARRAY['CLEAR'::character varying, 'NEEDS_CLARIFICATION'::character varying, 'RESOLVED'::character varying]::text[]))</x:v>
      </x:c>
      <x:c r="K29" s="15" t="str">
        <x:v>보안: INTERNAL</x:v>
      </x:c>
    </x:row>
    <x:row r="30" ht="44" customHeight="1">
      <x:c r="A30" s="15" t="n">
        <x:v>14</x:v>
      </x:c>
      <x:c r="B30" s="15" t="str">
        <x:v>error_type</x:v>
      </x:c>
      <x:c r="C30" s="15" t="str">
        <x:v>오류 유형</x:v>
      </x:c>
      <x:c r="D30" s="15" t="str">
        <x:v>varchar</x:v>
      </x:c>
      <x:c r="E30" s="15" t="n">
        <x:v>24</x:v>
      </x:c>
      <x:c r="F30" s="15"/>
      <x:c r="G30" s="15"/>
      <x:c r="H30" s="15"/>
      <x:c r="I30" s="15" t="str">
        <x:v>요청 실패 또는 부분 성공의 업무상 원인 분류다. AMBIGUOUS, UNSUPPORTED, PERMISSION, QUERY, PARTIAL, INSUFFICIENT_EVIDENCE를 사용해 재시도 가능 여부를 구분한다.</x:v>
      </x:c>
      <x:c r="J30" s="15" t="str">
        <x:v>CHECK | CHECK (error_type IS NULL OR (error_type::text = ANY (ARRAY['AMBIGUOUS'::character varying, 'UNSUPPORTED'::character varying, 'PERMISSION'::character varying, 'QUERY'::character varying, 'PARTIAL'::character varying, 'INSUFFICIENT_EVIDENCE'::character varying, 'PERSISTENCE'::character varying, 'RECOVERY'::character varying]::text[])))</x:v>
      </x:c>
      <x:c r="K30" s="15" t="str">
        <x:v>보안: INTERNAL</x:v>
      </x:c>
    </x:row>
    <x:row r="31" ht="44" customHeight="1">
      <x:c r="A31" s="15" t="n">
        <x:v>15</x:v>
      </x:c>
      <x:c r="B31" s="15" t="str">
        <x:v>trace_id</x:v>
      </x:c>
      <x:c r="C31" s="15" t="str">
        <x:v>OTel trace ID</x:v>
      </x:c>
      <x:c r="D31" s="15" t="str">
        <x:v>varchar</x:v>
      </x:c>
      <x:c r="E31" s="15" t="n">
        <x:v>128</x:v>
      </x:c>
      <x:c r="F31" s="15"/>
      <x:c r="G31" s="15" t="str">
        <x:v>NOT NULL</x:v>
      </x:c>
      <x:c r="H31" s="15"/>
      <x:c r="I31" s="15" t="str">
        <x:v>분석 요청 전체 흐름에 부여된 OpenTelemetry trace ID다. API 수신부터 Context 구성, SQL 검증·실행, artifact 생성까지 동일 값을 전달해 분산 로그를 연결한다.</x:v>
      </x:c>
      <x:c r="J31" s="15" t="str">
        <x:v>관측성 기준 | OpenTelemetry trace_id</x:v>
      </x:c>
      <x:c r="K31" s="15" t="str">
        <x:v>보안: INTERNAL</x:v>
      </x:c>
    </x:row>
    <x:row r="32" ht="44" customHeight="1">
      <x:c r="A32" s="15" t="n">
        <x:v>16</x:v>
      </x:c>
      <x:c r="B32" s="15" t="str">
        <x:v>started_at</x:v>
      </x:c>
      <x:c r="C32" s="15" t="str">
        <x:v>시작 시각</x:v>
      </x:c>
      <x:c r="D32" s="15" t="str">
        <x:v>timestamptz</x:v>
      </x:c>
      <x:c r="E32" s="15"/>
      <x:c r="F32" s="15"/>
      <x:c r="G32" s="15" t="str">
        <x:v>NOT NULL</x:v>
      </x:c>
      <x:c r="H32" s="15"/>
      <x:c r="I32" s="15" t="str">
        <x:v>시작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32" s="15" t="str">
        <x:v>CHECK | CHECK (completed_at IS NULL OR completed_at &gt;= started_at)</x:v>
      </x:c>
      <x:c r="K32" s="15" t="str">
        <x:v>보안: INTERNAL</x:v>
      </x:c>
    </x:row>
    <x:row r="33" ht="44" customHeight="1">
      <x:c r="A33" s="15" t="n">
        <x:v>17</x:v>
      </x:c>
      <x:c r="B33" s="15" t="str">
        <x:v>completed_at</x:v>
      </x:c>
      <x:c r="C33" s="15" t="str">
        <x:v>완료 시각</x:v>
      </x:c>
      <x:c r="D33" s="15" t="str">
        <x:v>timestamptz</x:v>
      </x:c>
      <x:c r="E33" s="15"/>
      <x:c r="F33" s="15"/>
      <x:c r="G33" s="15"/>
      <x:c r="H33" s="15"/>
      <x:c r="I33" s="15" t="str">
        <x:v>완료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33" s="15" t="str">
        <x:v>CHECK | CHECK (completed_at IS NULL OR completed_at &gt;= started_at)</x:v>
      </x:c>
      <x:c r="K33" s="15" t="str">
        <x:v>보안: INTERNAL</x:v>
      </x:c>
    </x:row>
    <x:row r="34" ht="44" customHeight="1">
      <x:c r="A34" s="15" t="n">
        <x:v>18</x:v>
      </x:c>
      <x:c r="B34" s="15" t="str">
        <x:v>command_id</x:v>
      </x:c>
      <x:c r="C34" s="15" t="str">
        <x:v>명령 ID</x:v>
      </x:c>
      <x:c r="D34" s="15" t="str">
        <x:v>uuid</x:v>
      </x:c>
      <x:c r="E34" s="15"/>
      <x:c r="F34" s="15" t="str">
        <x:v>FK</x:v>
      </x:c>
      <x:c r="G34" s="15"/>
      <x:c r="H34" s="15"/>
      <x:c r="I34" s="15" t="str">
        <x:v>chat.turn_commands.command_id를 참조해 chat.analysis_requests의 명령 ID 관계를 연결한다.</x:v>
      </x:c>
      <x:c r="J34" s="15" t="str">
        <x:v>물리 FK | chat.turn_commands.command_id</x:v>
      </x:c>
      <x:c r="K34" s="15" t="str">
        <x:v>보안: INTERNAL</x:v>
      </x:c>
    </x:row>
    <x:row r="35" ht="44" customHeight="1">
      <x:c r="A35" s="15" t="n">
        <x:v>19</x:v>
      </x:c>
      <x:c r="B35" s="15" t="str">
        <x:v>product_release_id</x:v>
      </x:c>
      <x:c r="C35" s="15" t="str">
        <x:v>product 릴리스 ID</x:v>
      </x:c>
      <x:c r="D35" s="15" t="str">
        <x:v>varchar</x:v>
      </x:c>
      <x:c r="E35" s="15" t="n">
        <x:v>160</x:v>
      </x:c>
      <x:c r="F35" s="15" t="str">
        <x:v>FK</x:v>
      </x:c>
      <x:c r="G35" s="15"/>
      <x:c r="H35" s="15"/>
      <x:c r="I35" s="15" t="str">
        <x:v>governance.product_release_manifests.product_release_id를 참조해 chat.analysis_requests의 product 릴리스 ID 관계를 연결한다.</x:v>
      </x:c>
      <x:c r="J35" s="15" t="str">
        <x:v>물리 FK | governance.product_release_manifests.product_release_id</x:v>
      </x:c>
      <x:c r="K35" s="15" t="str">
        <x:v>보안: INTERNAL</x:v>
      </x:c>
    </x:row>
    <x:row r="36" ht="44" customHeight="1">
      <x:c r="A36" s="15" t="n">
        <x:v>20</x:v>
      </x:c>
      <x:c r="B36" s="15" t="str">
        <x:v>permission_snapshot_id</x:v>
      </x:c>
      <x:c r="C36" s="15" t="str">
        <x:v>permission snapshot ID</x:v>
      </x:c>
      <x:c r="D36" s="15" t="str">
        <x:v>varchar</x:v>
      </x:c>
      <x:c r="E36" s="15" t="n">
        <x:v>160</x:v>
      </x:c>
      <x:c r="F36" s="15"/>
      <x:c r="G36" s="15"/>
      <x:c r="H36" s="15"/>
      <x:c r="I36" s="15" t="str">
        <x:v>chat.analysis_requests에서 permission snapshot ID 값을 저장한다.</x:v>
      </x:c>
      <x:c r="J36" s="15" t="str">
        <x:v>CHECK | CHECK (context_package_id IS NULL OR product_release_id IS NOT NULL AND permission_snapshot_id IS NOT NULL AND semantic_release_id IS NOT NULL) NOT VALID</x:v>
      </x:c>
      <x:c r="K36" s="15" t="str">
        <x:v>보안: INTERNAL</x:v>
      </x:c>
    </x:row>
    <x:row r="37" ht="44" customHeight="1">
      <x:c r="A37" s="15" t="n">
        <x:v>21</x:v>
      </x:c>
      <x:c r="B37" s="15" t="str">
        <x:v>semantic_release_id</x:v>
      </x:c>
      <x:c r="C37" s="15" t="str">
        <x:v>semantic 릴리스 ID</x:v>
      </x:c>
      <x:c r="D37" s="15" t="str">
        <x:v>varchar</x:v>
      </x:c>
      <x:c r="E37" s="15" t="n">
        <x:v>256</x:v>
      </x:c>
      <x:c r="F37" s="15"/>
      <x:c r="G37" s="15"/>
      <x:c r="H37" s="15"/>
      <x:c r="I37" s="15" t="str">
        <x:v>chat.analysis_requests에서 semantic 릴리스 ID 값을 저장한다.</x:v>
      </x:c>
      <x:c r="J37" s="15" t="str">
        <x:v>CHECK | CHECK (context_package_id IS NULL OR product_release_id IS NOT NULL AND permission_snapshot_id IS NOT NULL AND semantic_release_id IS NOT NULL) NOT VALID</x:v>
      </x:c>
      <x:c r="K37" s="15" t="str">
        <x:v>보안: INTERNAL</x:v>
      </x:c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</x:row>
    <x:row r="39">
      <x:c r="A39" s="58" t="str">
        <x:v>no</x:v>
      </x:c>
      <x:c r="B39" s="58" t="str">
        <x:v>Index name</x:v>
      </x:c>
      <x:c r="C39" s="58"/>
      <x:c r="D39" s="58" t="str">
        <x:v>Index type</x:v>
      </x:c>
      <x:c r="E39" s="58"/>
      <x:c r="F39" s="58" t="str">
        <x:v>Unique</x:v>
      </x:c>
      <x:c r="G39" s="58"/>
      <x:c r="H39" s="58" t="str">
        <x:v>구성 컬럼</x:v>
      </x:c>
      <x:c r="I39" s="58"/>
      <x:c r="J39" s="58"/>
      <x:c r="K39" s="58"/>
    </x:row>
    <x:row r="40">
      <x:c r="A40" s="15" t="n">
        <x:v>1</x:v>
      </x:c>
      <x:c r="B40" s="15" t="str">
        <x:v>analysis_requests_pkey</x:v>
      </x:c>
      <x:c r="C40" s="15"/>
      <x:c r="D40" s="15" t="str">
        <x:v>BTREE</x:v>
      </x:c>
      <x:c r="E40" s="15"/>
      <x:c r="F40" s="15" t="str">
        <x:v>Unique</x:v>
      </x:c>
      <x:c r="G40" s="15"/>
      <x:c r="H40" s="15" t="str">
        <x:v>request_id</x:v>
      </x:c>
      <x:c r="I40" s="15"/>
      <x:c r="J40" s="15"/>
      <x:c r="K40" s="15"/>
    </x:row>
    <x:row r="41">
      <x:c r="A41" s="15" t="n">
        <x:v>2</x:v>
      </x:c>
      <x:c r="B41" s="15" t="str">
        <x:v>idx_analysis_requests_status</x:v>
      </x:c>
      <x:c r="C41" s="15"/>
      <x:c r="D41" s="15" t="str">
        <x:v>BTREE</x:v>
      </x:c>
      <x:c r="E41" s="15"/>
      <x:c r="F41" s="15" t="str">
        <x:v>Non-Unique</x:v>
      </x:c>
      <x:c r="G41" s="15"/>
      <x:c r="H41" s="15" t="str">
        <x:v>status, started_at</x:v>
      </x:c>
      <x:c r="I41" s="15"/>
      <x:c r="J41" s="15"/>
      <x:c r="K41" s="15"/>
    </x:row>
    <x:row r="42">
      <x:c r="A42" s="15" t="n">
        <x:v>3</x:v>
      </x:c>
      <x:c r="B42" s="15" t="str">
        <x:v>ux_analysis_requests_command_id</x:v>
      </x:c>
      <x:c r="C42" s="15"/>
      <x:c r="D42" s="15" t="str">
        <x:v>BTREE</x:v>
      </x:c>
      <x:c r="E42" s="15"/>
      <x:c r="F42" s="15" t="str">
        <x:v>Unique</x:v>
      </x:c>
      <x:c r="G42" s="15"/>
      <x:c r="H42" s="15" t="str">
        <x:v>command_id) WHERE (command_id IS NOT NULL</x:v>
      </x:c>
      <x:c r="I42" s="15"/>
      <x:c r="J42" s="15"/>
      <x:c r="K42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9:C39"/>
    <x:mergeCell ref="D39:E39"/>
    <x:mergeCell ref="F39:G39"/>
    <x:mergeCell ref="H39:K39"/>
    <x:mergeCell ref="B40:C40"/>
    <x:mergeCell ref="D40:E40"/>
    <x:mergeCell ref="F40:G40"/>
    <x:mergeCell ref="H40:K40"/>
    <x:mergeCell ref="B41:C41"/>
    <x:mergeCell ref="D41:E41"/>
    <x:mergeCell ref="F41:G41"/>
    <x:mergeCell ref="H41:K41"/>
    <x:mergeCell ref="B42:C42"/>
    <x:mergeCell ref="D42:E42"/>
    <x:mergeCell ref="F42:G42"/>
    <x:mergeCell ref="H42:K4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chat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analysis_state_transitions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분석 상태 전이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Application PostgreSQL의 분석 상태 전이을 관리한다. 현재 Alembic head 20260828_49에서 재현한 물리 구조다.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transition_id</x:v>
      </x:c>
      <x:c r="C17" s="15" t="str">
        <x:v>transition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 t="str">
        <x:v>gen_random_uuid()</x:v>
      </x:c>
      <x:c r="I17" s="15" t="str">
        <x:v>chat.analysis_state_transitions의 한 행을 식별하는 transition ID 기본키다.</x:v>
      </x:c>
      <x:c r="J17" s="15"/>
      <x:c r="K17" s="15" t="str">
        <x:v>보안: INTERNAL</x:v>
      </x:c>
    </x:row>
    <x:row r="18" ht="44" customHeight="1">
      <x:c r="A18" s="15" t="n">
        <x:v>2</x:v>
      </x:c>
      <x:c r="B18" s="15" t="str">
        <x:v>request_id</x:v>
      </x:c>
      <x:c r="C18" s="15" t="str">
        <x:v>요청 ID</x:v>
      </x:c>
      <x:c r="D18" s="15" t="str">
        <x:v>uuid</x:v>
      </x:c>
      <x:c r="E18" s="15"/>
      <x:c r="F18" s="15" t="str">
        <x:v>FK</x:v>
      </x:c>
      <x:c r="G18" s="15" t="str">
        <x:v>NOT NULL</x:v>
      </x:c>
      <x:c r="H18" s="15"/>
      <x:c r="I18" s="15" t="str">
        <x:v>chat.analysis_requests.request_id를 참조해 chat.analysis_state_transitions의 요청 ID 관계를 연결한다.</x:v>
      </x:c>
      <x:c r="J18" s="15" t="str">
        <x:v>물리 FK | chat.analysis_requests.request_id</x:v>
      </x:c>
      <x:c r="K18" s="15" t="str">
        <x:v>보안: INTERNAL</x:v>
      </x:c>
    </x:row>
    <x:row r="19" ht="44" customHeight="1">
      <x:c r="A19" s="15" t="n">
        <x:v>3</x:v>
      </x:c>
      <x:c r="B19" s="15" t="str">
        <x:v>sequence_no</x:v>
      </x:c>
      <x:c r="C19" s="15" t="str">
        <x:v>sequence no</x:v>
      </x:c>
      <x:c r="D19" s="15" t="str">
        <x:v>smallint</x:v>
      </x:c>
      <x:c r="E19" s="15"/>
      <x:c r="F19" s="15" t="str">
        <x:v>UK</x:v>
      </x:c>
      <x:c r="G19" s="15" t="str">
        <x:v>NOT NULL</x:v>
      </x:c>
      <x:c r="H19" s="15"/>
      <x:c r="I19" s="15" t="str">
        <x:v>chat.analysis_state_transitions에서 sequence no 값을 저장한다.</x:v>
      </x:c>
      <x:c r="J19" s="15" t="str">
        <x:v>CHECK | CHECK (sequence_no &gt; 0)</x:v>
      </x:c>
      <x:c r="K19" s="15" t="str">
        <x:v>보안: INTERNAL</x:v>
      </x:c>
    </x:row>
    <x:row r="20" ht="44" customHeight="1">
      <x:c r="A20" s="15" t="n">
        <x:v>4</x:v>
      </x:c>
      <x:c r="B20" s="15" t="str">
        <x:v>from_status</x:v>
      </x:c>
      <x:c r="C20" s="15" t="str">
        <x:v>from 상태</x:v>
      </x:c>
      <x:c r="D20" s="15" t="str">
        <x:v>varchar</x:v>
      </x:c>
      <x:c r="E20" s="15" t="n">
        <x:v>32</x:v>
      </x:c>
      <x:c r="F20" s="15"/>
      <x:c r="G20" s="15"/>
      <x:c r="H20" s="15"/>
      <x:c r="I20" s="15" t="str">
        <x:v>chat.analysis_state_transitions의 현재 from 상태를 저장한다. 허용 범위는 연결된 CHECK 제약과 서비스 계약을 따른다.</x:v>
      </x:c>
      <x:c r="J20" s="15"/>
      <x:c r="K20" s="15" t="str">
        <x:v>보안: INTERNAL</x:v>
      </x:c>
    </x:row>
    <x:row r="21" ht="44" customHeight="1">
      <x:c r="A21" s="15" t="n">
        <x:v>5</x:v>
      </x:c>
      <x:c r="B21" s="15" t="str">
        <x:v>to_status</x:v>
      </x:c>
      <x:c r="C21" s="15" t="str">
        <x:v>to 상태</x:v>
      </x:c>
      <x:c r="D21" s="15" t="str">
        <x:v>varchar</x:v>
      </x:c>
      <x:c r="E21" s="15" t="n">
        <x:v>32</x:v>
      </x:c>
      <x:c r="F21" s="15"/>
      <x:c r="G21" s="15" t="str">
        <x:v>NOT NULL</x:v>
      </x:c>
      <x:c r="H21" s="15"/>
      <x:c r="I21" s="15" t="str">
        <x:v>chat.analysis_state_transitions의 현재 to 상태를 저장한다. 허용 범위는 연결된 CHECK 제약과 서비스 계약을 따른다.</x:v>
      </x:c>
      <x:c r="J21" s="15"/>
      <x:c r="K21" s="15" t="str">
        <x:v>보안: INTERNAL</x:v>
      </x:c>
    </x:row>
    <x:row r="22" ht="44" customHeight="1">
      <x:c r="A22" s="15" t="n">
        <x:v>6</x:v>
      </x:c>
      <x:c r="B22" s="15" t="str">
        <x:v>created_at</x:v>
      </x:c>
      <x:c r="C22" s="15" t="str">
        <x:v>생성 시각</x:v>
      </x:c>
      <x:c r="D22" s="15" t="str">
        <x:v>timestamptz</x:v>
      </x:c>
      <x:c r="E22" s="15"/>
      <x:c r="F22" s="15"/>
      <x:c r="G22" s="15" t="str">
        <x:v>NOT NULL</x:v>
      </x:c>
      <x:c r="H22" s="15" t="str">
        <x:v>now()</x:v>
      </x:c>
      <x:c r="I22" s="15" t="str">
        <x:v>chat.analysis_state_transitions의 생성 시각을 UTC 기준 시각으로 저장한다.</x:v>
      </x:c>
      <x:c r="J22" s="15"/>
      <x:c r="K22" s="15" t="str">
        <x:v>보안: INTERNAL</x:v>
      </x:c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>
      <x:c r="A24" s="58" t="str">
        <x:v>no</x:v>
      </x:c>
      <x:c r="B24" s="58" t="str">
        <x:v>Index name</x:v>
      </x:c>
      <x:c r="C24" s="58"/>
      <x:c r="D24" s="58" t="str">
        <x:v>Index type</x:v>
      </x:c>
      <x:c r="E24" s="58"/>
      <x:c r="F24" s="58" t="str">
        <x:v>Unique</x:v>
      </x:c>
      <x:c r="G24" s="58"/>
      <x:c r="H24" s="58" t="str">
        <x:v>구성 컬럼</x:v>
      </x:c>
      <x:c r="I24" s="58"/>
      <x:c r="J24" s="58"/>
      <x:c r="K24" s="58"/>
    </x:row>
    <x:row r="25">
      <x:c r="A25" s="15" t="n">
        <x:v>1</x:v>
      </x:c>
      <x:c r="B25" s="15" t="str">
        <x:v>analysis_state_transitions_pkey</x:v>
      </x:c>
      <x:c r="C25" s="15"/>
      <x:c r="D25" s="15" t="str">
        <x:v>BTREE</x:v>
      </x:c>
      <x:c r="E25" s="15"/>
      <x:c r="F25" s="15" t="str">
        <x:v>Unique</x:v>
      </x:c>
      <x:c r="G25" s="15"/>
      <x:c r="H25" s="15" t="str">
        <x:v>transition_id</x:v>
      </x:c>
      <x:c r="I25" s="15"/>
      <x:c r="J25" s="15"/>
      <x:c r="K25" s="15"/>
    </x:row>
    <x:row r="26">
      <x:c r="A26" s="15" t="n">
        <x:v>2</x:v>
      </x:c>
      <x:c r="B26" s="15" t="str">
        <x:v>analysis_state_transitions_request_id_sequence_no_key</x:v>
      </x:c>
      <x:c r="C26" s="15"/>
      <x:c r="D26" s="15" t="str">
        <x:v>BTREE</x:v>
      </x:c>
      <x:c r="E26" s="15"/>
      <x:c r="F26" s="15" t="str">
        <x:v>Unique</x:v>
      </x:c>
      <x:c r="G26" s="15"/>
      <x:c r="H26" s="15" t="str">
        <x:v>request_id, sequence_no</x:v>
      </x:c>
      <x:c r="I26" s="15"/>
      <x:c r="J26" s="15"/>
      <x:c r="K26" s="15"/>
    </x:row>
    <x:row r="27">
      <x:c r="A27" s="15" t="n">
        <x:v>3</x:v>
      </x:c>
      <x:c r="B27" s="15" t="str">
        <x:v>ix_analysis_state_transitions_request_created</x:v>
      </x:c>
      <x:c r="C27" s="15"/>
      <x:c r="D27" s="15" t="str">
        <x:v>BTREE</x:v>
      </x:c>
      <x:c r="E27" s="15"/>
      <x:c r="F27" s="15" t="str">
        <x:v>Non-Unique</x:v>
      </x:c>
      <x:c r="G27" s="15"/>
      <x:c r="H27" s="15" t="str">
        <x:v>request_id, created_at</x:v>
      </x:c>
      <x:c r="I27" s="15"/>
      <x:c r="J27" s="15"/>
      <x:c r="K27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24:C24"/>
    <x:mergeCell ref="D24:E24"/>
    <x:mergeCell ref="F24:G24"/>
    <x:mergeCell ref="H24:K24"/>
    <x:mergeCell ref="B25:C25"/>
    <x:mergeCell ref="D25:E25"/>
    <x:mergeCell ref="F25:G25"/>
    <x:mergeCell ref="H25:K25"/>
    <x:mergeCell ref="B26:C26"/>
    <x:mergeCell ref="D26:E26"/>
    <x:mergeCell ref="F26:G26"/>
    <x:mergeCell ref="H26:K26"/>
    <x:mergeCell ref="B27:C27"/>
    <x:mergeCell ref="D27:E27"/>
    <x:mergeCell ref="F27:G27"/>
    <x:mergeCell ref="H27:K27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chat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conversations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분석 대화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Answervice 사용자의 대화형 분석 세션을 관리한다. 한 행은 소유 사용자, 표시 제목, 활성·보관 상태와 생성·수정 시각을 가진 대화 1건이며, 개별 질문은 analysis_requests에서 연결한다.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conversation_id</x:v>
      </x:c>
      <x:c r="C17" s="15" t="str">
        <x:v>대화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 t="str">
        <x:v>gen_random_uuid()</x:v>
      </x:c>
      <x:c r="I17" s="15" t="str">
        <x:v>분석 대화의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15" t="str">
        <x:v>참조됨 | chat.analysis_requests.conversation_id</x:v>
      </x:c>
      <x:c r="K17" s="15" t="str">
        <x:v>보안: INTERNAL</x:v>
      </x:c>
    </x:row>
    <x:row r="18" ht="44" customHeight="1">
      <x:c r="A18" s="15" t="n">
        <x:v>2</x:v>
      </x:c>
      <x:c r="B18" s="15" t="str">
        <x:v>owner_user_id</x:v>
      </x:c>
      <x:c r="C18" s="15" t="str">
        <x:v>소유 사용자 ID</x:v>
      </x:c>
      <x:c r="D18" s="15" t="str">
        <x:v>uuid</x:v>
      </x:c>
      <x:c r="E18" s="15"/>
      <x:c r="F18" s="15"/>
      <x:c r="G18" s="15" t="str">
        <x:v>NOT NULL</x:v>
      </x:c>
      <x:c r="H18" s="15"/>
      <x:c r="I18" s="15" t="str">
        <x:v>소유 사용자 ID에 해당하는 Answervice 사용자 식별자다. 인증·SSO 사용자 디렉터리를 논리 참조하며 표시 이름·이메일 같은 개인정보를 이 테이블에 복제하지 않는다.</x:v>
      </x:c>
      <x:c r="J18" s="15" t="str">
        <x:v>논리 참조 | Answervice 인증·사용자 디렉터리 user_id | 물리 FK 미적용</x:v>
      </x:c>
      <x:c r="K18" s="15" t="str">
        <x:v>보안: INTERNAL</x:v>
      </x:c>
    </x:row>
    <x:row r="19" ht="44" customHeight="1">
      <x:c r="A19" s="15" t="n">
        <x:v>3</x:v>
      </x:c>
      <x:c r="B19" s="15" t="str">
        <x:v>title</x:v>
      </x:c>
      <x:c r="C19" s="15" t="str">
        <x:v>대화 제목</x:v>
      </x:c>
      <x:c r="D19" s="15" t="str">
        <x:v>varchar</x:v>
      </x:c>
      <x:c r="E19" s="15" t="n">
        <x:v>255</x:v>
      </x:c>
      <x:c r="F19" s="15"/>
      <x:c r="G19" s="15" t="str">
        <x:v>NOT NULL</x:v>
      </x:c>
      <x:c r="H19" s="15"/>
      <x:c r="I19" s="15" t="str">
        <x:v>대화 제목으로 화면·보고서에 표시하는 사람이 읽을 수 있는 명칭이다. 식별·조인에는 별도 ID 또는 안정 키를 사용하며 민감정보를 포함하지 않는다.</x:v>
      </x:c>
      <x:c r="J19" s="15"/>
      <x:c r="K19" s="15" t="str">
        <x:v>보안: INTERNAL</x:v>
      </x:c>
    </x:row>
    <x:row r="20" ht="44" customHeight="1">
      <x:c r="A20" s="15" t="n">
        <x:v>4</x:v>
      </x:c>
      <x:c r="B20" s="15" t="str">
        <x:v>status</x:v>
      </x:c>
      <x:c r="C20" s="15" t="str">
        <x:v>상태</x:v>
      </x:c>
      <x:c r="D20" s="15" t="str">
        <x:v>varchar</x:v>
      </x:c>
      <x:c r="E20" s="15" t="n">
        <x:v>16</x:v>
      </x:c>
      <x:c r="F20" s="15"/>
      <x:c r="G20" s="15" t="str">
        <x:v>NOT NULL</x:v>
      </x:c>
      <x:c r="H20" s="15"/>
      <x:c r="I20" s="15" t="str">
        <x:v>분석 대화 레코드의 현재 처리 단계 또는 사용 가능 상태를 나타낸다. 허용값은 ACTIVE, ARCHIVED이며 상태 전이는 업무 규칙과 감사 이벤트로 추적한다.</x:v>
      </x:c>
      <x:c r="J20" s="15" t="str">
        <x:v>CHECK | CHECK (status::text = ANY (ARRAY['ACTIVE'::character varying, 'ARCHIVED'::character varying]::text[]))</x:v>
      </x:c>
      <x:c r="K20" s="15" t="str">
        <x:v>보안: INTERNAL</x:v>
      </x:c>
    </x:row>
    <x:row r="21" ht="44" customHeight="1">
      <x:c r="A21" s="15" t="n">
        <x:v>5</x:v>
      </x:c>
      <x:c r="B21" s="15" t="str">
        <x:v>created_at</x:v>
      </x:c>
      <x:c r="C21" s="15" t="str">
        <x:v>생성 시각</x:v>
      </x:c>
      <x:c r="D21" s="15" t="str">
        <x:v>timestamptz</x:v>
      </x:c>
      <x:c r="E21" s="15"/>
      <x:c r="F21" s="15"/>
      <x:c r="G21" s="15" t="str">
        <x:v>NOT NULL</x:v>
      </x:c>
      <x:c r="H21" s="15" t="str">
        <x:v>now()</x:v>
      </x:c>
      <x:c r="I21" s="15" t="str">
        <x:v>생성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1" s="15"/>
      <x:c r="K21" s="15" t="str">
        <x:v>보안: INTERNAL</x:v>
      </x:c>
    </x:row>
    <x:row r="22" ht="44" customHeight="1">
      <x:c r="A22" s="15" t="n">
        <x:v>6</x:v>
      </x:c>
      <x:c r="B22" s="15" t="str">
        <x:v>updated_at</x:v>
      </x:c>
      <x:c r="C22" s="15" t="str">
        <x:v>수정 시각</x:v>
      </x:c>
      <x:c r="D22" s="15" t="str">
        <x:v>timestamptz</x:v>
      </x:c>
      <x:c r="E22" s="15"/>
      <x:c r="F22" s="15"/>
      <x:c r="G22" s="15" t="str">
        <x:v>NOT NULL</x:v>
      </x:c>
      <x:c r="H22" s="15" t="str">
        <x:v>now()</x:v>
      </x:c>
      <x:c r="I22" s="15" t="str">
        <x:v>수정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2" s="15"/>
      <x:c r="K22" s="15" t="str">
        <x:v>보안: INTERNAL</x:v>
      </x:c>
    </x:row>
    <x:row r="23" ht="44" customHeight="1">
      <x:c r="A23" s="15" t="n">
        <x:v>7</x:v>
      </x:c>
      <x:c r="B23" s="15" t="str">
        <x:v>head_turn_id</x:v>
      </x:c>
      <x:c r="C23" s="15" t="str">
        <x:v>head 턴 ID</x:v>
      </x:c>
      <x:c r="D23" s="15" t="str">
        <x:v>uuid</x:v>
      </x:c>
      <x:c r="E23" s="15"/>
      <x:c r="F23" s="15" t="str">
        <x:v>FK</x:v>
      </x:c>
      <x:c r="G23" s="15"/>
      <x:c r="H23" s="15"/>
      <x:c r="I23" s="15" t="str">
        <x:v>chat.turns.turn_id를 참조해 chat.conversations의 head 턴 ID 관계를 연결한다.</x:v>
      </x:c>
      <x:c r="J23" s="15" t="str">
        <x:v>물리 FK | chat.turns.turn_id</x:v>
      </x:c>
      <x:c r="K23" s="15" t="str">
        <x:v>보안: INTERNAL</x:v>
      </x:c>
    </x:row>
    <x:row r="24" ht="44" customHeight="1">
      <x:c r="A24" s="15" t="n">
        <x:v>8</x:v>
      </x:c>
      <x:c r="B24" s="15" t="str">
        <x:v>turn_count</x:v>
      </x:c>
      <x:c r="C24" s="15" t="str">
        <x:v>턴 수</x:v>
      </x:c>
      <x:c r="D24" s="15" t="str">
        <x:v>integer</x:v>
      </x:c>
      <x:c r="E24" s="15"/>
      <x:c r="F24" s="15"/>
      <x:c r="G24" s="15" t="str">
        <x:v>NOT NULL</x:v>
      </x:c>
      <x:c r="H24" s="15" t="str">
        <x:v>0</x:v>
      </x:c>
      <x:c r="I24" s="15" t="str">
        <x:v>chat.conversations에서 턴 수 값을 저장한다.</x:v>
      </x:c>
      <x:c r="J24" s="15"/>
      <x:c r="K24" s="15" t="str">
        <x:v>보안: INTERNAL</x:v>
      </x:c>
    </x:row>
    <x:row r="25" ht="44" customHeight="1">
      <x:c r="A25" s="15" t="n">
        <x:v>9</x:v>
      </x:c>
      <x:c r="B25" s="15" t="str">
        <x:v>active_command_id</x:v>
      </x:c>
      <x:c r="C25" s="15" t="str">
        <x:v>활성 명령 ID</x:v>
      </x:c>
      <x:c r="D25" s="15" t="str">
        <x:v>uuid</x:v>
      </x:c>
      <x:c r="E25" s="15"/>
      <x:c r="F25" s="15" t="str">
        <x:v>FK</x:v>
      </x:c>
      <x:c r="G25" s="15"/>
      <x:c r="H25" s="15"/>
      <x:c r="I25" s="15" t="str">
        <x:v>chat.turn_commands.command_id를 참조해 chat.conversations의 활성 명령 ID 관계를 연결한다.</x:v>
      </x:c>
      <x:c r="J25" s="15" t="str">
        <x:v>물리 FK | chat.turn_commands.command_id</x:v>
      </x:c>
      <x:c r="K25" s="15" t="str">
        <x:v>보안: INTERNAL</x:v>
      </x:c>
    </x:row>
    <x:row r="26" ht="44" customHeight="1">
      <x:c r="A26" s="15" t="n">
        <x:v>10</x:v>
      </x:c>
      <x:c r="B26" s="15" t="str">
        <x:v>lease_expires_at</x:v>
      </x:c>
      <x:c r="C26" s="15" t="str">
        <x:v>lease expires 시각</x:v>
      </x:c>
      <x:c r="D26" s="15" t="str">
        <x:v>timestamptz</x:v>
      </x:c>
      <x:c r="E26" s="15"/>
      <x:c r="F26" s="15"/>
      <x:c r="G26" s="15"/>
      <x:c r="H26" s="15"/>
      <x:c r="I26" s="15" t="str">
        <x:v>chat.conversations의 lease expires 시각을 UTC 기준 시각으로 저장한다.</x:v>
      </x:c>
      <x:c r="J26" s="15"/>
      <x:c r="K26" s="15" t="str">
        <x:v>보안: INTERNAL</x:v>
      </x:c>
    </x:row>
    <x:row r="27" ht="44" customHeight="1">
      <x:c r="A27" s="15" t="n">
        <x:v>11</x:v>
      </x:c>
      <x:c r="B27" s="15" t="str">
        <x:v>product_release_id</x:v>
      </x:c>
      <x:c r="C27" s="15" t="str">
        <x:v>product 릴리스 ID</x:v>
      </x:c>
      <x:c r="D27" s="15" t="str">
        <x:v>varchar</x:v>
      </x:c>
      <x:c r="E27" s="15" t="n">
        <x:v>160</x:v>
      </x:c>
      <x:c r="F27" s="15" t="str">
        <x:v>FK</x:v>
      </x:c>
      <x:c r="G27" s="15"/>
      <x:c r="H27" s="15"/>
      <x:c r="I27" s="15" t="str">
        <x:v>governance.product_release_manifests.product_release_id를 참조해 chat.conversations의 product 릴리스 ID 관계를 연결한다.</x:v>
      </x:c>
      <x:c r="J27" s="15" t="str">
        <x:v>물리 FK | governance.product_release_manifests.product_release_id</x:v>
      </x:c>
      <x:c r="K27" s="15" t="str">
        <x:v>보안: INTERNAL</x:v>
      </x:c>
    </x:row>
    <x:row r="28" ht="44" customHeight="1">
      <x:c r="A28" s="15" t="n">
        <x:v>12</x:v>
      </x:c>
      <x:c r="B28" s="15" t="str">
        <x:v>permission_snapshot_id</x:v>
      </x:c>
      <x:c r="C28" s="15" t="str">
        <x:v>permission snapshot ID</x:v>
      </x:c>
      <x:c r="D28" s="15" t="str">
        <x:v>varchar</x:v>
      </x:c>
      <x:c r="E28" s="15" t="n">
        <x:v>160</x:v>
      </x:c>
      <x:c r="F28" s="15"/>
      <x:c r="G28" s="15"/>
      <x:c r="H28" s="15"/>
      <x:c r="I28" s="15" t="str">
        <x:v>chat.conversations에서 permission snapshot ID 값을 저장한다.</x:v>
      </x:c>
      <x:c r="J28" s="15" t="str">
        <x:v>CHECK | CHECK (product_release_id IS NOT NULL AND permission_snapshot_id IS NOT NULL AND semantic_release_id IS NOT NULL AND release_pinned_at IS NOT NULL) NOT VALID</x:v>
      </x:c>
      <x:c r="K28" s="15" t="str">
        <x:v>보안: INTERNAL</x:v>
      </x:c>
    </x:row>
    <x:row r="29" ht="44" customHeight="1">
      <x:c r="A29" s="15" t="n">
        <x:v>13</x:v>
      </x:c>
      <x:c r="B29" s="15" t="str">
        <x:v>semantic_release_id</x:v>
      </x:c>
      <x:c r="C29" s="15" t="str">
        <x:v>semantic 릴리스 ID</x:v>
      </x:c>
      <x:c r="D29" s="15" t="str">
        <x:v>varchar</x:v>
      </x:c>
      <x:c r="E29" s="15" t="n">
        <x:v>256</x:v>
      </x:c>
      <x:c r="F29" s="15"/>
      <x:c r="G29" s="15"/>
      <x:c r="H29" s="15"/>
      <x:c r="I29" s="15" t="str">
        <x:v>chat.conversations에서 semantic 릴리스 ID 값을 저장한다.</x:v>
      </x:c>
      <x:c r="J29" s="15" t="str">
        <x:v>CHECK | CHECK (product_release_id IS NOT NULL AND permission_snapshot_id IS NOT NULL AND semantic_release_id IS NOT NULL AND release_pinned_at IS NOT NULL) NOT VALID</x:v>
      </x:c>
      <x:c r="K29" s="15" t="str">
        <x:v>보안: INTERNAL</x:v>
      </x:c>
    </x:row>
    <x:row r="30" ht="44" customHeight="1">
      <x:c r="A30" s="15" t="n">
        <x:v>14</x:v>
      </x:c>
      <x:c r="B30" s="15" t="str">
        <x:v>release_pinned_at</x:v>
      </x:c>
      <x:c r="C30" s="15" t="str">
        <x:v>릴리스 pinned 시각</x:v>
      </x:c>
      <x:c r="D30" s="15" t="str">
        <x:v>timestamptz</x:v>
      </x:c>
      <x:c r="E30" s="15"/>
      <x:c r="F30" s="15"/>
      <x:c r="G30" s="15"/>
      <x:c r="H30" s="15"/>
      <x:c r="I30" s="15" t="str">
        <x:v>chat.conversations의 릴리스 pinned 시각을 UTC 기준 시각으로 저장한다.</x:v>
      </x:c>
      <x:c r="J30" s="15" t="str">
        <x:v>CHECK | CHECK (product_release_id IS NOT NULL AND permission_snapshot_id IS NOT NULL AND semantic_release_id IS NOT NULL AND release_pinned_at IS NOT NULL) NOT VALID</x:v>
      </x:c>
      <x:c r="K30" s="15" t="str">
        <x:v>보안: INTERNAL</x:v>
      </x:c>
    </x:row>
    <x:row r="31" ht="44" customHeight="1">
      <x:c r="A31" s="15" t="n">
        <x:v>15</x:v>
      </x:c>
      <x:c r="B31" s="15" t="str">
        <x:v>wall_clock_anchor</x:v>
      </x:c>
      <x:c r="C31" s="15" t="str">
        <x:v>wall clock anchor</x:v>
      </x:c>
      <x:c r="D31" s="15" t="str">
        <x:v>date</x:v>
      </x:c>
      <x:c r="E31" s="15"/>
      <x:c r="F31" s="15"/>
      <x:c r="G31" s="15" t="str">
        <x:v>NOT NULL</x:v>
      </x:c>
      <x:c r="H31" s="15"/>
      <x:c r="I31" s="15" t="str">
        <x:v>chat.conversations에서 wall clock anchor 값을 저장한다.</x:v>
      </x:c>
      <x:c r="J31" s="15"/>
      <x:c r="K31" s="15" t="str">
        <x:v>보안: INTERNAL</x:v>
      </x:c>
    </x:row>
    <x:row r="32" ht="44" customHeight="1">
      <x:c r="A32" s="15" t="n">
        <x:v>16</x:v>
      </x:c>
      <x:c r="B32" s="15" t="str">
        <x:v>data_focus_turn_id</x:v>
      </x:c>
      <x:c r="C32" s="15" t="str">
        <x:v>데이터 focus 턴 ID</x:v>
      </x:c>
      <x:c r="D32" s="15" t="str">
        <x:v>uuid</x:v>
      </x:c>
      <x:c r="E32" s="15"/>
      <x:c r="F32" s="15" t="str">
        <x:v>FK</x:v>
      </x:c>
      <x:c r="G32" s="15"/>
      <x:c r="H32" s="15"/>
      <x:c r="I32" s="15" t="str">
        <x:v>chat.turns.turn_id를 참조해 chat.conversations의 데이터 focus 턴 ID 관계를 연결한다.</x:v>
      </x:c>
      <x:c r="J32" s="15" t="str">
        <x:v>물리 FK | chat.turns.turn_id</x:v>
      </x:c>
      <x:c r="K32" s="15" t="str">
        <x:v>보안: INTERNAL</x:v>
      </x:c>
    </x:row>
    <x:row r="33" ht="44" customHeight="1">
      <x:c r="A33" s="15" t="n">
        <x:v>17</x:v>
      </x:c>
      <x:c r="B33" s="15" t="str">
        <x:v>data_focus_artifact_id</x:v>
      </x:c>
      <x:c r="C33" s="15" t="str">
        <x:v>데이터 focus 산출물 ID</x:v>
      </x:c>
      <x:c r="D33" s="15" t="str">
        <x:v>uuid</x:v>
      </x:c>
      <x:c r="E33" s="15"/>
      <x:c r="F33" s="15" t="str">
        <x:v>FK</x:v>
      </x:c>
      <x:c r="G33" s="15"/>
      <x:c r="H33" s="15"/>
      <x:c r="I33" s="15" t="str">
        <x:v>artifact.analysis_artifacts.artifact_id를 참조해 chat.conversations의 데이터 focus 산출물 ID 관계를 연결한다.</x:v>
      </x:c>
      <x:c r="J33" s="15" t="str">
        <x:v>물리 FK | artifact.analysis_artifacts.artifact_id</x:v>
      </x:c>
      <x:c r="K33" s="15" t="str">
        <x:v>보안: INTERNAL</x:v>
      </x:c>
    </x:row>
    <x:row r="34" ht="44" customHeight="1">
      <x:c r="A34" s="15" t="n">
        <x:v>18</x:v>
      </x:c>
      <x:c r="B34" s="15" t="str">
        <x:v>view_focus_turn_id</x:v>
      </x:c>
      <x:c r="C34" s="15" t="str">
        <x:v>view focus 턴 ID</x:v>
      </x:c>
      <x:c r="D34" s="15" t="str">
        <x:v>uuid</x:v>
      </x:c>
      <x:c r="E34" s="15"/>
      <x:c r="F34" s="15" t="str">
        <x:v>FK</x:v>
      </x:c>
      <x:c r="G34" s="15"/>
      <x:c r="H34" s="15"/>
      <x:c r="I34" s="15" t="str">
        <x:v>chat.turns.turn_id를 참조해 chat.conversations의 view focus 턴 ID 관계를 연결한다.</x:v>
      </x:c>
      <x:c r="J34" s="15" t="str">
        <x:v>물리 FK | chat.turns.turn_id</x:v>
      </x:c>
      <x:c r="K34" s="15" t="str">
        <x:v>보안: INTERNAL</x:v>
      </x:c>
    </x:row>
    <x:row r="35" ht="44" customHeight="1">
      <x:c r="A35" s="15" t="n">
        <x:v>19</x:v>
      </x:c>
      <x:c r="B35" s="15" t="str">
        <x:v>view_focus_spec_id</x:v>
      </x:c>
      <x:c r="C35" s="15" t="str">
        <x:v>view focus spec ID</x:v>
      </x:c>
      <x:c r="D35" s="15" t="str">
        <x:v>uuid</x:v>
      </x:c>
      <x:c r="E35" s="15"/>
      <x:c r="F35" s="15" t="str">
        <x:v>FK</x:v>
      </x:c>
      <x:c r="G35" s="15"/>
      <x:c r="H35" s="15"/>
      <x:c r="I35" s="15" t="str">
        <x:v>artifact.view_specs.view_spec_id를 참조해 chat.conversations의 view focus spec ID 관계를 연결한다.</x:v>
      </x:c>
      <x:c r="J35" s="15" t="str">
        <x:v>물리 FK | artifact.view_specs.view_spec_id</x:v>
      </x:c>
      <x:c r="K35" s="15" t="str">
        <x:v>보안: INTERNAL</x:v>
      </x:c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</x:row>
    <x:row r="37">
      <x:c r="A37" s="58" t="str">
        <x:v>no</x:v>
      </x:c>
      <x:c r="B37" s="58" t="str">
        <x:v>Index name</x:v>
      </x:c>
      <x:c r="C37" s="58"/>
      <x:c r="D37" s="58" t="str">
        <x:v>Index type</x:v>
      </x:c>
      <x:c r="E37" s="58"/>
      <x:c r="F37" s="58" t="str">
        <x:v>Unique</x:v>
      </x:c>
      <x:c r="G37" s="58"/>
      <x:c r="H37" s="58" t="str">
        <x:v>구성 컬럼</x:v>
      </x:c>
      <x:c r="I37" s="58"/>
      <x:c r="J37" s="58"/>
      <x:c r="K37" s="58"/>
    </x:row>
    <x:row r="38">
      <x:c r="A38" s="15" t="n">
        <x:v>1</x:v>
      </x:c>
      <x:c r="B38" s="15" t="str">
        <x:v>conversations_pkey</x:v>
      </x:c>
      <x:c r="C38" s="15"/>
      <x:c r="D38" s="15" t="str">
        <x:v>BTREE</x:v>
      </x:c>
      <x:c r="E38" s="15"/>
      <x:c r="F38" s="15" t="str">
        <x:v>Unique</x:v>
      </x:c>
      <x:c r="G38" s="15"/>
      <x:c r="H38" s="15" t="str">
        <x:v>conversation_id</x:v>
      </x:c>
      <x:c r="I38" s="15"/>
      <x:c r="J38" s="15"/>
      <x:c r="K38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7:C37"/>
    <x:mergeCell ref="D37:E37"/>
    <x:mergeCell ref="F37:G37"/>
    <x:mergeCell ref="H37:K37"/>
    <x:mergeCell ref="B38:C38"/>
    <x:mergeCell ref="D38:E38"/>
    <x:mergeCell ref="F38:G38"/>
    <x:mergeCell ref="H38:K38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chat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turn_commands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대화 턴 명령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Application PostgreSQL의 대화 턴 명령을 관리한다. 현재 Alembic head 20260828_49에서 재현한 물리 구조다.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command_id</x:v>
      </x:c>
      <x:c r="C17" s="15" t="str">
        <x:v>명령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 t="str">
        <x:v>gen_random_uuid()</x:v>
      </x:c>
      <x:c r="I17" s="15" t="str">
        <x:v>chat.turn_commands의 한 행을 식별하는 명령 ID 기본키다.</x:v>
      </x:c>
      <x:c r="J17" s="15"/>
      <x:c r="K17" s="15" t="str">
        <x:v>보안: INTERNAL</x:v>
      </x:c>
    </x:row>
    <x:row r="18" ht="44" customHeight="1">
      <x:c r="A18" s="15" t="n">
        <x:v>2</x:v>
      </x:c>
      <x:c r="B18" s="15" t="str">
        <x:v>conversation_id</x:v>
      </x:c>
      <x:c r="C18" s="15" t="str">
        <x:v>대화 ID</x:v>
      </x:c>
      <x:c r="D18" s="15" t="str">
        <x:v>uuid</x:v>
      </x:c>
      <x:c r="E18" s="15"/>
      <x:c r="F18" s="15" t="str">
        <x:v>FK</x:v>
      </x:c>
      <x:c r="G18" s="15" t="str">
        <x:v>NOT NULL</x:v>
      </x:c>
      <x:c r="H18" s="15"/>
      <x:c r="I18" s="15" t="str">
        <x:v>chat.conversations.conversation_id를 참조해 chat.turn_commands의 대화 ID 관계를 연결한다.</x:v>
      </x:c>
      <x:c r="J18" s="15" t="str">
        <x:v>물리 FK | chat.conversations.conversation_id</x:v>
      </x:c>
      <x:c r="K18" s="15" t="str">
        <x:v>보안: INTERNAL</x:v>
      </x:c>
    </x:row>
    <x:row r="19" ht="44" customHeight="1">
      <x:c r="A19" s="15" t="n">
        <x:v>3</x:v>
      </x:c>
      <x:c r="B19" s="15" t="str">
        <x:v>idempotency_key</x:v>
      </x:c>
      <x:c r="C19" s="15" t="str">
        <x:v>idempotency 키</x:v>
      </x:c>
      <x:c r="D19" s="15" t="str">
        <x:v>varchar</x:v>
      </x:c>
      <x:c r="E19" s="15" t="n">
        <x:v>128</x:v>
      </x:c>
      <x:c r="F19" s="15" t="str">
        <x:v>UK</x:v>
      </x:c>
      <x:c r="G19" s="15" t="str">
        <x:v>NOT NULL</x:v>
      </x:c>
      <x:c r="H19" s="15"/>
      <x:c r="I19" s="15" t="str">
        <x:v>chat.turn_commands에서 idempotency 키 값을 저장한다.</x:v>
      </x:c>
      <x:c r="J19" s="15" t="str">
        <x:v>CHECK | CHECK (btrim(idempotency_key::text) &lt;&gt; ''::text) NOT VALID</x:v>
      </x:c>
      <x:c r="K19" s="15" t="str">
        <x:v>보안: INTERNAL</x:v>
      </x:c>
    </x:row>
    <x:row r="20" ht="44" customHeight="1">
      <x:c r="A20" s="15" t="n">
        <x:v>4</x:v>
      </x:c>
      <x:c r="B20" s="15" t="str">
        <x:v>canonical_input_hash</x:v>
      </x:c>
      <x:c r="C20" s="15" t="str">
        <x:v>canonical 입력 해시</x:v>
      </x:c>
      <x:c r="D20" s="15" t="str">
        <x:v>character</x:v>
      </x:c>
      <x:c r="E20" s="15" t="n">
        <x:v>64</x:v>
      </x:c>
      <x:c r="F20" s="15"/>
      <x:c r="G20" s="15" t="str">
        <x:v>NOT NULL</x:v>
      </x:c>
      <x:c r="H20" s="15"/>
      <x:c r="I20" s="15" t="str">
        <x:v>chat.turn_commands에서 canonical 입력 해시 값을 저장한다.</x:v>
      </x:c>
      <x:c r="J20" s="15" t="str">
        <x:v>CHECK | CHECK (canonical_input_hash ~ '^[0-9a-f]{64}$'::text) NOT VALID</x:v>
      </x:c>
      <x:c r="K20" s="15" t="str">
        <x:v>보안: INTERNAL</x:v>
      </x:c>
    </x:row>
    <x:row r="21" ht="44" customHeight="1">
      <x:c r="A21" s="15" t="n">
        <x:v>5</x:v>
      </x:c>
      <x:c r="B21" s="15" t="str">
        <x:v>status</x:v>
      </x:c>
      <x:c r="C21" s="15" t="str">
        <x:v>상태</x:v>
      </x:c>
      <x:c r="D21" s="15" t="str">
        <x:v>varchar</x:v>
      </x:c>
      <x:c r="E21" s="15" t="n">
        <x:v>32</x:v>
      </x:c>
      <x:c r="F21" s="15"/>
      <x:c r="G21" s="15" t="str">
        <x:v>NOT NULL</x:v>
      </x:c>
      <x:c r="H21" s="15"/>
      <x:c r="I21" s="15" t="str">
        <x:v>chat.turn_commands의 현재 상태를 저장한다. 허용 범위는 연결된 CHECK 제약과 서비스 계약을 따른다.</x:v>
      </x:c>
      <x:c r="J21" s="15" t="str">
        <x:v>CHECK | CHECK (status::text = ANY (ARRAY['RUNNING'::character varying, 'COMPLETED'::character varying, 'FAILED'::character varying]::text[]))</x:v>
      </x:c>
      <x:c r="K21" s="15" t="str">
        <x:v>보안: INTERNAL</x:v>
      </x:c>
    </x:row>
    <x:row r="22" ht="44" customHeight="1">
      <x:c r="A22" s="15" t="n">
        <x:v>6</x:v>
      </x:c>
      <x:c r="B22" s="15" t="str">
        <x:v>turn_id</x:v>
      </x:c>
      <x:c r="C22" s="15" t="str">
        <x:v>턴 ID</x:v>
      </x:c>
      <x:c r="D22" s="15" t="str">
        <x:v>uuid</x:v>
      </x:c>
      <x:c r="E22" s="15"/>
      <x:c r="F22" s="15" t="str">
        <x:v>FK</x:v>
      </x:c>
      <x:c r="G22" s="15"/>
      <x:c r="H22" s="15"/>
      <x:c r="I22" s="15" t="str">
        <x:v>chat.turns.turn_id를 참조해 chat.turn_commands의 턴 ID 관계를 연결한다.</x:v>
      </x:c>
      <x:c r="J22" s="15" t="str">
        <x:v>물리 FK | chat.turns.turn_id</x:v>
      </x:c>
      <x:c r="K22" s="15" t="str">
        <x:v>보안: INTERNAL</x:v>
      </x:c>
    </x:row>
    <x:row r="23" ht="44" customHeight="1">
      <x:c r="A23" s="15" t="n">
        <x:v>7</x:v>
      </x:c>
      <x:c r="B23" s="15" t="str">
        <x:v>error_response</x:v>
      </x:c>
      <x:c r="C23" s="15" t="str">
        <x:v>오류 response</x:v>
      </x:c>
      <x:c r="D23" s="15" t="str">
        <x:v>jsonb</x:v>
      </x:c>
      <x:c r="E23" s="15"/>
      <x:c r="F23" s="15"/>
      <x:c r="G23" s="15"/>
      <x:c r="H23" s="15"/>
      <x:c r="I23" s="15" t="str">
        <x:v>chat.turn_commands의 오류 response 구조를 JSONB로 저장하며 승인된 스키마 계약으로 검증한다.</x:v>
      </x:c>
      <x:c r="J23" s="15"/>
      <x:c r="K23" s="15" t="str">
        <x:v>보안: INTERNAL</x:v>
      </x:c>
    </x:row>
    <x:row r="24" ht="44" customHeight="1">
      <x:c r="A24" s="15" t="n">
        <x:v>8</x:v>
      </x:c>
      <x:c r="B24" s="15" t="str">
        <x:v>created_at</x:v>
      </x:c>
      <x:c r="C24" s="15" t="str">
        <x:v>생성 시각</x:v>
      </x:c>
      <x:c r="D24" s="15" t="str">
        <x:v>timestamptz</x:v>
      </x:c>
      <x:c r="E24" s="15"/>
      <x:c r="F24" s="15"/>
      <x:c r="G24" s="15" t="str">
        <x:v>NOT NULL</x:v>
      </x:c>
      <x:c r="H24" s="15" t="str">
        <x:v>now()</x:v>
      </x:c>
      <x:c r="I24" s="15" t="str">
        <x:v>chat.turn_commands의 생성 시각을 UTC 기준 시각으로 저장한다.</x:v>
      </x:c>
      <x:c r="J24" s="15"/>
      <x:c r="K24" s="15" t="str">
        <x:v>보안: INTERNAL</x:v>
      </x:c>
    </x:row>
    <x:row r="25" ht="44" customHeight="1">
      <x:c r="A25" s="15" t="n">
        <x:v>9</x:v>
      </x:c>
      <x:c r="B25" s="15" t="str">
        <x:v>expected_head_turn_id</x:v>
      </x:c>
      <x:c r="C25" s="15" t="str">
        <x:v>expected head 턴 ID</x:v>
      </x:c>
      <x:c r="D25" s="15" t="str">
        <x:v>uuid</x:v>
      </x:c>
      <x:c r="E25" s="15"/>
      <x:c r="F25" s="15"/>
      <x:c r="G25" s="15"/>
      <x:c r="H25" s="15"/>
      <x:c r="I25" s="15" t="str">
        <x:v>chat.turn_commands에서 expected head 턴 ID 값을 저장한다.</x:v>
      </x:c>
      <x:c r="J25" s="15"/>
      <x:c r="K25" s="15" t="str">
        <x:v>보안: INTERNAL</x:v>
      </x:c>
    </x:row>
    <x:row r="26" ht="44" customHeight="1">
      <x:c r="A26" s="15" t="n">
        <x:v>10</x:v>
      </x:c>
      <x:c r="B26" s="15" t="str">
        <x:v>effective_subject_id</x:v>
      </x:c>
      <x:c r="C26" s="15" t="str">
        <x:v>effective subject ID</x:v>
      </x:c>
      <x:c r="D26" s="15" t="str">
        <x:v>uuid</x:v>
      </x:c>
      <x:c r="E26" s="15"/>
      <x:c r="F26" s="15"/>
      <x:c r="G26" s="15"/>
      <x:c r="H26" s="15"/>
      <x:c r="I26" s="15" t="str">
        <x:v>chat.turn_commands에서 effective subject ID 값을 저장한다.</x:v>
      </x:c>
      <x:c r="J26" s="15" t="str">
        <x:v>CHECK | CHECK (effective_subject_id IS NOT NULL AND product_release_id IS NOT NULL AND permission_snapshot_id IS NOT NULL AND semantic_release_id IS NOT NULL) NOT VALID</x:v>
      </x:c>
      <x:c r="K26" s="15" t="str">
        <x:v>보안: INTERNAL</x:v>
      </x:c>
    </x:row>
    <x:row r="27" ht="44" customHeight="1">
      <x:c r="A27" s="15" t="n">
        <x:v>11</x:v>
      </x:c>
      <x:c r="B27" s="15" t="str">
        <x:v>product_release_id</x:v>
      </x:c>
      <x:c r="C27" s="15" t="str">
        <x:v>product 릴리스 ID</x:v>
      </x:c>
      <x:c r="D27" s="15" t="str">
        <x:v>varchar</x:v>
      </x:c>
      <x:c r="E27" s="15" t="n">
        <x:v>160</x:v>
      </x:c>
      <x:c r="F27" s="15" t="str">
        <x:v>FK</x:v>
      </x:c>
      <x:c r="G27" s="15"/>
      <x:c r="H27" s="15"/>
      <x:c r="I27" s="15" t="str">
        <x:v>governance.product_release_manifests.product_release_id를 참조해 chat.turn_commands의 product 릴리스 ID 관계를 연결한다.</x:v>
      </x:c>
      <x:c r="J27" s="15" t="str">
        <x:v>물리 FK | governance.product_release_manifests.product_release_id</x:v>
      </x:c>
      <x:c r="K27" s="15" t="str">
        <x:v>보안: INTERNAL</x:v>
      </x:c>
    </x:row>
    <x:row r="28" ht="44" customHeight="1">
      <x:c r="A28" s="15" t="n">
        <x:v>12</x:v>
      </x:c>
      <x:c r="B28" s="15" t="str">
        <x:v>permission_snapshot_id</x:v>
      </x:c>
      <x:c r="C28" s="15" t="str">
        <x:v>permission snapshot ID</x:v>
      </x:c>
      <x:c r="D28" s="15" t="str">
        <x:v>varchar</x:v>
      </x:c>
      <x:c r="E28" s="15" t="n">
        <x:v>160</x:v>
      </x:c>
      <x:c r="F28" s="15"/>
      <x:c r="G28" s="15"/>
      <x:c r="H28" s="15"/>
      <x:c r="I28" s="15" t="str">
        <x:v>chat.turn_commands에서 permission snapshot ID 값을 저장한다.</x:v>
      </x:c>
      <x:c r="J28" s="15" t="str">
        <x:v>CHECK | CHECK (effective_subject_id IS NOT NULL AND product_release_id IS NOT NULL AND permission_snapshot_id IS NOT NULL AND semantic_release_id IS NOT NULL) NOT VALID</x:v>
      </x:c>
      <x:c r="K28" s="15" t="str">
        <x:v>보안: INTERNAL</x:v>
      </x:c>
    </x:row>
    <x:row r="29" ht="44" customHeight="1">
      <x:c r="A29" s="15" t="n">
        <x:v>13</x:v>
      </x:c>
      <x:c r="B29" s="15" t="str">
        <x:v>semantic_release_id</x:v>
      </x:c>
      <x:c r="C29" s="15" t="str">
        <x:v>semantic 릴리스 ID</x:v>
      </x:c>
      <x:c r="D29" s="15" t="str">
        <x:v>varchar</x:v>
      </x:c>
      <x:c r="E29" s="15" t="n">
        <x:v>256</x:v>
      </x:c>
      <x:c r="F29" s="15"/>
      <x:c r="G29" s="15"/>
      <x:c r="H29" s="15"/>
      <x:c r="I29" s="15" t="str">
        <x:v>chat.turn_commands에서 semantic 릴리스 ID 값을 저장한다.</x:v>
      </x:c>
      <x:c r="J29" s="15" t="str">
        <x:v>CHECK | CHECK (effective_subject_id IS NOT NULL AND product_release_id IS NOT NULL AND permission_snapshot_id IS NOT NULL AND semantic_release_id IS NOT NULL) NOT VALID</x:v>
      </x:c>
      <x:c r="K29" s="15" t="str">
        <x:v>보안: INTERNAL</x:v>
      </x:c>
    </x:row>
    <x:row r="30" ht="44" customHeight="1">
      <x:c r="A30" s="15" t="n">
        <x:v>14</x:v>
      </x:c>
      <x:c r="B30" s="15" t="str">
        <x:v>terminal_at</x:v>
      </x:c>
      <x:c r="C30" s="15" t="str">
        <x:v>terminal 시각</x:v>
      </x:c>
      <x:c r="D30" s="15" t="str">
        <x:v>timestamptz</x:v>
      </x:c>
      <x:c r="E30" s="15"/>
      <x:c r="F30" s="15"/>
      <x:c r="G30" s="15"/>
      <x:c r="H30" s="15"/>
      <x:c r="I30" s="15" t="str">
        <x:v>chat.turn_commands의 terminal 시각을 UTC 기준 시각으로 저장한다.</x:v>
      </x:c>
      <x:c r="J30" s="15"/>
      <x:c r="K30" s="15" t="str">
        <x:v>보안: INTERNAL</x:v>
      </x:c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>
      <x:c r="A32" s="58" t="str">
        <x:v>no</x:v>
      </x:c>
      <x:c r="B32" s="58" t="str">
        <x:v>Index name</x:v>
      </x:c>
      <x:c r="C32" s="58"/>
      <x:c r="D32" s="58" t="str">
        <x:v>Index type</x:v>
      </x:c>
      <x:c r="E32" s="58"/>
      <x:c r="F32" s="58" t="str">
        <x:v>Unique</x:v>
      </x:c>
      <x:c r="G32" s="58"/>
      <x:c r="H32" s="58" t="str">
        <x:v>구성 컬럼</x:v>
      </x:c>
      <x:c r="I32" s="58"/>
      <x:c r="J32" s="58"/>
      <x:c r="K32" s="58"/>
    </x:row>
    <x:row r="33">
      <x:c r="A33" s="15" t="n">
        <x:v>1</x:v>
      </x:c>
      <x:c r="B33" s="15" t="str">
        <x:v>idx_chat_commands_recovery</x:v>
      </x:c>
      <x:c r="C33" s="15"/>
      <x:c r="D33" s="15" t="str">
        <x:v>BTREE</x:v>
      </x:c>
      <x:c r="E33" s="15"/>
      <x:c r="F33" s="15" t="str">
        <x:v>Non-Unique</x:v>
      </x:c>
      <x:c r="G33" s="15"/>
      <x:c r="H33" s="15" t="str">
        <x:v>status, created_at) WHERE ((status)::text = 'RUNNING'::text</x:v>
      </x:c>
      <x:c r="I33" s="15"/>
      <x:c r="J33" s="15"/>
      <x:c r="K33" s="15"/>
    </x:row>
    <x:row r="34">
      <x:c r="A34" s="15" t="n">
        <x:v>2</x:v>
      </x:c>
      <x:c r="B34" s="15" t="str">
        <x:v>turn_commands_conversation_id_idempotency_key_key</x:v>
      </x:c>
      <x:c r="C34" s="15"/>
      <x:c r="D34" s="15" t="str">
        <x:v>BTREE</x:v>
      </x:c>
      <x:c r="E34" s="15"/>
      <x:c r="F34" s="15" t="str">
        <x:v>Unique</x:v>
      </x:c>
      <x:c r="G34" s="15"/>
      <x:c r="H34" s="15" t="str">
        <x:v>conversation_id, idempotency_key</x:v>
      </x:c>
      <x:c r="I34" s="15"/>
      <x:c r="J34" s="15"/>
      <x:c r="K34" s="15"/>
    </x:row>
    <x:row r="35">
      <x:c r="A35" s="15" t="n">
        <x:v>3</x:v>
      </x:c>
      <x:c r="B35" s="15" t="str">
        <x:v>turn_commands_pkey</x:v>
      </x:c>
      <x:c r="C35" s="15"/>
      <x:c r="D35" s="15" t="str">
        <x:v>BTREE</x:v>
      </x:c>
      <x:c r="E35" s="15"/>
      <x:c r="F35" s="15" t="str">
        <x:v>Unique</x:v>
      </x:c>
      <x:c r="G35" s="15"/>
      <x:c r="H35" s="15" t="str">
        <x:v>command_id</x:v>
      </x:c>
      <x:c r="I35" s="15"/>
      <x:c r="J35" s="15"/>
      <x:c r="K35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2:C32"/>
    <x:mergeCell ref="D32:E32"/>
    <x:mergeCell ref="F32:G32"/>
    <x:mergeCell ref="H32:K32"/>
    <x:mergeCell ref="B33:C33"/>
    <x:mergeCell ref="D33:E33"/>
    <x:mergeCell ref="F33:G33"/>
    <x:mergeCell ref="H33:K33"/>
    <x:mergeCell ref="B34:C34"/>
    <x:mergeCell ref="D34:E34"/>
    <x:mergeCell ref="F34:G34"/>
    <x:mergeCell ref="H34:K34"/>
    <x:mergeCell ref="B35:C35"/>
    <x:mergeCell ref="D35:E35"/>
    <x:mergeCell ref="F35:G35"/>
    <x:mergeCell ref="H35:K35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chat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turns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대화 턴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Application PostgreSQL의 대화 턴을 관리한다. 현재 Alembic head 20260828_49에서 재현한 물리 구조다.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turn_id</x:v>
      </x:c>
      <x:c r="C17" s="15" t="str">
        <x:v>턴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 t="str">
        <x:v>gen_random_uuid()</x:v>
      </x:c>
      <x:c r="I17" s="15" t="str">
        <x:v>chat.turns의 한 행을 식별하는 턴 ID 기본키다.</x:v>
      </x:c>
      <x:c r="J17" s="15" t="str">
        <x:v>CHECK | CHECK (jsonb_typeof(source_turn_ids) = 'array'::text) NOT VALID</x:v>
      </x:c>
      <x:c r="K17" s="15" t="str">
        <x:v>보안: INTERNAL</x:v>
      </x:c>
    </x:row>
    <x:row r="18" ht="44" customHeight="1">
      <x:c r="A18" s="15" t="n">
        <x:v>2</x:v>
      </x:c>
      <x:c r="B18" s="15" t="str">
        <x:v>conversation_id</x:v>
      </x:c>
      <x:c r="C18" s="15" t="str">
        <x:v>대화 ID</x:v>
      </x:c>
      <x:c r="D18" s="15" t="str">
        <x:v>uuid</x:v>
      </x:c>
      <x:c r="E18" s="15"/>
      <x:c r="F18" s="15" t="str">
        <x:v>FK</x:v>
      </x:c>
      <x:c r="G18" s="15" t="str">
        <x:v>NOT NULL</x:v>
      </x:c>
      <x:c r="H18" s="15"/>
      <x:c r="I18" s="15" t="str">
        <x:v>chat.conversations.conversation_id를 참조해 chat.turns의 대화 ID 관계를 연결한다.</x:v>
      </x:c>
      <x:c r="J18" s="15" t="str">
        <x:v>물리 FK | chat.conversations.conversation_id</x:v>
      </x:c>
      <x:c r="K18" s="15" t="str">
        <x:v>보안: INTERNAL</x:v>
      </x:c>
    </x:row>
    <x:row r="19" ht="44" customHeight="1">
      <x:c r="A19" s="15" t="n">
        <x:v>3</x:v>
      </x:c>
      <x:c r="B19" s="15" t="str">
        <x:v>turn_index</x:v>
      </x:c>
      <x:c r="C19" s="15" t="str">
        <x:v>턴 index</x:v>
      </x:c>
      <x:c r="D19" s="15" t="str">
        <x:v>integer</x:v>
      </x:c>
      <x:c r="E19" s="15"/>
      <x:c r="F19" s="15" t="str">
        <x:v>UK</x:v>
      </x:c>
      <x:c r="G19" s="15" t="str">
        <x:v>NOT NULL</x:v>
      </x:c>
      <x:c r="H19" s="15"/>
      <x:c r="I19" s="15" t="str">
        <x:v>chat.turns에서 턴 index 값을 저장한다.</x:v>
      </x:c>
      <x:c r="J19" s="15" t="str">
        <x:v>CHECK | CHECK (turn_index &gt;= 0)</x:v>
      </x:c>
      <x:c r="K19" s="15" t="str">
        <x:v>보안: INTERNAL</x:v>
      </x:c>
    </x:row>
    <x:row r="20" ht="44" customHeight="1">
      <x:c r="A20" s="15" t="n">
        <x:v>4</x:v>
      </x:c>
      <x:c r="B20" s="15" t="str">
        <x:v>user_message</x:v>
      </x:c>
      <x:c r="C20" s="15" t="str">
        <x:v>사용자 메시지</x:v>
      </x:c>
      <x:c r="D20" s="15" t="str">
        <x:v>text</x:v>
      </x:c>
      <x:c r="E20" s="15"/>
      <x:c r="F20" s="15"/>
      <x:c r="G20" s="15" t="str">
        <x:v>NOT NULL</x:v>
      </x:c>
      <x:c r="H20" s="15"/>
      <x:c r="I20" s="15" t="str">
        <x:v>chat.turns에서 사용자 메시지 값을 저장한다.</x:v>
      </x:c>
      <x:c r="J20" s="15"/>
      <x:c r="K20" s="15" t="str">
        <x:v>보안: INTERNAL</x:v>
      </x:c>
    </x:row>
    <x:row r="21" ht="44" customHeight="1">
      <x:c r="A21" s="15" t="n">
        <x:v>5</x:v>
      </x:c>
      <x:c r="B21" s="15" t="str">
        <x:v>route</x:v>
      </x:c>
      <x:c r="C21" s="15" t="str">
        <x:v>route</x:v>
      </x:c>
      <x:c r="D21" s="15" t="str">
        <x:v>varchar</x:v>
      </x:c>
      <x:c r="E21" s="15" t="n">
        <x:v>32</x:v>
      </x:c>
      <x:c r="F21" s="15"/>
      <x:c r="G21" s="15" t="str">
        <x:v>NOT NULL</x:v>
      </x:c>
      <x:c r="H21" s="15"/>
      <x:c r="I21" s="15" t="str">
        <x:v>chat.turns에서 route 값을 저장한다.</x:v>
      </x:c>
      <x:c r="J21" s="15" t="str">
        <x:v>CHECK | CHECK (route::text = ANY (ARRAY['ANALYSIS'::character varying, 'PRESENTATION'::character varying, 'REPORT_ACTION'::character varying, 'INTERNAL_GUIDELINE'::character varying]::text[]))</x:v>
      </x:c>
      <x:c r="K21" s="15" t="str">
        <x:v>보안: INTERNAL</x:v>
      </x:c>
    </x:row>
    <x:row r="22" ht="44" customHeight="1">
      <x:c r="A22" s="15" t="n">
        <x:v>6</x:v>
      </x:c>
      <x:c r="B22" s="15" t="str">
        <x:v>source_turn_ids</x:v>
      </x:c>
      <x:c r="C22" s="15" t="str">
        <x:v>소스 턴 ID</x:v>
      </x:c>
      <x:c r="D22" s="15" t="str">
        <x:v>jsonb</x:v>
      </x:c>
      <x:c r="E22" s="15"/>
      <x:c r="F22" s="15"/>
      <x:c r="G22" s="15" t="str">
        <x:v>NOT NULL</x:v>
      </x:c>
      <x:c r="H22" s="15" t="str">
        <x:v>'[]'::jsonb</x:v>
      </x:c>
      <x:c r="I22" s="15" t="str">
        <x:v>chat.turns의 소스 턴 ID 구조를 JSONB로 저장하며 승인된 스키마 계약으로 검증한다.</x:v>
      </x:c>
      <x:c r="J22" s="15" t="str">
        <x:v>CHECK | CHECK (jsonb_typeof(source_turn_ids) = 'array'::text) NOT VALID</x:v>
      </x:c>
      <x:c r="K22" s="15" t="str">
        <x:v>보안: INTERNAL</x:v>
      </x:c>
    </x:row>
    <x:row r="23" ht="44" customHeight="1">
      <x:c r="A23" s="15" t="n">
        <x:v>7</x:v>
      </x:c>
      <x:c r="B23" s="15" t="str">
        <x:v>request_id</x:v>
      </x:c>
      <x:c r="C23" s="15" t="str">
        <x:v>요청 ID</x:v>
      </x:c>
      <x:c r="D23" s="15" t="str">
        <x:v>uuid</x:v>
      </x:c>
      <x:c r="E23" s="15"/>
      <x:c r="F23" s="15" t="str">
        <x:v>FK</x:v>
      </x:c>
      <x:c r="G23" s="15"/>
      <x:c r="H23" s="15"/>
      <x:c r="I23" s="15" t="str">
        <x:v>chat.analysis_requests.request_id를 참조해 chat.turns의 요청 ID 관계를 연결한다.</x:v>
      </x:c>
      <x:c r="J23" s="15" t="str">
        <x:v>물리 FK | chat.analysis_requests.request_id</x:v>
      </x:c>
      <x:c r="K23" s="15" t="str">
        <x:v>보안: INTERNAL</x:v>
      </x:c>
    </x:row>
    <x:row r="24" ht="44" customHeight="1">
      <x:c r="A24" s="15" t="n">
        <x:v>8</x:v>
      </x:c>
      <x:c r="B24" s="15" t="str">
        <x:v>artifact_id</x:v>
      </x:c>
      <x:c r="C24" s="15" t="str">
        <x:v>산출물 ID</x:v>
      </x:c>
      <x:c r="D24" s="15" t="str">
        <x:v>uuid</x:v>
      </x:c>
      <x:c r="E24" s="15"/>
      <x:c r="F24" s="15" t="str">
        <x:v>FK</x:v>
      </x:c>
      <x:c r="G24" s="15"/>
      <x:c r="H24" s="15"/>
      <x:c r="I24" s="15" t="str">
        <x:v>artifact.analysis_artifacts.artifact_id를 참조해 chat.turns의 산출물 ID 관계를 연결한다.</x:v>
      </x:c>
      <x:c r="J24" s="15" t="str">
        <x:v>물리 FK | artifact.analysis_artifacts.artifact_id</x:v>
      </x:c>
      <x:c r="K24" s="15" t="str">
        <x:v>보안: INTERNAL</x:v>
      </x:c>
    </x:row>
    <x:row r="25" ht="44" customHeight="1">
      <x:c r="A25" s="15" t="n">
        <x:v>9</x:v>
      </x:c>
      <x:c r="B25" s="15" t="str">
        <x:v>view_spec_id</x:v>
      </x:c>
      <x:c r="C25" s="15" t="str">
        <x:v>view spec ID</x:v>
      </x:c>
      <x:c r="D25" s="15" t="str">
        <x:v>uuid</x:v>
      </x:c>
      <x:c r="E25" s="15"/>
      <x:c r="F25" s="15" t="str">
        <x:v>FK</x:v>
      </x:c>
      <x:c r="G25" s="15"/>
      <x:c r="H25" s="15"/>
      <x:c r="I25" s="15" t="str">
        <x:v>artifact.view_specs.view_spec_id를 참조해 chat.turns의 view spec ID 관계를 연결한다.</x:v>
      </x:c>
      <x:c r="J25" s="15" t="str">
        <x:v>물리 FK | artifact.view_specs.view_spec_id</x:v>
      </x:c>
      <x:c r="K25" s="15" t="str">
        <x:v>보안: INTERNAL</x:v>
      </x:c>
    </x:row>
    <x:row r="26" ht="44" customHeight="1">
      <x:c r="A26" s="15" t="n">
        <x:v>10</x:v>
      </x:c>
      <x:c r="B26" s="15" t="str">
        <x:v>report_definition_id</x:v>
      </x:c>
      <x:c r="C26" s="15" t="str">
        <x:v>보고서 정의 ID</x:v>
      </x:c>
      <x:c r="D26" s="15" t="str">
        <x:v>uuid</x:v>
      </x:c>
      <x:c r="E26" s="15"/>
      <x:c r="F26" s="15" t="str">
        <x:v>FK</x:v>
      </x:c>
      <x:c r="G26" s="15"/>
      <x:c r="H26" s="15"/>
      <x:c r="I26" s="15" t="str">
        <x:v>report.report_definitions.report_definition_id를 참조해 chat.turns의 보고서 정의 ID 관계를 연결한다.</x:v>
      </x:c>
      <x:c r="J26" s="15" t="str">
        <x:v>물리 FK | report.report_definitions.report_definition_id</x:v>
      </x:c>
      <x:c r="K26" s="15" t="str">
        <x:v>보안: INTERNAL</x:v>
      </x:c>
    </x:row>
    <x:row r="27" ht="44" customHeight="1">
      <x:c r="A27" s="15" t="n">
        <x:v>11</x:v>
      </x:c>
      <x:c r="B27" s="15" t="str">
        <x:v>resolved_slots</x:v>
      </x:c>
      <x:c r="C27" s="15" t="str">
        <x:v>resolved slots</x:v>
      </x:c>
      <x:c r="D27" s="15" t="str">
        <x:v>jsonb</x:v>
      </x:c>
      <x:c r="E27" s="15"/>
      <x:c r="F27" s="15"/>
      <x:c r="G27" s="15" t="str">
        <x:v>NOT NULL</x:v>
      </x:c>
      <x:c r="H27" s="15" t="str">
        <x:v>'{}'::jsonb</x:v>
      </x:c>
      <x:c r="I27" s="15" t="str">
        <x:v>chat.turns의 resolved slots 구조를 JSONB로 저장하며 승인된 스키마 계약으로 검증한다.</x:v>
      </x:c>
      <x:c r="J27" s="15" t="str">
        <x:v>CHECK | CHECK (jsonb_typeof(resolved_slots) = 'object'::text) NOT VALID</x:v>
      </x:c>
      <x:c r="K27" s="15" t="str">
        <x:v>보안: INTERNAL</x:v>
      </x:c>
    </x:row>
    <x:row r="28" ht="44" customHeight="1">
      <x:c r="A28" s="15" t="n">
        <x:v>12</x:v>
      </x:c>
      <x:c r="B28" s="15" t="str">
        <x:v>created_at</x:v>
      </x:c>
      <x:c r="C28" s="15" t="str">
        <x:v>생성 시각</x:v>
      </x:c>
      <x:c r="D28" s="15" t="str">
        <x:v>timestamptz</x:v>
      </x:c>
      <x:c r="E28" s="15"/>
      <x:c r="F28" s="15"/>
      <x:c r="G28" s="15" t="str">
        <x:v>NOT NULL</x:v>
      </x:c>
      <x:c r="H28" s="15" t="str">
        <x:v>now()</x:v>
      </x:c>
      <x:c r="I28" s="15" t="str">
        <x:v>chat.turns의 생성 시각을 UTC 기준 시각으로 저장한다.</x:v>
      </x:c>
      <x:c r="J28" s="15"/>
      <x:c r="K28" s="15" t="str">
        <x:v>보안: INTERNAL</x:v>
      </x:c>
    </x:row>
    <x:row r="29" ht="44" customHeight="1">
      <x:c r="A29" s="15" t="n">
        <x:v>13</x:v>
      </x:c>
      <x:c r="B29" s="15" t="str">
        <x:v>product_release_id</x:v>
      </x:c>
      <x:c r="C29" s="15" t="str">
        <x:v>product 릴리스 ID</x:v>
      </x:c>
      <x:c r="D29" s="15" t="str">
        <x:v>varchar</x:v>
      </x:c>
      <x:c r="E29" s="15" t="n">
        <x:v>160</x:v>
      </x:c>
      <x:c r="F29" s="15" t="str">
        <x:v>FK</x:v>
      </x:c>
      <x:c r="G29" s="15"/>
      <x:c r="H29" s="15"/>
      <x:c r="I29" s="15" t="str">
        <x:v>governance.product_release_manifests.product_release_id를 참조해 chat.turns의 product 릴리스 ID 관계를 연결한다.</x:v>
      </x:c>
      <x:c r="J29" s="15" t="str">
        <x:v>물리 FK | governance.product_release_manifests.product_release_id</x:v>
      </x:c>
      <x:c r="K29" s="15" t="str">
        <x:v>보안: INTERNAL</x:v>
      </x:c>
    </x:row>
    <x:row r="30" ht="44" customHeight="1">
      <x:c r="A30" s="15" t="n">
        <x:v>14</x:v>
      </x:c>
      <x:c r="B30" s="15" t="str">
        <x:v>permission_snapshot_id</x:v>
      </x:c>
      <x:c r="C30" s="15" t="str">
        <x:v>permission snapshot ID</x:v>
      </x:c>
      <x:c r="D30" s="15" t="str">
        <x:v>varchar</x:v>
      </x:c>
      <x:c r="E30" s="15" t="n">
        <x:v>160</x:v>
      </x:c>
      <x:c r="F30" s="15"/>
      <x:c r="G30" s="15"/>
      <x:c r="H30" s="15"/>
      <x:c r="I30" s="15" t="str">
        <x:v>chat.turns에서 permission snapshot ID 값을 저장한다.</x:v>
      </x:c>
      <x:c r="J30" s="15" t="str">
        <x:v>CHECK | CHECK (product_release_id IS NOT NULL AND permission_snapshot_id IS NOT NULL AND semantic_release_id IS NOT NULL) NOT VALID</x:v>
      </x:c>
      <x:c r="K30" s="15" t="str">
        <x:v>보안: INTERNAL</x:v>
      </x:c>
    </x:row>
    <x:row r="31" ht="44" customHeight="1">
      <x:c r="A31" s="15" t="n">
        <x:v>15</x:v>
      </x:c>
      <x:c r="B31" s="15" t="str">
        <x:v>semantic_release_id</x:v>
      </x:c>
      <x:c r="C31" s="15" t="str">
        <x:v>semantic 릴리스 ID</x:v>
      </x:c>
      <x:c r="D31" s="15" t="str">
        <x:v>varchar</x:v>
      </x:c>
      <x:c r="E31" s="15" t="n">
        <x:v>256</x:v>
      </x:c>
      <x:c r="F31" s="15"/>
      <x:c r="G31" s="15"/>
      <x:c r="H31" s="15"/>
      <x:c r="I31" s="15" t="str">
        <x:v>chat.turns에서 semantic 릴리스 ID 값을 저장한다.</x:v>
      </x:c>
      <x:c r="J31" s="15" t="str">
        <x:v>CHECK | CHECK (product_release_id IS NOT NULL AND permission_snapshot_id IS NOT NULL AND semantic_release_id IS NOT NULL) NOT VALID</x:v>
      </x:c>
      <x:c r="K31" s="15" t="str">
        <x:v>보안: INTERNAL</x:v>
      </x:c>
    </x:row>
    <x:row r="32" ht="44" customHeight="1">
      <x:c r="A32" s="15" t="n">
        <x:v>16</x:v>
      </x:c>
      <x:c r="B32" s="15" t="str">
        <x:v>reply_to_turn_id</x:v>
      </x:c>
      <x:c r="C32" s="15" t="str">
        <x:v>reply to 턴 ID</x:v>
      </x:c>
      <x:c r="D32" s="15" t="str">
        <x:v>uuid</x:v>
      </x:c>
      <x:c r="E32" s="15"/>
      <x:c r="F32" s="15" t="str">
        <x:v>FK</x:v>
      </x:c>
      <x:c r="G32" s="15"/>
      <x:c r="H32" s="15"/>
      <x:c r="I32" s="15" t="str">
        <x:v>chat.turns.turn_id를 참조해 chat.turns의 reply to 턴 ID 관계를 연결한다.</x:v>
      </x:c>
      <x:c r="J32" s="15" t="str">
        <x:v>물리 FK | chat.turns.turn_id</x:v>
      </x:c>
      <x:c r="K32" s="15" t="str">
        <x:v>보안: INTERNAL</x:v>
      </x:c>
    </x:row>
    <x:row r="33" ht="44" customHeight="1">
      <x:c r="A33" s="15" t="n">
        <x:v>17</x:v>
      </x:c>
      <x:c r="B33" s="15" t="str">
        <x:v>clarifies_turn_id</x:v>
      </x:c>
      <x:c r="C33" s="15" t="str">
        <x:v>clarifies 턴 ID</x:v>
      </x:c>
      <x:c r="D33" s="15" t="str">
        <x:v>uuid</x:v>
      </x:c>
      <x:c r="E33" s="15"/>
      <x:c r="F33" s="15" t="str">
        <x:v>FK</x:v>
      </x:c>
      <x:c r="G33" s="15"/>
      <x:c r="H33" s="15"/>
      <x:c r="I33" s="15" t="str">
        <x:v>chat.turns.turn_id를 참조해 chat.turns의 clarifies 턴 ID 관계를 연결한다.</x:v>
      </x:c>
      <x:c r="J33" s="15" t="str">
        <x:v>물리 FK | chat.turns.turn_id</x:v>
      </x:c>
      <x:c r="K33" s="15" t="str">
        <x:v>보안: INTERNAL</x:v>
      </x:c>
    </x:row>
    <x:row r="34" ht="44" customHeight="1">
      <x:c r="A34" s="15" t="n">
        <x:v>18</x:v>
      </x:c>
      <x:c r="B34" s="15" t="str">
        <x:v>report_draft_definition_id</x:v>
      </x:c>
      <x:c r="C34" s="15" t="str">
        <x:v>보고서 draft 정의 ID</x:v>
      </x:c>
      <x:c r="D34" s="15" t="str">
        <x:v>uuid</x:v>
      </x:c>
      <x:c r="E34" s="15"/>
      <x:c r="F34" s="15" t="str">
        <x:v>FK</x:v>
      </x:c>
      <x:c r="G34" s="15"/>
      <x:c r="H34" s="15"/>
      <x:c r="I34" s="15" t="str">
        <x:v>report_v1.report_definitions.definition_id를 참조해 chat.turns의 보고서 draft 정의 ID 관계를 연결한다.</x:v>
      </x:c>
      <x:c r="J34" s="15" t="str">
        <x:v>물리 FK | report_v1.report_definitions.definition_id</x:v>
      </x:c>
      <x:c r="K34" s="15" t="str">
        <x:v>보안: INTERNAL</x:v>
      </x:c>
    </x:row>
    <x:row r="35" ht="44" customHeight="1">
      <x:c r="A35" s="15" t="n">
        <x:v>19</x:v>
      </x:c>
      <x:c r="B35" s="15" t="str">
        <x:v>terminal_status</x:v>
      </x:c>
      <x:c r="C35" s="15" t="str">
        <x:v>terminal 상태</x:v>
      </x:c>
      <x:c r="D35" s="15" t="str">
        <x:v>varchar</x:v>
      </x:c>
      <x:c r="E35" s="15" t="n">
        <x:v>16</x:v>
      </x:c>
      <x:c r="F35" s="15"/>
      <x:c r="G35" s="15" t="str">
        <x:v>NOT NULL</x:v>
      </x:c>
      <x:c r="H35" s="15"/>
      <x:c r="I35" s="15" t="str">
        <x:v>chat.turns의 현재 terminal 상태를 저장한다. 허용 범위는 연결된 CHECK 제약과 서비스 계약을 따른다.</x:v>
      </x:c>
      <x:c r="J35" s="15" t="str">
        <x:v>CHECK | CHECK (terminal_status::text = ANY (ARRAY['SUCCEEDED'::character varying, 'BLOCKED'::character varying, 'PARTIAL'::character varying, 'FAILED'::character varying, 'CANCELLED'::character varying]::text[]))</x:v>
      </x:c>
      <x:c r="K35" s="15" t="str">
        <x:v>보안: INTERNAL</x:v>
      </x:c>
    </x:row>
    <x:row r="36" ht="44" customHeight="1">
      <x:c r="A36" s="15" t="n">
        <x:v>20</x:v>
      </x:c>
      <x:c r="B36" s="15" t="str">
        <x:v>reason_code</x:v>
      </x:c>
      <x:c r="C36" s="15" t="str">
        <x:v>사유 코드</x:v>
      </x:c>
      <x:c r="D36" s="15" t="str">
        <x:v>varchar</x:v>
      </x:c>
      <x:c r="E36" s="15" t="n">
        <x:v>64</x:v>
      </x:c>
      <x:c r="F36" s="15"/>
      <x:c r="G36" s="15"/>
      <x:c r="H36" s="15"/>
      <x:c r="I36" s="15" t="str">
        <x:v>chat.turns에서 사유 코드 값을 저장한다.</x:v>
      </x:c>
      <x:c r="J36" s="15" t="str">
        <x:v>CHECK | CHECK (reason_code IS NULL OR btrim(reason_code::text) &lt;&gt; ''::text)</x:v>
      </x:c>
      <x:c r="K36" s="15" t="str">
        <x:v>보안: INTERNAL</x:v>
      </x:c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</x:row>
    <x:row r="38">
      <x:c r="A38" s="58" t="str">
        <x:v>no</x:v>
      </x:c>
      <x:c r="B38" s="58" t="str">
        <x:v>Index name</x:v>
      </x:c>
      <x:c r="C38" s="58"/>
      <x:c r="D38" s="58" t="str">
        <x:v>Index type</x:v>
      </x:c>
      <x:c r="E38" s="58"/>
      <x:c r="F38" s="58" t="str">
        <x:v>Unique</x:v>
      </x:c>
      <x:c r="G38" s="58"/>
      <x:c r="H38" s="58" t="str">
        <x:v>구성 컬럼</x:v>
      </x:c>
      <x:c r="I38" s="58"/>
      <x:c r="J38" s="58"/>
      <x:c r="K38" s="58"/>
    </x:row>
    <x:row r="39">
      <x:c r="A39" s="15" t="n">
        <x:v>1</x:v>
      </x:c>
      <x:c r="B39" s="15" t="str">
        <x:v>idx_chat_turns_conv</x:v>
      </x:c>
      <x:c r="C39" s="15"/>
      <x:c r="D39" s="15" t="str">
        <x:v>BTREE</x:v>
      </x:c>
      <x:c r="E39" s="15"/>
      <x:c r="F39" s="15" t="str">
        <x:v>Non-Unique</x:v>
      </x:c>
      <x:c r="G39" s="15"/>
      <x:c r="H39" s="15" t="str">
        <x:v>conversation_id, turn_index</x:v>
      </x:c>
      <x:c r="I39" s="15"/>
      <x:c r="J39" s="15"/>
      <x:c r="K39" s="15"/>
    </x:row>
    <x:row r="40">
      <x:c r="A40" s="15" t="n">
        <x:v>2</x:v>
      </x:c>
      <x:c r="B40" s="15" t="str">
        <x:v>turns_conversation_id_turn_index_key</x:v>
      </x:c>
      <x:c r="C40" s="15"/>
      <x:c r="D40" s="15" t="str">
        <x:v>BTREE</x:v>
      </x:c>
      <x:c r="E40" s="15"/>
      <x:c r="F40" s="15" t="str">
        <x:v>Unique</x:v>
      </x:c>
      <x:c r="G40" s="15"/>
      <x:c r="H40" s="15" t="str">
        <x:v>conversation_id, turn_index</x:v>
      </x:c>
      <x:c r="I40" s="15"/>
      <x:c r="J40" s="15"/>
      <x:c r="K40" s="15"/>
    </x:row>
    <x:row r="41">
      <x:c r="A41" s="15" t="n">
        <x:v>3</x:v>
      </x:c>
      <x:c r="B41" s="15" t="str">
        <x:v>turns_pkey</x:v>
      </x:c>
      <x:c r="C41" s="15"/>
      <x:c r="D41" s="15" t="str">
        <x:v>BTREE</x:v>
      </x:c>
      <x:c r="E41" s="15"/>
      <x:c r="F41" s="15" t="str">
        <x:v>Unique</x:v>
      </x:c>
      <x:c r="G41" s="15"/>
      <x:c r="H41" s="15" t="str">
        <x:v>turn_id</x:v>
      </x:c>
      <x:c r="I41" s="15"/>
      <x:c r="J41" s="15"/>
      <x:c r="K41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8:C38"/>
    <x:mergeCell ref="D38:E38"/>
    <x:mergeCell ref="F38:G38"/>
    <x:mergeCell ref="H38:K38"/>
    <x:mergeCell ref="B39:C39"/>
    <x:mergeCell ref="D39:E39"/>
    <x:mergeCell ref="F39:G39"/>
    <x:mergeCell ref="H39:K39"/>
    <x:mergeCell ref="B40:C40"/>
    <x:mergeCell ref="D40:E40"/>
    <x:mergeCell ref="F40:G40"/>
    <x:mergeCell ref="H40:K40"/>
    <x:mergeCell ref="B41:C41"/>
    <x:mergeCell ref="D41:E41"/>
    <x:mergeCell ref="F41:G41"/>
    <x:mergeCell ref="H41:K4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connection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data_sources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데이터 소스 연결 정보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Answervice가 연결하는 PMS·POS·CRM·시설·연회 원천별 접속 메타데이터를 관리한다. 한 행은 논리 source_code, DataHub platform instance·recipe, Trino catalog, 비밀값이 아닌 credential 참조를 1:1로 묶은 연결 계약 1건이며, 실제 비밀번호나 접속 문자열은 저장하지 않는다.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data_source_id</x:v>
      </x:c>
      <x:c r="C17" s="15" t="str">
        <x:v>데이터 소스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 t="str">
        <x:v>gen_random_uuid()</x:v>
      </x:c>
      <x:c r="I17" s="15" t="str">
        <x:v>Answervice에 등록된 데이터 원천 연결 1건을 식별하는 UUID 기본키다. ingestion_runs와 source health·감사 이력에서 동일 연결을 추적할 때 사용하며 생성 후 변경하지 않는다.</x:v>
      </x:c>
      <x:c r="J17" s="15" t="str">
        <x:v>참조됨 | connection.ingestion_runs.data_source_id</x:v>
      </x:c>
      <x:c r="K17" s="15" t="str">
        <x:v>보안: INTERNAL</x:v>
      </x:c>
    </x:row>
    <x:row r="18" ht="44" customHeight="1">
      <x:c r="A18" s="15" t="n">
        <x:v>2</x:v>
      </x:c>
      <x:c r="B18" s="15" t="str">
        <x:v>source_code</x:v>
      </x:c>
      <x:c r="C18" s="15" t="str">
        <x:v>소스 코드</x:v>
      </x:c>
      <x:c r="D18" s="15" t="str">
        <x:v>varchar</x:v>
      </x:c>
      <x:c r="E18" s="15" t="n">
        <x:v>32</x:v>
      </x:c>
      <x:c r="F18" s="15" t="str">
        <x:v>UK</x:v>
      </x:c>
      <x:c r="G18" s="15" t="str">
        <x:v>NOT NULL</x:v>
      </x:c>
      <x:c r="H18" s="15"/>
      <x:c r="I18" s="15" t="str">
        <x:v>업무 원천의 논리 구분 코드다. PMS, POS, CRM, FACILITY, BANQUET 중 하나만 허용하며 platform_instance·trino_catalog·recipe를 원천별로 1:1 분리하는 기준이 된다.</x:v>
      </x:c>
      <x:c r="J18" s="15" t="str">
        <x:v>코드 기준 | PMS, POS, CRM, FACILITY, BANQUET</x:v>
      </x:c>
      <x:c r="K18" s="15" t="str">
        <x:v>보안: INTERNAL</x:v>
      </x:c>
    </x:row>
    <x:row r="19" ht="44" customHeight="1">
      <x:c r="A19" s="15" t="n">
        <x:v>3</x:v>
      </x:c>
      <x:c r="B19" s="15" t="str">
        <x:v>source_name</x:v>
      </x:c>
      <x:c r="C19" s="15" t="str">
        <x:v>소스명</x:v>
      </x:c>
      <x:c r="D19" s="15" t="str">
        <x:v>varchar</x:v>
      </x:c>
      <x:c r="E19" s="15" t="n">
        <x:v>120</x:v>
      </x:c>
      <x:c r="F19" s="15"/>
      <x:c r="G19" s="15" t="str">
        <x:v>NOT NULL</x:v>
      </x:c>
      <x:c r="H19" s="15"/>
      <x:c r="I19" s="15" t="str">
        <x:v>관리 화면과 운영 로그에 표시하는 원천의 사람이 읽을 수 있는 명칭이다. 접속 주소나 계정명은 포함하지 않고 source_code의 설명용 라벨로만 사용한다.</x:v>
      </x:c>
      <x:c r="J19" s="15"/>
      <x:c r="K19" s="15" t="str">
        <x:v>보안: INTERNAL</x:v>
      </x:c>
    </x:row>
    <x:row r="20" ht="44" customHeight="1">
      <x:c r="A20" s="15" t="n">
        <x:v>4</x:v>
      </x:c>
      <x:c r="B20" s="15" t="str">
        <x:v>engine_type</x:v>
      </x:c>
      <x:c r="C20" s="15" t="str">
        <x:v>엔진</x:v>
      </x:c>
      <x:c r="D20" s="15" t="str">
        <x:v>varchar</x:v>
      </x:c>
      <x:c r="E20" s="15" t="n">
        <x:v>24</x:v>
      </x:c>
      <x:c r="F20" s="15"/>
      <x:c r="G20" s="15" t="str">
        <x:v>NOT NULL</x:v>
      </x:c>
      <x:c r="H20" s="15"/>
      <x:c r="I20" s="15" t="str">
        <x:v>해당 원천 DB의 엔진 종류를 나타낸다. POSTGRESQL, MYSQL, SQLSERVER, CLICKHOUSE 중 하나이며 adapter·DDL·health check 방식을 결정하는 기준이다.</x:v>
      </x:c>
      <x:c r="J20" s="15" t="str">
        <x:v>CHECK | CHECK (engine_type::text = ANY (ARRAY['POSTGRESQL'::character varying, 'MYSQL'::character varying, 'SQLSERVER'::character varying, 'CLICKHOUSE'::character varying]::text[]))</x:v>
      </x:c>
      <x:c r="K20" s="15" t="str">
        <x:v>보안: INTERNAL</x:v>
      </x:c>
    </x:row>
    <x:row r="21" ht="44" customHeight="1">
      <x:c r="A21" s="15" t="n">
        <x:v>5</x:v>
      </x:c>
      <x:c r="B21" s="15" t="str">
        <x:v>platform_instance</x:v>
      </x:c>
      <x:c r="C21" s="15" t="str">
        <x:v>DataHub platform instance</x:v>
      </x:c>
      <x:c r="D21" s="15" t="str">
        <x:v>varchar</x:v>
      </x:c>
      <x:c r="E21" s="15" t="n">
        <x:v>128</x:v>
      </x:c>
      <x:c r="F21" s="15" t="str">
        <x:v>UK</x:v>
      </x:c>
      <x:c r="G21" s="15" t="str">
        <x:v>NOT NULL</x:v>
      </x:c>
      <x:c r="H21" s="15"/>
      <x:c r="I21" s="15" t="str">
        <x:v>DataHub에서 동일 플랫폼의 여러 원천을 구분하는 platform instance 식별자다. 5개 source가 서로 섞이지 않도록 source_code별 고유값을 사용한다.</x:v>
      </x:c>
      <x:c r="J21" s="15"/>
      <x:c r="K21" s="15" t="str">
        <x:v>보안: INTERNAL</x:v>
      </x:c>
    </x:row>
    <x:row r="22" ht="44" customHeight="1">
      <x:c r="A22" s="15" t="n">
        <x:v>6</x:v>
      </x:c>
      <x:c r="B22" s="15" t="str">
        <x:v>trino_catalog</x:v>
      </x:c>
      <x:c r="C22" s="15" t="str">
        <x:v>Trino catalog</x:v>
      </x:c>
      <x:c r="D22" s="15" t="str">
        <x:v>varchar</x:v>
      </x:c>
      <x:c r="E22" s="15" t="n">
        <x:v>128</x:v>
      </x:c>
      <x:c r="F22" s="15" t="str">
        <x:v>UK</x:v>
      </x:c>
      <x:c r="G22" s="15" t="str">
        <x:v>NOT NULL</x:v>
      </x:c>
      <x:c r="H22" s="15"/>
      <x:c r="I22" s="15" t="str">
        <x:v>Trino가 해당 원천을 조회할 때 사용하는 catalog 이름이다. source_code와 1:1로 대응하며 승인된 catalog 외 쿼리를 차단하는 권한 검증에 사용한다.</x:v>
      </x:c>
      <x:c r="J22" s="15"/>
      <x:c r="K22" s="15" t="str">
        <x:v>보안: INTERNAL</x:v>
      </x:c>
    </x:row>
    <x:row r="23" ht="44" customHeight="1">
      <x:c r="A23" s="15" t="n">
        <x:v>7</x:v>
      </x:c>
      <x:c r="B23" s="15" t="str">
        <x:v>datahub_recipe_ref</x:v>
      </x:c>
      <x:c r="C23" s="15" t="str">
        <x:v>recipe 참조</x:v>
      </x:c>
      <x:c r="D23" s="15" t="str">
        <x:v>varchar</x:v>
      </x:c>
      <x:c r="E23" s="15" t="n">
        <x:v>255</x:v>
      </x:c>
      <x:c r="F23" s="15"/>
      <x:c r="G23" s="15" t="str">
        <x:v>NOT NULL</x:v>
      </x:c>
      <x:c r="H23" s="15"/>
      <x:c r="I23" s="15" t="str">
        <x:v>DataHub ingestion 설정 파일의 버전 고정 경로 또는 식별자다. 실행 시 사용한 recipe를 재현할 수 있어야 하며 비밀번호·토큰은 포함하지 않는다.</x:v>
      </x:c>
      <x:c r="J23" s="15"/>
      <x:c r="K23" s="15" t="str">
        <x:v>보안: INTERNAL</x:v>
      </x:c>
    </x:row>
    <x:row r="24" ht="44" customHeight="1">
      <x:c r="A24" s="15" t="n">
        <x:v>8</x:v>
      </x:c>
      <x:c r="B24" s="15" t="str">
        <x:v>connection_ref</x:v>
      </x:c>
      <x:c r="C24" s="15" t="str">
        <x:v>credential 참조</x:v>
      </x:c>
      <x:c r="D24" s="15" t="str">
        <x:v>varchar</x:v>
      </x:c>
      <x:c r="E24" s="15" t="n">
        <x:v>255</x:v>
      </x:c>
      <x:c r="F24" s="15"/>
      <x:c r="G24" s="15" t="str">
        <x:v>NOT NULL</x:v>
      </x:c>
      <x:c r="H24" s="15"/>
      <x:c r="I24" s="15" t="str">
        <x:v>실제 접속 정보가 저장된 .env 또는 Secret Manager 항목의 참조명이다. DB 비밀번호·토큰·접속 문자열 원문은 이 컬럼에 저장하지 않는다.</x:v>
      </x:c>
      <x:c r="J24" s="15" t="str">
        <x:v>CHECK | CHECK (connection_ref::text !~* '(password|token|secret)='::text)</x:v>
      </x:c>
      <x:c r="K24" s="15" t="str">
        <x:v>보안: SECRET_REF</x:v>
      </x:c>
    </x:row>
    <x:row r="25" ht="44" customHeight="1">
      <x:c r="A25" s="15" t="n">
        <x:v>9</x:v>
      </x:c>
      <x:c r="B25" s="15" t="str">
        <x:v>owner_team</x:v>
      </x:c>
      <x:c r="C25" s="15" t="str">
        <x:v>담당 조직</x:v>
      </x:c>
      <x:c r="D25" s="15" t="str">
        <x:v>varchar</x:v>
      </x:c>
      <x:c r="E25" s="15" t="n">
        <x:v>100</x:v>
      </x:c>
      <x:c r="F25" s="15"/>
      <x:c r="G25" s="15" t="str">
        <x:v>NOT NULL</x:v>
      </x:c>
      <x:c r="H25" s="15"/>
      <x:c r="I25" s="15" t="str">
        <x:v>원천 스키마·품질·접속 승인에 책임을 지는 담당 조직 코드다. 장애·변경 승인과 DataHub 소유자 표시의 기준으로 사용한다.</x:v>
      </x:c>
      <x:c r="J25" s="15"/>
      <x:c r="K25" s="15" t="str">
        <x:v>보안: INTERNAL</x:v>
      </x:c>
    </x:row>
    <x:row r="26" ht="44" customHeight="1">
      <x:c r="A26" s="15" t="n">
        <x:v>10</x:v>
      </x:c>
      <x:c r="B26" s="15" t="str">
        <x:v>status</x:v>
      </x:c>
      <x:c r="C26" s="15" t="str">
        <x:v>상태</x:v>
      </x:c>
      <x:c r="D26" s="15" t="str">
        <x:v>varchar</x:v>
      </x:c>
      <x:c r="E26" s="15" t="n">
        <x:v>16</x:v>
      </x:c>
      <x:c r="F26" s="15"/>
      <x:c r="G26" s="15" t="str">
        <x:v>NOT NULL</x:v>
      </x:c>
      <x:c r="H26" s="15"/>
      <x:c r="I26" s="15" t="str">
        <x:v>데이터 소스 연결 정보 레코드의 현재 처리 단계 또는 사용 가능 상태를 나타낸다. 허용값은 DRAFT, ACTIVE, ERROR, DISABLED이며 상태 전이는 업무 규칙과 감사 이벤트로 추적한다.</x:v>
      </x:c>
      <x:c r="J26" s="15" t="str">
        <x:v>CHECK | CHECK (last_health_status::text = ANY (ARRAY['HEALTHY'::character varying, 'DEGRADED'::character varying, 'DOWN'::character varying, 'UNKNOWN'::character varying]::text[]))</x:v>
      </x:c>
      <x:c r="K26" s="15" t="str">
        <x:v>보안: INTERNAL</x:v>
      </x:c>
    </x:row>
    <x:row r="27" ht="44" customHeight="1">
      <x:c r="A27" s="15" t="n">
        <x:v>11</x:v>
      </x:c>
      <x:c r="B27" s="15" t="str">
        <x:v>last_health_status</x:v>
      </x:c>
      <x:c r="C27" s="15" t="str">
        <x:v>최근 health</x:v>
      </x:c>
      <x:c r="D27" s="15" t="str">
        <x:v>varchar</x:v>
      </x:c>
      <x:c r="E27" s="15" t="n">
        <x:v>16</x:v>
      </x:c>
      <x:c r="F27" s="15"/>
      <x:c r="G27" s="15"/>
      <x:c r="H27" s="15"/>
      <x:c r="I27" s="15" t="str">
        <x:v>가장 최근 source health 점검 결과다. HEALTHY, DEGRADED, DOWN, UNKNOWN 중 하나이며 DataHub ingestion health와 Trino catalog health를 종합한 표시값으로 사용한다.</x:v>
      </x:c>
      <x:c r="J27" s="15" t="str">
        <x:v>CHECK | CHECK (last_health_status::text = ANY (ARRAY['HEALTHY'::character varying, 'DEGRADED'::character varying, 'DOWN'::character varying, 'UNKNOWN'::character varying]::text[]))</x:v>
      </x:c>
      <x:c r="K27" s="15" t="str">
        <x:v>보안: INTERNAL</x:v>
      </x:c>
    </x:row>
    <x:row r="28" ht="44" customHeight="1">
      <x:c r="A28" s="15" t="n">
        <x:v>12</x:v>
      </x:c>
      <x:c r="B28" s="15" t="str">
        <x:v>last_health_at</x:v>
      </x:c>
      <x:c r="C28" s="15" t="str">
        <x:v>최근 점검 시각</x:v>
      </x:c>
      <x:c r="D28" s="15" t="str">
        <x:v>timestamptz</x:v>
      </x:c>
      <x:c r="E28" s="15"/>
      <x:c r="F28" s="15"/>
      <x:c r="G28" s="15"/>
      <x:c r="H28" s="15"/>
      <x:c r="I28" s="15" t="str">
        <x:v>last_health_status가 계산된 최근 점검 시각이다. UTC로 저장하며 상태값만 갱신하고 시각을 누락하는 것을 허용하지 않는다.</x:v>
      </x:c>
      <x:c r="J28" s="15"/>
      <x:c r="K28" s="15" t="str">
        <x:v>보안: INTERNAL</x:v>
      </x:c>
    </x:row>
    <x:row r="29" ht="44" customHeight="1">
      <x:c r="A29" s="15" t="n">
        <x:v>13</x:v>
      </x:c>
      <x:c r="B29" s="15" t="str">
        <x:v>created_at</x:v>
      </x:c>
      <x:c r="C29" s="15" t="str">
        <x:v>생성 시각</x:v>
      </x:c>
      <x:c r="D29" s="15" t="str">
        <x:v>timestamptz</x:v>
      </x:c>
      <x:c r="E29" s="15"/>
      <x:c r="F29" s="15"/>
      <x:c r="G29" s="15" t="str">
        <x:v>NOT NULL</x:v>
      </x:c>
      <x:c r="H29" s="15" t="str">
        <x:v>now()</x:v>
      </x:c>
      <x:c r="I29" s="15" t="str">
        <x:v>생성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9" s="15"/>
      <x:c r="K29" s="15" t="str">
        <x:v>보안: INTERNAL</x:v>
      </x:c>
    </x:row>
    <x:row r="30" ht="44" customHeight="1">
      <x:c r="A30" s="15" t="n">
        <x:v>14</x:v>
      </x:c>
      <x:c r="B30" s="15" t="str">
        <x:v>updated_at</x:v>
      </x:c>
      <x:c r="C30" s="15" t="str">
        <x:v>수정 시각</x:v>
      </x:c>
      <x:c r="D30" s="15" t="str">
        <x:v>timestamptz</x:v>
      </x:c>
      <x:c r="E30" s="15"/>
      <x:c r="F30" s="15"/>
      <x:c r="G30" s="15" t="str">
        <x:v>NOT NULL</x:v>
      </x:c>
      <x:c r="H30" s="15" t="str">
        <x:v>now()</x:v>
      </x:c>
      <x:c r="I30" s="15" t="str">
        <x:v>수정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30" s="15"/>
      <x:c r="K30" s="15" t="str">
        <x:v>보안: INTERNAL</x:v>
      </x:c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>
      <x:c r="A32" s="58" t="str">
        <x:v>no</x:v>
      </x:c>
      <x:c r="B32" s="58" t="str">
        <x:v>Index name</x:v>
      </x:c>
      <x:c r="C32" s="58"/>
      <x:c r="D32" s="58" t="str">
        <x:v>Index type</x:v>
      </x:c>
      <x:c r="E32" s="58"/>
      <x:c r="F32" s="58" t="str">
        <x:v>Unique</x:v>
      </x:c>
      <x:c r="G32" s="58"/>
      <x:c r="H32" s="58" t="str">
        <x:v>구성 컬럼</x:v>
      </x:c>
      <x:c r="I32" s="58"/>
      <x:c r="J32" s="58"/>
      <x:c r="K32" s="58"/>
    </x:row>
    <x:row r="33">
      <x:c r="A33" s="15" t="n">
        <x:v>1</x:v>
      </x:c>
      <x:c r="B33" s="15" t="str">
        <x:v>data_sources_pkey</x:v>
      </x:c>
      <x:c r="C33" s="15"/>
      <x:c r="D33" s="15" t="str">
        <x:v>BTREE</x:v>
      </x:c>
      <x:c r="E33" s="15"/>
      <x:c r="F33" s="15" t="str">
        <x:v>Unique</x:v>
      </x:c>
      <x:c r="G33" s="15"/>
      <x:c r="H33" s="15" t="str">
        <x:v>data_source_id</x:v>
      </x:c>
      <x:c r="I33" s="15"/>
      <x:c r="J33" s="15"/>
      <x:c r="K33" s="15"/>
    </x:row>
    <x:row r="34">
      <x:c r="A34" s="15" t="n">
        <x:v>2</x:v>
      </x:c>
      <x:c r="B34" s="15" t="str">
        <x:v>data_sources_platform_instance_key</x:v>
      </x:c>
      <x:c r="C34" s="15"/>
      <x:c r="D34" s="15" t="str">
        <x:v>BTREE</x:v>
      </x:c>
      <x:c r="E34" s="15"/>
      <x:c r="F34" s="15" t="str">
        <x:v>Unique</x:v>
      </x:c>
      <x:c r="G34" s="15"/>
      <x:c r="H34" s="15" t="str">
        <x:v>platform_instance</x:v>
      </x:c>
      <x:c r="I34" s="15"/>
      <x:c r="J34" s="15"/>
      <x:c r="K34" s="15"/>
    </x:row>
    <x:row r="35">
      <x:c r="A35" s="15" t="n">
        <x:v>3</x:v>
      </x:c>
      <x:c r="B35" s="15" t="str">
        <x:v>data_sources_source_code_key</x:v>
      </x:c>
      <x:c r="C35" s="15"/>
      <x:c r="D35" s="15" t="str">
        <x:v>BTREE</x:v>
      </x:c>
      <x:c r="E35" s="15"/>
      <x:c r="F35" s="15" t="str">
        <x:v>Unique</x:v>
      </x:c>
      <x:c r="G35" s="15"/>
      <x:c r="H35" s="15" t="str">
        <x:v>source_code</x:v>
      </x:c>
      <x:c r="I35" s="15"/>
      <x:c r="J35" s="15"/>
      <x:c r="K35" s="15"/>
    </x:row>
    <x:row r="36">
      <x:c r="A36" s="15" t="n">
        <x:v>4</x:v>
      </x:c>
      <x:c r="B36" s="15" t="str">
        <x:v>data_sources_trino_catalog_key</x:v>
      </x:c>
      <x:c r="C36" s="15"/>
      <x:c r="D36" s="15" t="str">
        <x:v>BTREE</x:v>
      </x:c>
      <x:c r="E36" s="15"/>
      <x:c r="F36" s="15" t="str">
        <x:v>Unique</x:v>
      </x:c>
      <x:c r="G36" s="15"/>
      <x:c r="H36" s="15" t="str">
        <x:v>trino_catalog</x:v>
      </x:c>
      <x:c r="I36" s="15"/>
      <x:c r="J36" s="15"/>
      <x:c r="K36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2:C32"/>
    <x:mergeCell ref="D32:E32"/>
    <x:mergeCell ref="F32:G32"/>
    <x:mergeCell ref="H32:K32"/>
    <x:mergeCell ref="B33:C33"/>
    <x:mergeCell ref="D33:E33"/>
    <x:mergeCell ref="F33:G33"/>
    <x:mergeCell ref="H33:K33"/>
    <x:mergeCell ref="B34:C34"/>
    <x:mergeCell ref="D34:E34"/>
    <x:mergeCell ref="F34:G34"/>
    <x:mergeCell ref="H34:K34"/>
    <x:mergeCell ref="B35:C35"/>
    <x:mergeCell ref="D35:E35"/>
    <x:mergeCell ref="F35:G35"/>
    <x:mergeCell ref="H35:K35"/>
    <x:mergeCell ref="B36:C36"/>
    <x:mergeCell ref="D36:E36"/>
    <x:mergeCell ref="F36:G36"/>
    <x:mergeCell ref="H36:K36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connection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ingestion_runs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메타데이터 수집 실행 이력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DataHub 메타데이터 수집 작업의 실행 단위를 기록한다. 한 행은 특정 data source에 대해 사용한 recipe 버전, 실행 상태, 수집 자산·컬럼 수, 시작·종료 시각과 비식별 오류를 보관하여 수집 성공 여부와 재현성을 확인하는 이력 1건이다.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ingestion_run_id</x:v>
      </x:c>
      <x:c r="C17" s="15" t="str">
        <x:v>ingestion 실행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 t="str">
        <x:v>gen_random_uuid()</x:v>
      </x:c>
      <x:c r="I17" s="15" t="str">
        <x:v>메타데이터 수집 실행 이력의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15"/>
      <x:c r="K17" s="15" t="str">
        <x:v>보안: INTERNAL</x:v>
      </x:c>
    </x:row>
    <x:row r="18" ht="44" customHeight="1">
      <x:c r="A18" s="15" t="n">
        <x:v>2</x:v>
      </x:c>
      <x:c r="B18" s="15" t="str">
        <x:v>data_source_id</x:v>
      </x:c>
      <x:c r="C18" s="15" t="str">
        <x:v>데이터 소스 ID</x:v>
      </x:c>
      <x:c r="D18" s="15" t="str">
        <x:v>uuid</x:v>
      </x:c>
      <x:c r="E18" s="15"/>
      <x:c r="F18" s="15" t="str">
        <x:v>FK</x:v>
      </x:c>
      <x:c r="G18" s="15" t="str">
        <x:v>NOT NULL</x:v>
      </x:c>
      <x:c r="H18" s="15"/>
      <x:c r="I18" s="15" t="str">
        <x:v>데이터 소스 ID를 hotel_datahub_app.connection.data_sources.data_source_id와 연결하는 물리 외래키다. 반드시 존재하는 상위 행을 참조해야 한다.</x:v>
      </x:c>
      <x:c r="J18" s="15" t="str">
        <x:v>물리 FK | connection.data_sources.data_source_id</x:v>
      </x:c>
      <x:c r="K18" s="15" t="str">
        <x:v>보안: INTERNAL</x:v>
      </x:c>
    </x:row>
    <x:row r="19" ht="44" customHeight="1">
      <x:c r="A19" s="15" t="n">
        <x:v>3</x:v>
      </x:c>
      <x:c r="B19" s="15" t="str">
        <x:v>datahub_run_id</x:v>
      </x:c>
      <x:c r="C19" s="15" t="str">
        <x:v>DataHub 실행 ID</x:v>
      </x:c>
      <x:c r="D19" s="15" t="str">
        <x:v>varchar</x:v>
      </x:c>
      <x:c r="E19" s="15" t="n">
        <x:v>160</x:v>
      </x:c>
      <x:c r="F19" s="15"/>
      <x:c r="G19" s="15"/>
      <x:c r="H19" s="15"/>
      <x:c r="I19" s="15" t="str">
        <x:v>DataHub GMS 또는 CLI가 반환한 실제 ingestion 실행 식별자다. 외부 실행 로그와 Application 이력을 상호 추적할 때 사용하며 실행 전에는 NULL일 수 있다.</x:v>
      </x:c>
      <x:c r="J19" s="15"/>
      <x:c r="K19" s="15" t="str">
        <x:v>보안: INTERNAL</x:v>
      </x:c>
    </x:row>
    <x:row r="20" ht="44" customHeight="1">
      <x:c r="A20" s="15" t="n">
        <x:v>4</x:v>
      </x:c>
      <x:c r="B20" s="15" t="str">
        <x:v>recipe_version</x:v>
      </x:c>
      <x:c r="C20" s="15" t="str">
        <x:v>recipe 버전</x:v>
      </x:c>
      <x:c r="D20" s="15" t="str">
        <x:v>varchar</x:v>
      </x:c>
      <x:c r="E20" s="15" t="n">
        <x:v>64</x:v>
      </x:c>
      <x:c r="F20" s="15"/>
      <x:c r="G20" s="15" t="str">
        <x:v>NOT NULL</x:v>
      </x:c>
      <x:c r="H20" s="15"/>
      <x:c r="I20" s="15" t="str">
        <x:v>해당 수집 실행에 적용한 recipe·container image의 고정 버전이다. 동일 원천을 재실행할 때 자산 수 차이의 원인을 비교하는 재현성 기준이다.</x:v>
      </x:c>
      <x:c r="J20" s="15"/>
      <x:c r="K20" s="15" t="str">
        <x:v>보안: INTERNAL</x:v>
      </x:c>
    </x:row>
    <x:row r="21" ht="44" customHeight="1">
      <x:c r="A21" s="15" t="n">
        <x:v>5</x:v>
      </x:c>
      <x:c r="B21" s="15" t="str">
        <x:v>status</x:v>
      </x:c>
      <x:c r="C21" s="15" t="str">
        <x:v>상태</x:v>
      </x:c>
      <x:c r="D21" s="15" t="str">
        <x:v>varchar</x:v>
      </x:c>
      <x:c r="E21" s="15" t="n">
        <x:v>16</x:v>
      </x:c>
      <x:c r="F21" s="15"/>
      <x:c r="G21" s="15" t="str">
        <x:v>NOT NULL</x:v>
      </x:c>
      <x:c r="H21" s="15"/>
      <x:c r="I21" s="15" t="str">
        <x:v>메타데이터 수집 실행 이력 레코드의 현재 처리 단계 또는 사용 가능 상태를 나타낸다. 허용값은 PENDING, RUNNING, SUCCEEDED, PARTIAL, FAILED이며 상태 전이는 업무 규칙과 감사 이벤트로 추적한다.</x:v>
      </x:c>
      <x:c r="J21" s="15" t="str">
        <x:v>CHECK | CHECK (status::text = ANY (ARRAY['PENDING'::character varying, 'RUNNING'::character varying, 'SUCCEEDED'::character varying, 'PARTIAL'::character varying, 'FAILED'::character varying]::text[]))</x:v>
      </x:c>
      <x:c r="K21" s="15" t="str">
        <x:v>보안: INTERNAL</x:v>
      </x:c>
    </x:row>
    <x:row r="22" ht="44" customHeight="1">
      <x:c r="A22" s="15" t="n">
        <x:v>6</x:v>
      </x:c>
      <x:c r="B22" s="15" t="str">
        <x:v>asset_count</x:v>
      </x:c>
      <x:c r="C22" s="15" t="str">
        <x:v>자산 수</x:v>
      </x:c>
      <x:c r="D22" s="15" t="str">
        <x:v>integer</x:v>
      </x:c>
      <x:c r="E22" s="15"/>
      <x:c r="F22" s="15"/>
      <x:c r="G22" s="15" t="str">
        <x:v>NOT NULL</x:v>
      </x:c>
      <x:c r="H22" s="15"/>
      <x:c r="I22" s="15" t="str">
        <x:v>수집 실행에서 생성 또는 갱신된 DataHub 자산 수다. 사전에 정의한 fixture 자산 수와 비교하며 음수는 허용하지 않는다.</x:v>
      </x:c>
      <x:c r="J22" s="15" t="str">
        <x:v>CHECK | CHECK (asset_count &gt;= 0)</x:v>
      </x:c>
      <x:c r="K22" s="15" t="str">
        <x:v>보안: INTERNAL</x:v>
      </x:c>
    </x:row>
    <x:row r="23" ht="44" customHeight="1">
      <x:c r="A23" s="15" t="n">
        <x:v>7</x:v>
      </x:c>
      <x:c r="B23" s="15" t="str">
        <x:v>column_count</x:v>
      </x:c>
      <x:c r="C23" s="15" t="str">
        <x:v>컬럼 수</x:v>
      </x:c>
      <x:c r="D23" s="15" t="str">
        <x:v>integer</x:v>
      </x:c>
      <x:c r="E23" s="15"/>
      <x:c r="F23" s="15"/>
      <x:c r="G23" s="15" t="str">
        <x:v>NOT NULL</x:v>
      </x:c>
      <x:c r="H23" s="15"/>
      <x:c r="I23" s="15" t="str">
        <x:v>수집된 전체 스키마 컬럼 수다. 예상 명세와 대조해 누락·과수집을 확인하며 음수는 허용하지 않는다.</x:v>
      </x:c>
      <x:c r="J23" s="15" t="str">
        <x:v>CHECK | CHECK (column_count &gt;= 0)</x:v>
      </x:c>
      <x:c r="K23" s="15" t="str">
        <x:v>보안: INTERNAL</x:v>
      </x:c>
    </x:row>
    <x:row r="24" ht="44" customHeight="1">
      <x:c r="A24" s="15" t="n">
        <x:v>8</x:v>
      </x:c>
      <x:c r="B24" s="15" t="str">
        <x:v>started_at</x:v>
      </x:c>
      <x:c r="C24" s="15" t="str">
        <x:v>시작 시각</x:v>
      </x:c>
      <x:c r="D24" s="15" t="str">
        <x:v>timestamptz</x:v>
      </x:c>
      <x:c r="E24" s="15"/>
      <x:c r="F24" s="15"/>
      <x:c r="G24" s="15"/>
      <x:c r="H24" s="15"/>
      <x:c r="I24" s="15" t="str">
        <x:v>시작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4" s="15" t="str">
        <x:v>CHECK | CHECK (completed_at IS NULL OR started_at IS NULL OR completed_at &gt;= started_at)</x:v>
      </x:c>
      <x:c r="K24" s="15" t="str">
        <x:v>보안: INTERNAL</x:v>
      </x:c>
    </x:row>
    <x:row r="25" ht="44" customHeight="1">
      <x:c r="A25" s="15" t="n">
        <x:v>9</x:v>
      </x:c>
      <x:c r="B25" s="15" t="str">
        <x:v>completed_at</x:v>
      </x:c>
      <x:c r="C25" s="15" t="str">
        <x:v>완료 시각</x:v>
      </x:c>
      <x:c r="D25" s="15" t="str">
        <x:v>timestamptz</x:v>
      </x:c>
      <x:c r="E25" s="15"/>
      <x:c r="F25" s="15"/>
      <x:c r="G25" s="15"/>
      <x:c r="H25" s="15"/>
      <x:c r="I25" s="15" t="str">
        <x:v>완료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5" s="15" t="str">
        <x:v>CHECK | CHECK (completed_at IS NULL OR started_at IS NULL OR completed_at &gt;= started_at)</x:v>
      </x:c>
      <x:c r="K25" s="15" t="str">
        <x:v>보안: INTERNAL</x:v>
      </x:c>
    </x:row>
    <x:row r="26" ht="44" customHeight="1">
      <x:c r="A26" s="15" t="n">
        <x:v>10</x:v>
      </x:c>
      <x:c r="B26" s="15" t="str">
        <x:v>error_code</x:v>
      </x:c>
      <x:c r="C26" s="15" t="str">
        <x:v>오류 코드</x:v>
      </x:c>
      <x:c r="D26" s="15" t="str">
        <x:v>varchar</x:v>
      </x:c>
      <x:c r="E26" s="15" t="n">
        <x:v>64</x:v>
      </x:c>
      <x:c r="F26" s="15"/>
      <x:c r="G26" s="15"/>
      <x:c r="H26" s="15"/>
      <x:c r="I26" s="15" t="str">
        <x:v>오류 코드: 자유서술이 아닌 승인 코드로 저장한다. 자유서술 대신 승인된 코드 도메인을 사용해 source 간 집계와 필터 조건을 일관되게 유지한다.</x:v>
      </x:c>
      <x:c r="J26" s="15"/>
      <x:c r="K26" s="15" t="str">
        <x:v>보안: INTERNAL</x:v>
      </x:c>
    </x:row>
    <x:row r="27" ht="44" customHeight="1">
      <x:c r="A27" s="15" t="n">
        <x:v>11</x:v>
      </x:c>
      <x:c r="B27" s="15" t="str">
        <x:v>error_message_redacted</x:v>
      </x:c>
      <x:c r="C27" s="15" t="str">
        <x:v>비식별 오류</x:v>
      </x:c>
      <x:c r="D27" s="15" t="str">
        <x:v>text</x:v>
      </x:c>
      <x:c r="E27" s="15"/>
      <x:c r="F27" s="15"/>
      <x:c r="G27" s="15"/>
      <x:c r="H27" s="15"/>
      <x:c r="I27" s="15" t="str">
        <x:v>수집 실패 원인을 운영자가 파악할 수 있도록 비식별화한 오류 메시지다. 접속 문자열, 계정, 토큰, 원문 쿼리 파라미터는 제거한 뒤 저장한다.</x:v>
      </x:c>
      <x:c r="J27" s="15"/>
      <x:c r="K27" s="15" t="str">
        <x:v>보안: CONFIDENTIAL</x:v>
      </x:c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>
      <x:c r="A29" s="58" t="str">
        <x:v>no</x:v>
      </x:c>
      <x:c r="B29" s="58" t="str">
        <x:v>Index name</x:v>
      </x:c>
      <x:c r="C29" s="58"/>
      <x:c r="D29" s="58" t="str">
        <x:v>Index type</x:v>
      </x:c>
      <x:c r="E29" s="58"/>
      <x:c r="F29" s="58" t="str">
        <x:v>Unique</x:v>
      </x:c>
      <x:c r="G29" s="58"/>
      <x:c r="H29" s="58" t="str">
        <x:v>구성 컬럼</x:v>
      </x:c>
      <x:c r="I29" s="58"/>
      <x:c r="J29" s="58"/>
      <x:c r="K29" s="58"/>
    </x:row>
    <x:row r="30">
      <x:c r="A30" s="15" t="n">
        <x:v>1</x:v>
      </x:c>
      <x:c r="B30" s="15" t="str">
        <x:v>idx_ingestion_runs_source</x:v>
      </x:c>
      <x:c r="C30" s="15"/>
      <x:c r="D30" s="15" t="str">
        <x:v>BTREE</x:v>
      </x:c>
      <x:c r="E30" s="15"/>
      <x:c r="F30" s="15" t="str">
        <x:v>Non-Unique</x:v>
      </x:c>
      <x:c r="G30" s="15"/>
      <x:c r="H30" s="15" t="str">
        <x:v>data_source_id</x:v>
      </x:c>
      <x:c r="I30" s="15"/>
      <x:c r="J30" s="15"/>
      <x:c r="K30" s="15"/>
    </x:row>
    <x:row r="31">
      <x:c r="A31" s="15" t="n">
        <x:v>2</x:v>
      </x:c>
      <x:c r="B31" s="15" t="str">
        <x:v>ingestion_runs_pkey</x:v>
      </x:c>
      <x:c r="C31" s="15"/>
      <x:c r="D31" s="15" t="str">
        <x:v>BTREE</x:v>
      </x:c>
      <x:c r="E31" s="15"/>
      <x:c r="F31" s="15" t="str">
        <x:v>Unique</x:v>
      </x:c>
      <x:c r="G31" s="15"/>
      <x:c r="H31" s="15" t="str">
        <x:v>ingestion_run_id</x:v>
      </x:c>
      <x:c r="I31" s="15"/>
      <x:c r="J31" s="15"/>
      <x:c r="K31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29:C29"/>
    <x:mergeCell ref="D29:E29"/>
    <x:mergeCell ref="F29:G29"/>
    <x:mergeCell ref="H29:K29"/>
    <x:mergeCell ref="B30:C30"/>
    <x:mergeCell ref="D30:E30"/>
    <x:mergeCell ref="F30:G30"/>
    <x:mergeCell ref="H30:K30"/>
    <x:mergeCell ref="B31:C31"/>
    <x:mergeCell ref="D31:E31"/>
    <x:mergeCell ref="F31:G31"/>
    <x:mergeCell ref="H31:K3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context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analysis_templates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분석 템플릿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Application PostgreSQL의 분석 템플릿을 관리한다. 현재 Alembic head 20260828_49에서 재현한 물리 구조다.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template_id</x:v>
      </x:c>
      <x:c r="C17" s="15" t="str">
        <x:v>template ID</x:v>
      </x:c>
      <x:c r="D17" s="15" t="str">
        <x:v>varchar</x:v>
      </x:c>
      <x:c r="E17" s="15" t="n">
        <x:v>128</x:v>
      </x:c>
      <x:c r="F17" s="15" t="str">
        <x:v>PK</x:v>
      </x:c>
      <x:c r="G17" s="15" t="str">
        <x:v>NOT NULL</x:v>
      </x:c>
      <x:c r="H17" s="15"/>
      <x:c r="I17" s="15" t="str">
        <x:v>context.analysis_templates의 한 행을 식별하는 template ID 기본키다.</x:v>
      </x:c>
      <x:c r="J17" s="15"/>
      <x:c r="K17" s="15" t="str">
        <x:v>보안: INTERNAL</x:v>
      </x:c>
    </x:row>
    <x:row r="18" ht="44" customHeight="1">
      <x:c r="A18" s="15" t="n">
        <x:v>2</x:v>
      </x:c>
      <x:c r="B18" s="15" t="str">
        <x:v>version</x:v>
      </x:c>
      <x:c r="C18" s="15" t="str">
        <x:v>버전</x:v>
      </x:c>
      <x:c r="D18" s="15" t="str">
        <x:v>varchar</x:v>
      </x:c>
      <x:c r="E18" s="15" t="n">
        <x:v>64</x:v>
      </x:c>
      <x:c r="F18" s="15" t="str">
        <x:v>UK</x:v>
      </x:c>
      <x:c r="G18" s="15" t="str">
        <x:v>NOT NULL</x:v>
      </x:c>
      <x:c r="H18" s="15"/>
      <x:c r="I18" s="15" t="str">
        <x:v>context.analysis_templates에서 버전 값을 저장한다.</x:v>
      </x:c>
      <x:c r="J18" s="15"/>
      <x:c r="K18" s="15" t="str">
        <x:v>보안: INTERNAL</x:v>
      </x:c>
    </x:row>
    <x:row r="19" ht="44" customHeight="1">
      <x:c r="A19" s="15" t="n">
        <x:v>3</x:v>
      </x:c>
      <x:c r="B19" s="15" t="str">
        <x:v>status</x:v>
      </x:c>
      <x:c r="C19" s="15" t="str">
        <x:v>상태</x:v>
      </x:c>
      <x:c r="D19" s="15" t="str">
        <x:v>varchar</x:v>
      </x:c>
      <x:c r="E19" s="15" t="n">
        <x:v>16</x:v>
      </x:c>
      <x:c r="F19" s="15"/>
      <x:c r="G19" s="15" t="str">
        <x:v>NOT NULL</x:v>
      </x:c>
      <x:c r="H19" s="15"/>
      <x:c r="I19" s="15" t="str">
        <x:v>context.analysis_templates의 현재 상태를 저장한다. 허용 범위는 연결된 CHECK 제약과 서비스 계약을 따른다.</x:v>
      </x:c>
      <x:c r="J19" s="15" t="str">
        <x:v>CHECK | CHECK (status::text = ANY (ARRAY['DRAFT'::character varying, 'APPROVED'::character varying, 'RETIRED'::character varying]::text[]))</x:v>
      </x:c>
      <x:c r="K19" s="15" t="str">
        <x:v>보안: INTERNAL</x:v>
      </x:c>
    </x:row>
    <x:row r="20" ht="44" customHeight="1">
      <x:c r="A20" s="15" t="n">
        <x:v>4</x:v>
      </x:c>
      <x:c r="B20" s="15" t="str">
        <x:v>parameter_names_json</x:v>
      </x:c>
      <x:c r="C20" s="15" t="str">
        <x:v>parameter names json</x:v>
      </x:c>
      <x:c r="D20" s="15" t="str">
        <x:v>jsonb</x:v>
      </x:c>
      <x:c r="E20" s="15"/>
      <x:c r="F20" s="15"/>
      <x:c r="G20" s="15" t="str">
        <x:v>NOT NULL</x:v>
      </x:c>
      <x:c r="H20" s="15"/>
      <x:c r="I20" s="15" t="str">
        <x:v>context.analysis_templates의 parameter names json 구조를 JSONB로 저장하며 승인된 스키마 계약으로 검증한다.</x:v>
      </x:c>
      <x:c r="J20" s="15"/>
      <x:c r="K20" s="15" t="str">
        <x:v>보안: INTERNAL</x:v>
      </x:c>
    </x:row>
    <x:row r="21" ht="44" customHeight="1">
      <x:c r="A21" s="15" t="n">
        <x:v>5</x:v>
      </x:c>
      <x:c r="B21" s="15" t="str">
        <x:v>requires_g1</x:v>
      </x:c>
      <x:c r="C21" s="15" t="str">
        <x:v>requires g1</x:v>
      </x:c>
      <x:c r="D21" s="15" t="str">
        <x:v>boolean</x:v>
      </x:c>
      <x:c r="E21" s="15"/>
      <x:c r="F21" s="15"/>
      <x:c r="G21" s="15" t="str">
        <x:v>NOT NULL</x:v>
      </x:c>
      <x:c r="H21" s="15" t="str">
        <x:v>true</x:v>
      </x:c>
      <x:c r="I21" s="15" t="str">
        <x:v>context.analysis_templates에서 requires g1 값을 저장한다.</x:v>
      </x:c>
      <x:c r="J21" s="15" t="str">
        <x:v>CHECK | CHECK (requires_g1)</x:v>
      </x:c>
      <x:c r="K21" s="15" t="str">
        <x:v>보안: INTERNAL</x:v>
      </x:c>
    </x:row>
    <x:row r="22" ht="44" customHeight="1">
      <x:c r="A22" s="15" t="n">
        <x:v>6</x:v>
      </x:c>
      <x:c r="B22" s="15" t="str">
        <x:v>requires_g2</x:v>
      </x:c>
      <x:c r="C22" s="15" t="str">
        <x:v>requires g2</x:v>
      </x:c>
      <x:c r="D22" s="15" t="str">
        <x:v>boolean</x:v>
      </x:c>
      <x:c r="E22" s="15"/>
      <x:c r="F22" s="15"/>
      <x:c r="G22" s="15" t="str">
        <x:v>NOT NULL</x:v>
      </x:c>
      <x:c r="H22" s="15" t="str">
        <x:v>true</x:v>
      </x:c>
      <x:c r="I22" s="15" t="str">
        <x:v>context.analysis_templates에서 requires g2 값을 저장한다.</x:v>
      </x:c>
      <x:c r="J22" s="15" t="str">
        <x:v>CHECK | CHECK (requires_g2)</x:v>
      </x:c>
      <x:c r="K22" s="15" t="str">
        <x:v>보안: INTERNAL</x:v>
      </x:c>
    </x:row>
    <x:row r="23" ht="44" customHeight="1">
      <x:c r="A23" s="15" t="n">
        <x:v>7</x:v>
      </x:c>
      <x:c r="B23" s="15" t="str">
        <x:v>approved_by</x:v>
      </x:c>
      <x:c r="C23" s="15" t="str">
        <x:v>approved by</x:v>
      </x:c>
      <x:c r="D23" s="15" t="str">
        <x:v>uuid</x:v>
      </x:c>
      <x:c r="E23" s="15"/>
      <x:c r="F23" s="15"/>
      <x:c r="G23" s="15"/>
      <x:c r="H23" s="15"/>
      <x:c r="I23" s="15" t="str">
        <x:v>context.analysis_templates에서 approved by 값을 저장한다.</x:v>
      </x:c>
      <x:c r="J23" s="15"/>
      <x:c r="K23" s="15" t="str">
        <x:v>보안: INTERNAL</x:v>
      </x:c>
    </x:row>
    <x:row r="24" ht="44" customHeight="1">
      <x:c r="A24" s="15" t="n">
        <x:v>8</x:v>
      </x:c>
      <x:c r="B24" s="15" t="str">
        <x:v>approved_at</x:v>
      </x:c>
      <x:c r="C24" s="15" t="str">
        <x:v>approved 시각</x:v>
      </x:c>
      <x:c r="D24" s="15" t="str">
        <x:v>timestamptz</x:v>
      </x:c>
      <x:c r="E24" s="15"/>
      <x:c r="F24" s="15"/>
      <x:c r="G24" s="15"/>
      <x:c r="H24" s="15"/>
      <x:c r="I24" s="15" t="str">
        <x:v>context.analysis_templates의 approved 시각을 UTC 기준 시각으로 저장한다.</x:v>
      </x:c>
      <x:c r="J24" s="15"/>
      <x:c r="K24" s="15" t="str">
        <x:v>보안: INTERNAL</x:v>
      </x:c>
    </x:row>
    <x:row r="25" ht="44" customHeight="1">
      <x:c r="A25" s="15" t="n">
        <x:v>9</x:v>
      </x:c>
      <x:c r="B25" s="15" t="str">
        <x:v>sql_text</x:v>
      </x:c>
      <x:c r="C25" s="15" t="str">
        <x:v>sql text</x:v>
      </x:c>
      <x:c r="D25" s="15" t="str">
        <x:v>text</x:v>
      </x:c>
      <x:c r="E25" s="15"/>
      <x:c r="F25" s="15"/>
      <x:c r="G25" s="15" t="str">
        <x:v>NOT NULL</x:v>
      </x:c>
      <x:c r="H25" s="15"/>
      <x:c r="I25" s="15" t="str">
        <x:v>context.analysis_templates에서 sql text 값을 저장한다.</x:v>
      </x:c>
      <x:c r="J25" s="15"/>
      <x:c r="K25" s="15" t="str">
        <x:v>보안: CONFIDENTIAL</x:v>
      </x:c>
    </x:row>
    <x:row r="26" ht="44" customHeight="1">
      <x:c r="A26" s="15" t="n">
        <x:v>10</x:v>
      </x:c>
      <x:c r="B26" s="15" t="str">
        <x:v>source_fqns_json</x:v>
      </x:c>
      <x:c r="C26" s="15" t="str">
        <x:v>소스 fqns json</x:v>
      </x:c>
      <x:c r="D26" s="15" t="str">
        <x:v>jsonb</x:v>
      </x:c>
      <x:c r="E26" s="15"/>
      <x:c r="F26" s="15"/>
      <x:c r="G26" s="15" t="str">
        <x:v>NOT NULL</x:v>
      </x:c>
      <x:c r="H26" s="15"/>
      <x:c r="I26" s="15" t="str">
        <x:v>context.analysis_templates의 소스 fqns json 구조를 JSONB로 저장하며 승인된 스키마 계약으로 검증한다.</x:v>
      </x:c>
      <x:c r="J26" s="15"/>
      <x:c r="K26" s="15" t="str">
        <x:v>보안: INTERNAL</x:v>
      </x:c>
    </x:row>
    <x:row r="27" ht="44" customHeight="1">
      <x:c r="A27" s="15" t="n">
        <x:v>11</x:v>
      </x:c>
      <x:c r="B27" s="15" t="str">
        <x:v>allowed_roles_json</x:v>
      </x:c>
      <x:c r="C27" s="15" t="str">
        <x:v>allowed roles json</x:v>
      </x:c>
      <x:c r="D27" s="15" t="str">
        <x:v>jsonb</x:v>
      </x:c>
      <x:c r="E27" s="15"/>
      <x:c r="F27" s="15"/>
      <x:c r="G27" s="15" t="str">
        <x:v>NOT NULL</x:v>
      </x:c>
      <x:c r="H27" s="15" t="str">
        <x:v>'[]'::jsonb</x:v>
      </x:c>
      <x:c r="I27" s="15" t="str">
        <x:v>context.analysis_templates의 allowed roles json 구조를 JSONB로 저장하며 승인된 스키마 계약으로 검증한다.</x:v>
      </x:c>
      <x:c r="J27" s="15" t="str">
        <x:v>CHECK | CHECK (context.valid_analysis_template_roles(allowed_roles_json) AND (status::text &lt;&gt; 'APPROVED'::text OR jsonb_array_length(allowed_roles_json) &gt; 0))</x:v>
      </x:c>
      <x:c r="K27" s="15" t="str">
        <x:v>보안: INTERNAL</x:v>
      </x:c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>
      <x:c r="A29" s="58" t="str">
        <x:v>no</x:v>
      </x:c>
      <x:c r="B29" s="58" t="str">
        <x:v>Index name</x:v>
      </x:c>
      <x:c r="C29" s="58"/>
      <x:c r="D29" s="58" t="str">
        <x:v>Index type</x:v>
      </x:c>
      <x:c r="E29" s="58"/>
      <x:c r="F29" s="58" t="str">
        <x:v>Unique</x:v>
      </x:c>
      <x:c r="G29" s="58"/>
      <x:c r="H29" s="58" t="str">
        <x:v>구성 컬럼</x:v>
      </x:c>
      <x:c r="I29" s="58"/>
      <x:c r="J29" s="58"/>
      <x:c r="K29" s="58"/>
    </x:row>
    <x:row r="30">
      <x:c r="A30" s="15" t="n">
        <x:v>1</x:v>
      </x:c>
      <x:c r="B30" s="15" t="str">
        <x:v>analysis_templates_pkey</x:v>
      </x:c>
      <x:c r="C30" s="15"/>
      <x:c r="D30" s="15" t="str">
        <x:v>BTREE</x:v>
      </x:c>
      <x:c r="E30" s="15"/>
      <x:c r="F30" s="15" t="str">
        <x:v>Unique</x:v>
      </x:c>
      <x:c r="G30" s="15"/>
      <x:c r="H30" s="15" t="str">
        <x:v>template_id</x:v>
      </x:c>
      <x:c r="I30" s="15"/>
      <x:c r="J30" s="15"/>
      <x:c r="K30" s="15"/>
    </x:row>
    <x:row r="31">
      <x:c r="A31" s="15" t="n">
        <x:v>2</x:v>
      </x:c>
      <x:c r="B31" s="15" t="str">
        <x:v>analysis_templates_template_id_version_key</x:v>
      </x:c>
      <x:c r="C31" s="15"/>
      <x:c r="D31" s="15" t="str">
        <x:v>BTREE</x:v>
      </x:c>
      <x:c r="E31" s="15"/>
      <x:c r="F31" s="15" t="str">
        <x:v>Unique</x:v>
      </x:c>
      <x:c r="G31" s="15"/>
      <x:c r="H31" s="15" t="str">
        <x:v>template_id, version</x:v>
      </x:c>
      <x:c r="I31" s="15"/>
      <x:c r="J31" s="15"/>
      <x:c r="K31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29:C29"/>
    <x:mergeCell ref="D29:E29"/>
    <x:mergeCell ref="F29:G29"/>
    <x:mergeCell ref="H29:K29"/>
    <x:mergeCell ref="B30:C30"/>
    <x:mergeCell ref="D30:E30"/>
    <x:mergeCell ref="F30:G30"/>
    <x:mergeCell ref="H30:K30"/>
    <x:mergeCell ref="B31:C31"/>
    <x:mergeCell ref="D31:E31"/>
    <x:mergeCell ref="F31:G31"/>
    <x:mergeCell ref="H31:K3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context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context_packages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요청별 컨텍스트 패키지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개별 분석 요청에 전달되는 최소 LLM 컨텍스트 패키지를 저장한다. 사용자 역할 범위, 허용 자산·지표·조인·정책을 승인 release에서 선별하고 데이터셋·컬럼·토큰 상한과 package hash를 함께 기록한다.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context_package_id</x:v>
      </x:c>
      <x:c r="C17" s="15" t="str">
        <x:v>Context Package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 t="str">
        <x:v>gen_random_uuid()</x:v>
      </x:c>
      <x:c r="I17" s="15" t="str">
        <x:v>요청별 컨텍스트 패키지의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15" t="str">
        <x:v>참조됨 | chat.analysis_requests.context_package_id</x:v>
      </x:c>
      <x:c r="K17" s="15" t="str">
        <x:v>보안: INTERNAL</x:v>
      </x:c>
    </x:row>
    <x:row r="18" ht="44" customHeight="1">
      <x:c r="A18" s="15" t="n">
        <x:v>2</x:v>
      </x:c>
      <x:c r="B18" s="15" t="str">
        <x:v>request_id</x:v>
      </x:c>
      <x:c r="C18" s="15" t="str">
        <x:v>요청 ID</x:v>
      </x:c>
      <x:c r="D18" s="15" t="str">
        <x:v>uuid</x:v>
      </x:c>
      <x:c r="E18" s="15"/>
      <x:c r="F18" s="15" t="str">
        <x:v>FK</x:v>
      </x:c>
      <x:c r="G18" s="15" t="str">
        <x:v>NOT NULL</x:v>
      </x:c>
      <x:c r="H18" s="15"/>
      <x:c r="I18" s="15" t="str">
        <x:v>요청 ID를 hotel_datahub_app.chat.analysis_requests.request_id와 연결하는 물리 외래키다. 반드시 존재하는 상위 행을 참조해야 한다.</x:v>
      </x:c>
      <x:c r="J18" s="15" t="str">
        <x:v>물리 FK | chat.analysis_requests.request_id</x:v>
      </x:c>
      <x:c r="K18" s="15" t="str">
        <x:v>보안: INTERNAL</x:v>
      </x:c>
    </x:row>
    <x:row r="19" ht="44" customHeight="1">
      <x:c r="A19" s="15" t="n">
        <x:v>3</x:v>
      </x:c>
      <x:c r="B19" s="15" t="str">
        <x:v>context_release_id</x:v>
      </x:c>
      <x:c r="C19" s="15" t="str">
        <x:v>Context release ID</x:v>
      </x:c>
      <x:c r="D19" s="15" t="str">
        <x:v>uuid</x:v>
      </x:c>
      <x:c r="E19" s="15"/>
      <x:c r="F19" s="15" t="str">
        <x:v>FK</x:v>
      </x:c>
      <x:c r="G19" s="15"/>
      <x:c r="H19" s="15"/>
      <x:c r="I19" s="15" t="str">
        <x:v>Context release ID를 hotel_datahub_app.context.context_releases.context_release_id와 연결하는 물리 외래키다. 반드시 존재하는 상위 행을 참조해야 한다.</x:v>
      </x:c>
      <x:c r="J19" s="15" t="str">
        <x:v>물리 FK | context.context_releases.context_release_id</x:v>
      </x:c>
      <x:c r="K19" s="15" t="str">
        <x:v>보안: INTERNAL</x:v>
      </x:c>
    </x:row>
    <x:row r="20" ht="44" customHeight="1">
      <x:c r="A20" s="15" t="n">
        <x:v>4</x:v>
      </x:c>
      <x:c r="B20" s="15" t="str">
        <x:v>user_scope_json</x:v>
      </x:c>
      <x:c r="C20" s="15" t="str">
        <x:v>사용자 scope</x:v>
      </x:c>
      <x:c r="D20" s="15" t="str">
        <x:v>jsonb</x:v>
      </x:c>
      <x:c r="E20" s="15"/>
      <x:c r="F20" s="15"/>
      <x:c r="G20" s="15" t="str">
        <x:v>NOT NULL</x:v>
      </x:c>
      <x:c r="H20" s="15"/>
      <x:c r="I20" s="15" t="str">
        <x:v>요청 시점 사용자 역할과 허용 업무 도메인·데이터 범위를 저장한다. 후속 권한 검증은 현재 역할이 아니라 이 snapshot과 정책 버전을 함께 사용한다.</x:v>
      </x:c>
      <x:c r="J20" s="15" t="str">
        <x:v>구조 기준 | 해당 컬럼의 승인 JSON Schema</x:v>
      </x:c>
      <x:c r="K20" s="15" t="str">
        <x:v>보안: POLICY</x:v>
      </x:c>
    </x:row>
    <x:row r="21" ht="44" customHeight="1">
      <x:c r="A21" s="15" t="n">
        <x:v>5</x:v>
      </x:c>
      <x:c r="B21" s="15" t="str">
        <x:v>assets_json</x:v>
      </x:c>
      <x:c r="C21" s="15" t="str">
        <x:v>선택 자산</x:v>
      </x:c>
      <x:c r="D21" s="15" t="str">
        <x:v>jsonb</x:v>
      </x:c>
      <x:c r="E21" s="15"/>
      <x:c r="F21" s="15"/>
      <x:c r="G21" s="15" t="str">
        <x:v>NOT NULL</x:v>
      </x:c>
      <x:c r="H21" s="15"/>
      <x:c r="I21" s="15" t="str">
        <x:v>질문 처리에 실제로 허용된 DataHub URN, Trino FQN, 컬럼 목록을 저장한다. 최대 8개 데이터셋·60개 컬럼 범위 안에서 최소 자산만 포함한다.</x:v>
      </x:c>
      <x:c r="J21" s="15" t="str">
        <x:v>구조 기준 | 해당 컬럼의 승인 JSON Schema</x:v>
      </x:c>
      <x:c r="K21" s="15" t="str">
        <x:v>보안: INTERNAL</x:v>
      </x:c>
    </x:row>
    <x:row r="22" ht="44" customHeight="1">
      <x:c r="A22" s="15" t="n">
        <x:v>6</x:v>
      </x:c>
      <x:c r="B22" s="15" t="str">
        <x:v>metrics_json</x:v>
      </x:c>
      <x:c r="C22" s="15" t="str">
        <x:v>승인 지표</x:v>
      </x:c>
      <x:c r="D22" s="15" t="str">
        <x:v>jsonb</x:v>
      </x:c>
      <x:c r="E22" s="15"/>
      <x:c r="F22" s="15"/>
      <x:c r="G22" s="15" t="str">
        <x:v>NOT NULL</x:v>
      </x:c>
      <x:c r="H22" s="15"/>
      <x:c r="I22" s="15" t="str">
        <x:v>사용할 수 있는 승인 지표의 ID, 원천 필드, 집계 방식, 단위와 분모 규칙을 저장한다. LLM이 임의의 KPI 식을 만들지 못하도록 제한한다.</x:v>
      </x:c>
      <x:c r="J22" s="15" t="str">
        <x:v>구조 기준 | 해당 컬럼의 승인 JSON Schema</x:v>
      </x:c>
      <x:c r="K22" s="15" t="str">
        <x:v>보안: INTERNAL</x:v>
      </x:c>
    </x:row>
    <x:row r="23" ht="44" customHeight="1">
      <x:c r="A23" s="15" t="n">
        <x:v>7</x:v>
      </x:c>
      <x:c r="B23" s="15" t="str">
        <x:v>joins_json</x:v>
      </x:c>
      <x:c r="C23" s="15" t="str">
        <x:v>승인 JOIN</x:v>
      </x:c>
      <x:c r="D23" s="15" t="str">
        <x:v>jsonb</x:v>
      </x:c>
      <x:c r="E23" s="15"/>
      <x:c r="F23" s="15"/>
      <x:c r="G23" s="15" t="str">
        <x:v>NOT NULL</x:v>
      </x:c>
      <x:c r="H23" s="15"/>
      <x:c r="I23" s="15" t="str">
        <x:v>허용된 조인 키, 방향, cardinality, 유효기간 조건과 승인 상태를 저장한다. 여기에 없는 cross-source 조인은 SQL 검증 단계에서 차단한다.</x:v>
      </x:c>
      <x:c r="J23" s="15" t="str">
        <x:v>구조 기준 | 해당 컬럼의 승인 JSON Schema</x:v>
      </x:c>
      <x:c r="K23" s="15" t="str">
        <x:v>보안: POLICY</x:v>
      </x:c>
    </x:row>
    <x:row r="24" ht="44" customHeight="1">
      <x:c r="A24" s="15" t="n">
        <x:v>8</x:v>
      </x:c>
      <x:c r="B24" s="15" t="str">
        <x:v>policies_json</x:v>
      </x:c>
      <x:c r="C24" s="15" t="str">
        <x:v>실행 정책</x:v>
      </x:c>
      <x:c r="D24" s="15" t="str">
        <x:v>jsonb</x:v>
      </x:c>
      <x:c r="E24" s="15"/>
      <x:c r="F24" s="15"/>
      <x:c r="G24" s="15" t="str">
        <x:v>NOT NULL</x:v>
      </x:c>
      <x:c r="H24" s="15"/>
      <x:c r="I24" s="15" t="str">
        <x:v>read-only, 허용 statement·함수, row limit, timeout, 컬럼 마스킹 등 실행 정책을 저장한다. 생성 SQL과 Trino 실행 양쪽에서 동일하게 적용한다.</x:v>
      </x:c>
      <x:c r="J24" s="15" t="str">
        <x:v>구조 기준 | 해당 컬럼의 승인 JSON Schema</x:v>
      </x:c>
      <x:c r="K24" s="15" t="str">
        <x:v>보안: POLICY</x:v>
      </x:c>
    </x:row>
    <x:row r="25" ht="44" customHeight="1">
      <x:c r="A25" s="15" t="n">
        <x:v>9</x:v>
      </x:c>
      <x:c r="B25" s="15" t="str">
        <x:v>dataset_count</x:v>
      </x:c>
      <x:c r="C25" s="15" t="str">
        <x:v>dataset 수</x:v>
      </x:c>
      <x:c r="D25" s="15" t="str">
        <x:v>smallint</x:v>
      </x:c>
      <x:c r="E25" s="15"/>
      <x:c r="F25" s="15"/>
      <x:c r="G25" s="15" t="str">
        <x:v>NOT NULL</x:v>
      </x:c>
      <x:c r="H25" s="15"/>
      <x:c r="I25" s="15" t="str">
        <x:v>assets_json에 포함된 데이터셋 수다. 패키지 생성 시 계산하며 P0 상한 8개를 초과하면 요청을 실행하지 않는다.</x:v>
      </x:c>
      <x:c r="J25" s="15" t="str">
        <x:v>CHECK | CHECK (dataset_count &gt;= 0 AND dataset_count &lt;= 8)</x:v>
      </x:c>
      <x:c r="K25" s="15" t="str">
        <x:v>보안: POLICY</x:v>
      </x:c>
    </x:row>
    <x:row r="26" ht="44" customHeight="1">
      <x:c r="A26" s="15" t="n">
        <x:v>10</x:v>
      </x:c>
      <x:c r="B26" s="15" t="str">
        <x:v>column_count</x:v>
      </x:c>
      <x:c r="C26" s="15" t="str">
        <x:v>column 수</x:v>
      </x:c>
      <x:c r="D26" s="15" t="str">
        <x:v>smallint</x:v>
      </x:c>
      <x:c r="E26" s="15"/>
      <x:c r="F26" s="15"/>
      <x:c r="G26" s="15" t="str">
        <x:v>NOT NULL</x:v>
      </x:c>
      <x:c r="H26" s="15"/>
      <x:c r="I26" s="15" t="str">
        <x:v>assets_json에 포함된 전체 컬럼 수다. 패키지 생성 시 계산하며 P0 상한 60개를 초과하면 축소 또는 거절한다.</x:v>
      </x:c>
      <x:c r="J26" s="15" t="str">
        <x:v>CHECK | CHECK (column_count &gt;= 0 AND column_count &lt;= 60)</x:v>
      </x:c>
      <x:c r="K26" s="15" t="str">
        <x:v>보안: POLICY</x:v>
      </x:c>
    </x:row>
    <x:row r="27" ht="44" customHeight="1">
      <x:c r="A27" s="15" t="n">
        <x:v>11</x:v>
      </x:c>
      <x:c r="B27" s="15" t="str">
        <x:v>token_count</x:v>
      </x:c>
      <x:c r="C27" s="15" t="str">
        <x:v>token 수</x:v>
      </x:c>
      <x:c r="D27" s="15" t="str">
        <x:v>integer</x:v>
      </x:c>
      <x:c r="E27" s="15"/>
      <x:c r="F27" s="15"/>
      <x:c r="G27" s="15" t="str">
        <x:v>NOT NULL</x:v>
      </x:c>
      <x:c r="H27" s="15"/>
      <x:c r="I27" s="15" t="str">
        <x:v>직렬화된 Context package의 예상 토큰 수다. 최대 min(6000, 모델 context의 25%)를 적용해 과도한 입력을 방지한다.</x:v>
      </x:c>
      <x:c r="J27" s="15" t="str">
        <x:v>CHECK | CHECK (token_count &gt;= 0 AND token_count &lt;= 6000)</x:v>
      </x:c>
      <x:c r="K27" s="15" t="str">
        <x:v>보안: POLICY</x:v>
      </x:c>
    </x:row>
    <x:row r="28" ht="44" customHeight="1">
      <x:c r="A28" s="15" t="n">
        <x:v>12</x:v>
      </x:c>
      <x:c r="B28" s="15" t="str">
        <x:v>package_hash</x:v>
      </x:c>
      <x:c r="C28" s="15" t="str">
        <x:v>package hash</x:v>
      </x:c>
      <x:c r="D28" s="15" t="str">
        <x:v>varchar</x:v>
      </x:c>
      <x:c r="E28" s="15" t="n">
        <x:v>64</x:v>
      </x:c>
      <x:c r="F28" s="15"/>
      <x:c r="G28" s="15" t="str">
        <x:v>NOT NULL</x:v>
      </x:c>
      <x:c r="H28" s="15"/>
      <x:c r="I28" s="15" t="str">
        <x:v>사용자 scope·자산·지표·조인·정책을 정규화해 계산한 해시다. LLM에 전달된 정확한 입력 범위를 감사·재현할 때 사용한다.</x:v>
      </x:c>
      <x:c r="J28" s="15" t="str">
        <x:v>무결성 기준 | 정규화 후 SHA-256 또는 승인된 checksum 방식</x:v>
      </x:c>
      <x:c r="K28" s="15" t="str">
        <x:v>보안: INTERNAL</x:v>
      </x:c>
    </x:row>
    <x:row r="29" ht="44" customHeight="1">
      <x:c r="A29" s="15" t="n">
        <x:v>13</x:v>
      </x:c>
      <x:c r="B29" s="15" t="str">
        <x:v>created_at</x:v>
      </x:c>
      <x:c r="C29" s="15" t="str">
        <x:v>생성 시각</x:v>
      </x:c>
      <x:c r="D29" s="15" t="str">
        <x:v>timestamptz</x:v>
      </x:c>
      <x:c r="E29" s="15"/>
      <x:c r="F29" s="15"/>
      <x:c r="G29" s="15" t="str">
        <x:v>NOT NULL</x:v>
      </x:c>
      <x:c r="H29" s="15" t="str">
        <x:v>now()</x:v>
      </x:c>
      <x:c r="I29" s="15" t="str">
        <x:v>생성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9" s="15"/>
      <x:c r="K29" s="15" t="str">
        <x:v>보안: INTERNAL</x:v>
      </x:c>
    </x:row>
    <x:row r="30" ht="44" customHeight="1">
      <x:c r="A30" s="15" t="n">
        <x:v>14</x:v>
      </x:c>
      <x:c r="B30" s="15" t="str">
        <x:v>idempotency_key</x:v>
      </x:c>
      <x:c r="C30" s="15" t="str">
        <x:v>idempotency 키</x:v>
      </x:c>
      <x:c r="D30" s="15" t="str">
        <x:v>varchar</x:v>
      </x:c>
      <x:c r="E30" s="15" t="n">
        <x:v>128</x:v>
      </x:c>
      <x:c r="F30" s="15"/>
      <x:c r="G30" s="15" t="str">
        <x:v>NOT NULL</x:v>
      </x:c>
      <x:c r="H30" s="15"/>
      <x:c r="I30" s="15" t="str">
        <x:v>context.context_packages에서 idempotency 키 값을 저장한다.</x:v>
      </x:c>
      <x:c r="J30" s="15"/>
      <x:c r="K30" s="15" t="str">
        <x:v>보안: INTERNAL</x:v>
      </x:c>
    </x:row>
    <x:row r="31" ht="44" customHeight="1">
      <x:c r="A31" s="15" t="n">
        <x:v>15</x:v>
      </x:c>
      <x:c r="B31" s="15" t="str">
        <x:v>product_release_id</x:v>
      </x:c>
      <x:c r="C31" s="15" t="str">
        <x:v>product 릴리스 ID</x:v>
      </x:c>
      <x:c r="D31" s="15" t="str">
        <x:v>varchar</x:v>
      </x:c>
      <x:c r="E31" s="15" t="n">
        <x:v>160</x:v>
      </x:c>
      <x:c r="F31" s="15" t="str">
        <x:v>FK</x:v>
      </x:c>
      <x:c r="G31" s="15"/>
      <x:c r="H31" s="15"/>
      <x:c r="I31" s="15" t="str">
        <x:v>governance.product_release_manifests.product_release_id를 참조해 context.context_packages의 product 릴리스 ID 관계를 연결한다.</x:v>
      </x:c>
      <x:c r="J31" s="15" t="str">
        <x:v>물리 FK | governance.product_release_manifests.product_release_id</x:v>
      </x:c>
      <x:c r="K31" s="15" t="str">
        <x:v>보안: INTERNAL</x:v>
      </x:c>
    </x:row>
    <x:row r="32" ht="44" customHeight="1">
      <x:c r="A32" s="15" t="n">
        <x:v>16</x:v>
      </x:c>
      <x:c r="B32" s="15" t="str">
        <x:v>permission_snapshot_id</x:v>
      </x:c>
      <x:c r="C32" s="15" t="str">
        <x:v>permission snapshot ID</x:v>
      </x:c>
      <x:c r="D32" s="15" t="str">
        <x:v>varchar</x:v>
      </x:c>
      <x:c r="E32" s="15" t="n">
        <x:v>160</x:v>
      </x:c>
      <x:c r="F32" s="15"/>
      <x:c r="G32" s="15"/>
      <x:c r="H32" s="15"/>
      <x:c r="I32" s="15" t="str">
        <x:v>context.context_packages에서 permission snapshot ID 값을 저장한다.</x:v>
      </x:c>
      <x:c r="J32" s="15" t="str">
        <x:v>CHECK | CHECK (context_release_id IS NOT NULL OR product_release_id IS NOT NULL AND permission_snapshot_id IS NOT NULL AND semantic_release_id IS NOT NULL) NOT VALID</x:v>
      </x:c>
      <x:c r="K32" s="15" t="str">
        <x:v>보안: INTERNAL</x:v>
      </x:c>
    </x:row>
    <x:row r="33" ht="44" customHeight="1">
      <x:c r="A33" s="15" t="n">
        <x:v>17</x:v>
      </x:c>
      <x:c r="B33" s="15" t="str">
        <x:v>semantic_release_id</x:v>
      </x:c>
      <x:c r="C33" s="15" t="str">
        <x:v>semantic 릴리스 ID</x:v>
      </x:c>
      <x:c r="D33" s="15" t="str">
        <x:v>varchar</x:v>
      </x:c>
      <x:c r="E33" s="15" t="n">
        <x:v>256</x:v>
      </x:c>
      <x:c r="F33" s="15"/>
      <x:c r="G33" s="15"/>
      <x:c r="H33" s="15"/>
      <x:c r="I33" s="15" t="str">
        <x:v>context.context_packages에서 semantic 릴리스 ID 값을 저장한다.</x:v>
      </x:c>
      <x:c r="J33" s="15" t="str">
        <x:v>CHECK | CHECK (context_release_id IS NOT NULL OR product_release_id IS NOT NULL AND permission_snapshot_id IS NOT NULL AND semantic_release_id IS NOT NULL) NOT VALID</x:v>
      </x:c>
      <x:c r="K33" s="15" t="str">
        <x:v>보안: INTERNAL</x:v>
      </x:c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</x:row>
    <x:row r="35">
      <x:c r="A35" s="58" t="str">
        <x:v>no</x:v>
      </x:c>
      <x:c r="B35" s="58" t="str">
        <x:v>Index name</x:v>
      </x:c>
      <x:c r="C35" s="58"/>
      <x:c r="D35" s="58" t="str">
        <x:v>Index type</x:v>
      </x:c>
      <x:c r="E35" s="58"/>
      <x:c r="F35" s="58" t="str">
        <x:v>Unique</x:v>
      </x:c>
      <x:c r="G35" s="58"/>
      <x:c r="H35" s="58" t="str">
        <x:v>구성 컬럼</x:v>
      </x:c>
      <x:c r="I35" s="58"/>
      <x:c r="J35" s="58"/>
      <x:c r="K35" s="58"/>
    </x:row>
    <x:row r="36">
      <x:c r="A36" s="15" t="n">
        <x:v>1</x:v>
      </x:c>
      <x:c r="B36" s="15" t="str">
        <x:v>context_packages_pkey</x:v>
      </x:c>
      <x:c r="C36" s="15"/>
      <x:c r="D36" s="15" t="str">
        <x:v>BTREE</x:v>
      </x:c>
      <x:c r="E36" s="15"/>
      <x:c r="F36" s="15" t="str">
        <x:v>Unique</x:v>
      </x:c>
      <x:c r="G36" s="15"/>
      <x:c r="H36" s="15" t="str">
        <x:v>context_package_id</x:v>
      </x:c>
      <x:c r="I36" s="15"/>
      <x:c r="J36" s="15"/>
      <x:c r="K36" s="15"/>
    </x:row>
    <x:row r="37">
      <x:c r="A37" s="15" t="n">
        <x:v>2</x:v>
      </x:c>
      <x:c r="B37" s="15" t="str">
        <x:v>context_packages_request_id_key</x:v>
      </x:c>
      <x:c r="C37" s="15"/>
      <x:c r="D37" s="15" t="str">
        <x:v>BTREE</x:v>
      </x:c>
      <x:c r="E37" s="15"/>
      <x:c r="F37" s="15" t="str">
        <x:v>Unique</x:v>
      </x:c>
      <x:c r="G37" s="15"/>
      <x:c r="H37" s="15" t="str">
        <x:v>request_id</x:v>
      </x:c>
      <x:c r="I37" s="15"/>
      <x:c r="J37" s="15"/>
      <x:c r="K37" s="15"/>
    </x:row>
    <x:row r="38">
      <x:c r="A38" s="15" t="n">
        <x:v>3</x:v>
      </x:c>
      <x:c r="B38" s="15" t="str">
        <x:v>ux_context_packages_idempotency_key</x:v>
      </x:c>
      <x:c r="C38" s="15"/>
      <x:c r="D38" s="15" t="str">
        <x:v>BTREE</x:v>
      </x:c>
      <x:c r="E38" s="15"/>
      <x:c r="F38" s="15" t="str">
        <x:v>Unique</x:v>
      </x:c>
      <x:c r="G38" s="15"/>
      <x:c r="H38" s="15" t="str">
        <x:v>idempotency_key</x:v>
      </x:c>
      <x:c r="I38" s="15"/>
      <x:c r="J38" s="15"/>
      <x:c r="K38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5:C35"/>
    <x:mergeCell ref="D35:E35"/>
    <x:mergeCell ref="F35:G35"/>
    <x:mergeCell ref="H35:K35"/>
    <x:mergeCell ref="B36:C36"/>
    <x:mergeCell ref="D36:E36"/>
    <x:mergeCell ref="F36:G36"/>
    <x:mergeCell ref="H36:K36"/>
    <x:mergeCell ref="B37:C37"/>
    <x:mergeCell ref="D37:E37"/>
    <x:mergeCell ref="F37:G37"/>
    <x:mergeCell ref="H37:K37"/>
    <x:mergeCell ref="B38:C38"/>
    <x:mergeCell ref="D38:E38"/>
    <x:mergeCell ref="F38:G38"/>
    <x:mergeCell ref="H38:K38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context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context_records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승인 컨텍스트 레코드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데이터 자산·지표·시간·조인·컬럼 정책 등 AI 분석에 허용되는 업무 컨텍스트의 개별 버전을 저장한다. 동일 record_key는 version_no로 변경 이력을 관리하며 APPROVED 상태와 유효기간을 만족하는 레코드만 Context release에 포함할 수 있다.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context_record_id</x:v>
      </x:c>
      <x:c r="C17" s="15" t="str">
        <x:v>Context record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 t="str">
        <x:v>gen_random_uuid()</x:v>
      </x:c>
      <x:c r="I17" s="15" t="str">
        <x:v>승인 컨텍스트 레코드의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15"/>
      <x:c r="K17" s="15" t="str">
        <x:v>보안: INTERNAL</x:v>
      </x:c>
    </x:row>
    <x:row r="18" ht="44" customHeight="1">
      <x:c r="A18" s="15" t="n">
        <x:v>2</x:v>
      </x:c>
      <x:c r="B18" s="15" t="str">
        <x:v>record_type</x:v>
      </x:c>
      <x:c r="C18" s="15" t="str">
        <x:v>record 유형</x:v>
      </x:c>
      <x:c r="D18" s="15" t="str">
        <x:v>varchar</x:v>
      </x:c>
      <x:c r="E18" s="15" t="n">
        <x:v>32</x:v>
      </x:c>
      <x:c r="F18" s="15" t="str">
        <x:v>UK</x:v>
      </x:c>
      <x:c r="G18" s="15" t="str">
        <x:v>NOT NULL</x:v>
      </x:c>
      <x:c r="H18" s="15"/>
      <x:c r="I18" s="15" t="str">
        <x:v>Context 레코드의 정책 종류를 구분한다. ASSET_BINDING, METRIC_DEFINITION, TIME_POLICY, DIMENSION_HISTORY_POLICY, JOIN_POLICY, TERM_ALIAS, COLUMN_POLICY_REF 중 하나이며 payload JSON Schema를 선택한다.</x:v>
      </x:c>
      <x:c r="J18" s="15" t="str">
        <x:v>CHECK | CHECK (record_type::text = ANY (ARRAY['ASSET_BINDING'::character varying, 'METRIC_DEFINITION'::character varying, 'TIME_POLICY'::character varying, 'DIMENSION_HISTORY_POLICY'::character varying, 'JOIN_POLICY'::character varying, 'TERM_ALIAS'::character varying, 'COLUMN_POLICY_REF'::character varying]::text[]))</x:v>
      </x:c>
      <x:c r="K18" s="15" t="str">
        <x:v>보안: INTERNAL</x:v>
      </x:c>
    </x:row>
    <x:row r="19" ht="44" customHeight="1">
      <x:c r="A19" s="15" t="n">
        <x:v>3</x:v>
      </x:c>
      <x:c r="B19" s="15" t="str">
        <x:v>record_key</x:v>
      </x:c>
      <x:c r="C19" s="15" t="str">
        <x:v>안정 업무 키</x:v>
      </x:c>
      <x:c r="D19" s="15" t="str">
        <x:v>varchar</x:v>
      </x:c>
      <x:c r="E19" s="15" t="n">
        <x:v>160</x:v>
      </x:c>
      <x:c r="F19" s="15" t="str">
        <x:v>UK</x:v>
      </x:c>
      <x:c r="G19" s="15" t="str">
        <x:v>NOT NULL</x:v>
      </x:c>
      <x:c r="H19" s="15"/>
      <x:c r="I19" s="15" t="str">
        <x:v>레코드 유형 안에서 같은 업무 정의를 지속적으로 식별하는 안정 키다. 내용 변경 시 키를 재사용하고 version_no만 증가시켜 이력을 연결한다.</x:v>
      </x:c>
      <x:c r="J19" s="15"/>
      <x:c r="K19" s="15" t="str">
        <x:v>보안: INTERNAL</x:v>
      </x:c>
    </x:row>
    <x:row r="20" ht="44" customHeight="1">
      <x:c r="A20" s="15" t="n">
        <x:v>4</x:v>
      </x:c>
      <x:c r="B20" s="15" t="str">
        <x:v>version_no</x:v>
      </x:c>
      <x:c r="C20" s="15" t="str">
        <x:v>버전</x:v>
      </x:c>
      <x:c r="D20" s="15" t="str">
        <x:v>integer</x:v>
      </x:c>
      <x:c r="E20" s="15"/>
      <x:c r="F20" s="15" t="str">
        <x:v>UK</x:v>
      </x:c>
      <x:c r="G20" s="15" t="str">
        <x:v>NOT NULL</x:v>
      </x:c>
      <x:c r="H20" s="15"/>
      <x:c r="I20" s="15" t="str">
        <x:v>동일 record_type·record_key의 변경 순서를 나타내는 증가 정수다. 승인된 과거 버전을 덮어쓰지 않고 새 버전으로 추가한다.</x:v>
      </x:c>
      <x:c r="J20" s="15" t="str">
        <x:v>CHECK | CHECK (version_no &gt; 0)</x:v>
      </x:c>
      <x:c r="K20" s="15" t="str">
        <x:v>보안: INTERNAL</x:v>
      </x:c>
    </x:row>
    <x:row r="21" ht="44" customHeight="1">
      <x:c r="A21" s="15" t="n">
        <x:v>5</x:v>
      </x:c>
      <x:c r="B21" s="15" t="str">
        <x:v>payload_json</x:v>
      </x:c>
      <x:c r="C21" s="15" t="str">
        <x:v>record 본문</x:v>
      </x:c>
      <x:c r="D21" s="15" t="str">
        <x:v>jsonb</x:v>
      </x:c>
      <x:c r="E21" s="15"/>
      <x:c r="F21" s="15"/>
      <x:c r="G21" s="15" t="str">
        <x:v>NOT NULL</x:v>
      </x:c>
      <x:c r="H21" s="15"/>
      <x:c r="I21" s="15" t="str">
        <x:v>record_type별 JSON Schema를 만족하는 실제 정책 본문이다. 자산 URN/FQN, 지표식, 시간·조인·컬럼 정책 등 실행에 필요한 구조화 정보만 저장한다.</x:v>
      </x:c>
      <x:c r="J21" s="15" t="str">
        <x:v>구조 기준 | 해당 컬럼의 승인 JSON Schema</x:v>
      </x:c>
      <x:c r="K21" s="15" t="str">
        <x:v>보안: POLICY</x:v>
      </x:c>
    </x:row>
    <x:row r="22" ht="44" customHeight="1">
      <x:c r="A22" s="15" t="n">
        <x:v>6</x:v>
      </x:c>
      <x:c r="B22" s="15" t="str">
        <x:v>status</x:v>
      </x:c>
      <x:c r="C22" s="15" t="str">
        <x:v>상태</x:v>
      </x:c>
      <x:c r="D22" s="15" t="str">
        <x:v>varchar</x:v>
      </x:c>
      <x:c r="E22" s="15" t="n">
        <x:v>16</x:v>
      </x:c>
      <x:c r="F22" s="15"/>
      <x:c r="G22" s="15" t="str">
        <x:v>NOT NULL</x:v>
      </x:c>
      <x:c r="H22" s="15"/>
      <x:c r="I22" s="15" t="str">
        <x:v>승인 컨텍스트 레코드 레코드의 현재 처리 단계 또는 사용 가능 상태를 나타낸다. 허용값은 DRAFT, APPROVED, DEPRECATED이며 상태 전이는 업무 규칙과 감사 이벤트로 추적한다.</x:v>
      </x:c>
      <x:c r="J22" s="15" t="str">
        <x:v>CHECK | CHECK (status::text &lt;&gt; 'APPROVED'::text OR approved_by IS NOT NULL AND approved_at IS NOT NULL)</x:v>
      </x:c>
      <x:c r="K22" s="15" t="str">
        <x:v>보안: INTERNAL</x:v>
      </x:c>
    </x:row>
    <x:row r="23" ht="44" customHeight="1">
      <x:c r="A23" s="15" t="n">
        <x:v>7</x:v>
      </x:c>
      <x:c r="B23" s="15" t="str">
        <x:v>owner_role</x:v>
      </x:c>
      <x:c r="C23" s="15" t="str">
        <x:v>승인 책임 역할</x:v>
      </x:c>
      <x:c r="D23" s="15" t="str">
        <x:v>varchar</x:v>
      </x:c>
      <x:c r="E23" s="15" t="n">
        <x:v>64</x:v>
      </x:c>
      <x:c r="F23" s="15"/>
      <x:c r="G23" s="15" t="str">
        <x:v>NOT NULL</x:v>
      </x:c>
      <x:c r="H23" s="15"/>
      <x:c r="I23" s="15" t="str">
        <x:v>승인 책임 역할의 권한 역할 코드를 요청 또는 행위 시점 snapshot으로 저장한다. 이후 사용자의 현재 역할이 바뀌어도 당시 정책 판정 근거를 재현하는 데 사용한다.</x:v>
      </x:c>
      <x:c r="J23" s="15"/>
      <x:c r="K23" s="15" t="str">
        <x:v>보안: INTERNAL</x:v>
      </x:c>
    </x:row>
    <x:row r="24" ht="44" customHeight="1">
      <x:c r="A24" s="15" t="n">
        <x:v>8</x:v>
      </x:c>
      <x:c r="B24" s="15" t="str">
        <x:v>approved_by</x:v>
      </x:c>
      <x:c r="C24" s="15" t="str">
        <x:v>승인자 ID</x:v>
      </x:c>
      <x:c r="D24" s="15" t="str">
        <x:v>uuid</x:v>
      </x:c>
      <x:c r="E24" s="15"/>
      <x:c r="F24" s="15"/>
      <x:c r="G24" s="15"/>
      <x:c r="H24" s="15"/>
      <x:c r="I24" s="15" t="str">
        <x:v>승인자 ID에 해당하는 Answervice 사용자 식별자다. 인증·SSO 사용자 디렉터리를 논리 참조하며 표시 이름·이메일 같은 개인정보를 이 테이블에 복제하지 않는다.</x:v>
      </x:c>
      <x:c r="J24" s="15" t="str">
        <x:v>CHECK | CHECK (status::text &lt;&gt; 'APPROVED'::text OR approved_by IS NOT NULL AND approved_at IS NOT NULL)</x:v>
      </x:c>
      <x:c r="K24" s="15" t="str">
        <x:v>보안: INTERNAL</x:v>
      </x:c>
    </x:row>
    <x:row r="25" ht="44" customHeight="1">
      <x:c r="A25" s="15" t="n">
        <x:v>9</x:v>
      </x:c>
      <x:c r="B25" s="15" t="str">
        <x:v>approved_at</x:v>
      </x:c>
      <x:c r="C25" s="15" t="str">
        <x:v>승인 시각</x:v>
      </x:c>
      <x:c r="D25" s="15" t="str">
        <x:v>timestamptz</x:v>
      </x:c>
      <x:c r="E25" s="15"/>
      <x:c r="F25" s="15"/>
      <x:c r="G25" s="15"/>
      <x:c r="H25" s="15"/>
      <x:c r="I25" s="15" t="str">
        <x:v>승인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5" s="15" t="str">
        <x:v>CHECK | CHECK (status::text &lt;&gt; 'APPROVED'::text OR approved_by IS NOT NULL AND approved_at IS NOT NULL)</x:v>
      </x:c>
      <x:c r="K25" s="15" t="str">
        <x:v>보안: INTERNAL</x:v>
      </x:c>
    </x:row>
    <x:row r="26" ht="44" customHeight="1">
      <x:c r="A26" s="15" t="n">
        <x:v>10</x:v>
      </x:c>
      <x:c r="B26" s="15" t="str">
        <x:v>valid_from</x:v>
      </x:c>
      <x:c r="C26" s="15" t="str">
        <x:v>유효 시작</x:v>
      </x:c>
      <x:c r="D26" s="15" t="str">
        <x:v>timestamptz</x:v>
      </x:c>
      <x:c r="E26" s="15"/>
      <x:c r="F26" s="15"/>
      <x:c r="G26" s="15" t="str">
        <x:v>NOT NULL</x:v>
      </x:c>
      <x:c r="H26" s="15"/>
      <x:c r="I26" s="15" t="str">
        <x:v>승인 컨텍스트 레코드 레코드가 업무상 유효해지는 시작 시점이다. 시작 경계를 포함하며 종료값이 있으면 반드시 그보다 빨라야 한다. timezone을 포함한 시각으로 저장한다.</x:v>
      </x:c>
      <x:c r="J26" s="15" t="str">
        <x:v>CHECK | CHECK (valid_to IS NULL OR valid_to &gt; valid_from)</x:v>
      </x:c>
      <x:c r="K26" s="15" t="str">
        <x:v>보안: INTERNAL</x:v>
      </x:c>
    </x:row>
    <x:row r="27" ht="44" customHeight="1">
      <x:c r="A27" s="15" t="n">
        <x:v>11</x:v>
      </x:c>
      <x:c r="B27" s="15" t="str">
        <x:v>valid_to</x:v>
      </x:c>
      <x:c r="C27" s="15" t="str">
        <x:v>유효 종료</x:v>
      </x:c>
      <x:c r="D27" s="15" t="str">
        <x:v>timestamptz</x:v>
      </x:c>
      <x:c r="E27" s="15"/>
      <x:c r="F27" s="15"/>
      <x:c r="G27" s="15"/>
      <x:c r="H27" s="15"/>
      <x:c r="I27" s="15" t="str">
        <x:v>승인 컨텍스트 레코드 레코드의 유효 종료 시점이다. NULL이면 별도 종료가 없음을 뜻하고 기간 조회 시 종료 경계는 포함하지 않는다. timezone을 포함한 시각으로 저장한다.</x:v>
      </x:c>
      <x:c r="J27" s="15" t="str">
        <x:v>CHECK | CHECK (valid_to IS NULL OR valid_to &gt; valid_from)</x:v>
      </x:c>
      <x:c r="K27" s="15" t="str">
        <x:v>보안: INTERNAL</x:v>
      </x:c>
    </x:row>
    <x:row r="28" ht="44" customHeight="1">
      <x:c r="A28" s="15" t="n">
        <x:v>12</x:v>
      </x:c>
      <x:c r="B28" s="15" t="str">
        <x:v>checksum</x:v>
      </x:c>
      <x:c r="C28" s="15" t="str">
        <x:v>record checksum</x:v>
      </x:c>
      <x:c r="D28" s="15" t="str">
        <x:v>varchar</x:v>
      </x:c>
      <x:c r="E28" s="15" t="n">
        <x:v>64</x:v>
      </x:c>
      <x:c r="F28" s="15"/>
      <x:c r="G28" s="15" t="str">
        <x:v>NOT NULL</x:v>
      </x:c>
      <x:c r="H28" s="15"/>
      <x:c r="I28" s="15" t="str">
        <x:v>payload와 주요 메타데이터를 정규화해 계산한 SHA-256 해시다. 승인 후 내용 변조 여부와 release 구성의 재현성을 검증한다.</x:v>
      </x:c>
      <x:c r="J28" s="15" t="str">
        <x:v>무결성 기준 | 정규화 후 SHA-256 또는 승인된 checksum 방식</x:v>
      </x:c>
      <x:c r="K28" s="15" t="str">
        <x:v>보안: INTERNAL</x:v>
      </x:c>
    </x:row>
    <x:row r="29" ht="44" customHeight="1">
      <x:c r="A29" s="15" t="n">
        <x:v>13</x:v>
      </x:c>
      <x:c r="B29" s="15" t="str">
        <x:v>idempotency_key</x:v>
      </x:c>
      <x:c r="C29" s="15" t="str">
        <x:v>idempotency 키</x:v>
      </x:c>
      <x:c r="D29" s="15" t="str">
        <x:v>varchar</x:v>
      </x:c>
      <x:c r="E29" s="15" t="n">
        <x:v>128</x:v>
      </x:c>
      <x:c r="F29" s="15"/>
      <x:c r="G29" s="15" t="str">
        <x:v>NOT NULL</x:v>
      </x:c>
      <x:c r="H29" s="15"/>
      <x:c r="I29" s="15" t="str">
        <x:v>context.context_records에서 idempotency 키 값을 저장한다.</x:v>
      </x:c>
      <x:c r="J29" s="15"/>
      <x:c r="K29" s="15" t="str">
        <x:v>보안: INTERNAL</x:v>
      </x:c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>
      <x:c r="A31" s="58" t="str">
        <x:v>no</x:v>
      </x:c>
      <x:c r="B31" s="58" t="str">
        <x:v>Index name</x:v>
      </x:c>
      <x:c r="C31" s="58"/>
      <x:c r="D31" s="58" t="str">
        <x:v>Index type</x:v>
      </x:c>
      <x:c r="E31" s="58"/>
      <x:c r="F31" s="58" t="str">
        <x:v>Unique</x:v>
      </x:c>
      <x:c r="G31" s="58"/>
      <x:c r="H31" s="58" t="str">
        <x:v>구성 컬럼</x:v>
      </x:c>
      <x:c r="I31" s="58"/>
      <x:c r="J31" s="58"/>
      <x:c r="K31" s="58"/>
    </x:row>
    <x:row r="32">
      <x:c r="A32" s="15" t="n">
        <x:v>1</x:v>
      </x:c>
      <x:c r="B32" s="15" t="str">
        <x:v>context_records_pkey</x:v>
      </x:c>
      <x:c r="C32" s="15"/>
      <x:c r="D32" s="15" t="str">
        <x:v>BTREE</x:v>
      </x:c>
      <x:c r="E32" s="15"/>
      <x:c r="F32" s="15" t="str">
        <x:v>Unique</x:v>
      </x:c>
      <x:c r="G32" s="15"/>
      <x:c r="H32" s="15" t="str">
        <x:v>context_record_id</x:v>
      </x:c>
      <x:c r="I32" s="15"/>
      <x:c r="J32" s="15"/>
      <x:c r="K32" s="15"/>
    </x:row>
    <x:row r="33">
      <x:c r="A33" s="15" t="n">
        <x:v>2</x:v>
      </x:c>
      <x:c r="B33" s="15" t="str">
        <x:v>context_records_record_type_record_key_version_no_key</x:v>
      </x:c>
      <x:c r="C33" s="15"/>
      <x:c r="D33" s="15" t="str">
        <x:v>BTREE</x:v>
      </x:c>
      <x:c r="E33" s="15"/>
      <x:c r="F33" s="15" t="str">
        <x:v>Unique</x:v>
      </x:c>
      <x:c r="G33" s="15"/>
      <x:c r="H33" s="15" t="str">
        <x:v>record_type, record_key, version_no</x:v>
      </x:c>
      <x:c r="I33" s="15"/>
      <x:c r="J33" s="15"/>
      <x:c r="K33" s="15"/>
    </x:row>
    <x:row r="34">
      <x:c r="A34" s="15" t="n">
        <x:v>3</x:v>
      </x:c>
      <x:c r="B34" s="15" t="str">
        <x:v>idx_context_records_lookup</x:v>
      </x:c>
      <x:c r="C34" s="15"/>
      <x:c r="D34" s="15" t="str">
        <x:v>BTREE</x:v>
      </x:c>
      <x:c r="E34" s="15"/>
      <x:c r="F34" s="15" t="str">
        <x:v>Non-Unique</x:v>
      </x:c>
      <x:c r="G34" s="15"/>
      <x:c r="H34" s="15" t="str">
        <x:v>record_type, status, record_key, version_no</x:v>
      </x:c>
      <x:c r="I34" s="15"/>
      <x:c r="J34" s="15"/>
      <x:c r="K34" s="15"/>
    </x:row>
    <x:row r="35">
      <x:c r="A35" s="15" t="n">
        <x:v>4</x:v>
      </x:c>
      <x:c r="B35" s="15" t="str">
        <x:v>ux_context_records_idempotency_key</x:v>
      </x:c>
      <x:c r="C35" s="15"/>
      <x:c r="D35" s="15" t="str">
        <x:v>BTREE</x:v>
      </x:c>
      <x:c r="E35" s="15"/>
      <x:c r="F35" s="15" t="str">
        <x:v>Unique</x:v>
      </x:c>
      <x:c r="G35" s="15"/>
      <x:c r="H35" s="15" t="str">
        <x:v>idempotency_key</x:v>
      </x:c>
      <x:c r="I35" s="15"/>
      <x:c r="J35" s="15"/>
      <x:c r="K35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1:C31"/>
    <x:mergeCell ref="D31:E31"/>
    <x:mergeCell ref="F31:G31"/>
    <x:mergeCell ref="H31:K31"/>
    <x:mergeCell ref="B32:C32"/>
    <x:mergeCell ref="D32:E32"/>
    <x:mergeCell ref="F32:G32"/>
    <x:mergeCell ref="H32:K32"/>
    <x:mergeCell ref="B33:C33"/>
    <x:mergeCell ref="D33:E33"/>
    <x:mergeCell ref="F33:G33"/>
    <x:mergeCell ref="H33:K33"/>
    <x:mergeCell ref="B34:C34"/>
    <x:mergeCell ref="D34:E34"/>
    <x:mergeCell ref="F34:G34"/>
    <x:mergeCell ref="H34:K34"/>
    <x:mergeCell ref="B35:C35"/>
    <x:mergeCell ref="D35:E35"/>
    <x:mergeCell ref="F35:G35"/>
    <x:mergeCell ref="H35:K35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context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context_releases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컨텍스트 릴리스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승인된 Context record 버전 묶음을 불변 release로 발행한다. 한 행은 환경·용도별 release_key의 특정 버전이며, 포함 레코드 목록과 해시를 고정해 분석·보고서 실행이 어느 기준을 사용했는지 재현하도록 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context_release_id</x:v>
      </x:c>
      <x:c r="C17" s="15" t="str">
        <x:v>Context release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 t="str">
        <x:v>gen_random_uuid()</x:v>
      </x:c>
      <x:c r="I17" s="15" t="str">
        <x:v>컨텍스트 릴리스의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15" t="str">
        <x:v>참조됨 | context.context_releases.rollback_release_id, context.context_packages.context_release_id, chat.analysis_requests.context_release_id, governance.audit_events.context_release_id, model.evaluation_runs.context_release_id</x:v>
      </x:c>
      <x:c r="K17" s="15" t="str">
        <x:v>보안: INTERNAL</x:v>
      </x:c>
    </x:row>
    <x:row r="18" ht="44" customHeight="1">
      <x:c r="A18" s="15" t="n">
        <x:v>2</x:v>
      </x:c>
      <x:c r="B18" s="15" t="str">
        <x:v>release_key</x:v>
      </x:c>
      <x:c r="C18" s="15" t="str">
        <x:v>release 키</x:v>
      </x:c>
      <x:c r="D18" s="15" t="str">
        <x:v>varchar</x:v>
      </x:c>
      <x:c r="E18" s="15" t="n">
        <x:v>128</x:v>
      </x:c>
      <x:c r="F18" s="15" t="str">
        <x:v>UK</x:v>
      </x:c>
      <x:c r="G18" s="15" t="str">
        <x:v>NOT NULL</x:v>
      </x:c>
      <x:c r="H18" s="15"/>
      <x:c r="I18" s="15" t="str">
        <x:v>release 키를 버전이 달라져도 동일한 논리 객체로 묶는 안정 키다. 사람이 읽을 수 있는 규칙을 사용하되 한번 발행된 키의 의미를 다른 대상으로 재사용하지 않는다.</x:v>
      </x:c>
      <x:c r="J18" s="15"/>
      <x:c r="K18" s="15" t="str">
        <x:v>보안: INTERNAL</x:v>
      </x:c>
    </x:row>
    <x:row r="19" ht="44" customHeight="1">
      <x:c r="A19" s="15" t="n">
        <x:v>3</x:v>
      </x:c>
      <x:c r="B19" s="15" t="str">
        <x:v>version_no</x:v>
      </x:c>
      <x:c r="C19" s="15" t="str">
        <x:v>release 버전</x:v>
      </x:c>
      <x:c r="D19" s="15" t="str">
        <x:v>integer</x:v>
      </x:c>
      <x:c r="E19" s="15"/>
      <x:c r="F19" s="15" t="str">
        <x:v>UK</x:v>
      </x:c>
      <x:c r="G19" s="15" t="str">
        <x:v>NOT NULL</x:v>
      </x:c>
      <x:c r="H19" s="15"/>
      <x:c r="I19" s="15" t="str">
        <x:v>release 버전의 정확한 버전을 식별한다. 최신값을 묵시적으로 사용하지 않고 실행·승인·평가 시 이 값을 함께 고정해 결과를 재현한다.</x:v>
      </x:c>
      <x:c r="J19" s="15" t="str">
        <x:v>CHECK | CHECK (version_no &gt; 0)</x:v>
      </x:c>
      <x:c r="K19" s="15" t="str">
        <x:v>보안: INTERNAL</x:v>
      </x:c>
    </x:row>
    <x:row r="20" ht="44" customHeight="1">
      <x:c r="A20" s="15" t="n">
        <x:v>4</x:v>
      </x:c>
      <x:c r="B20" s="15" t="str">
        <x:v>included_record_refs_json</x:v>
      </x:c>
      <x:c r="C20" s="15" t="str">
        <x:v>포함 record 참조</x:v>
      </x:c>
      <x:c r="D20" s="15" t="str">
        <x:v>jsonb</x:v>
      </x:c>
      <x:c r="E20" s="15"/>
      <x:c r="F20" s="15"/>
      <x:c r="G20" s="15" t="str">
        <x:v>NOT NULL</x:v>
      </x:c>
      <x:c r="H20" s="15"/>
      <x:c r="I20" s="15" t="str">
        <x:v>release에 포함된 Context record의 record_key와 정확한 version_no 목록이다. 최신값을 동적으로 따라가지 않고 발행 시점의 버전을 고정한다.</x:v>
      </x:c>
      <x:c r="J20" s="15" t="str">
        <x:v>구조 기준 | 해당 컬럼의 승인 JSON Schema</x:v>
      </x:c>
      <x:c r="K20" s="15" t="str">
        <x:v>보안: INTERNAL</x:v>
      </x:c>
    </x:row>
    <x:row r="21" ht="44" customHeight="1">
      <x:c r="A21" s="15" t="n">
        <x:v>5</x:v>
      </x:c>
      <x:c r="B21" s="15" t="str">
        <x:v>status</x:v>
      </x:c>
      <x:c r="C21" s="15" t="str">
        <x:v>상태</x:v>
      </x:c>
      <x:c r="D21" s="15" t="str">
        <x:v>varchar</x:v>
      </x:c>
      <x:c r="E21" s="15" t="n">
        <x:v>16</x:v>
      </x:c>
      <x:c r="F21" s="15"/>
      <x:c r="G21" s="15" t="str">
        <x:v>NOT NULL</x:v>
      </x:c>
      <x:c r="H21" s="15"/>
      <x:c r="I21" s="15" t="str">
        <x:v>컨텍스트 릴리스 레코드의 현재 처리 단계 또는 사용 가능 상태를 나타낸다. 허용값은 DRAFT, PUBLISHED, RETIRED이며 상태 전이는 업무 규칙과 감사 이벤트로 추적한다.</x:v>
      </x:c>
      <x:c r="J21" s="15" t="str">
        <x:v>CHECK | CHECK (status::text &lt;&gt; 'PUBLISHED'::text OR published_by IS NOT NULL AND published_at IS NOT NULL)</x:v>
      </x:c>
      <x:c r="K21" s="15" t="str">
        <x:v>보안: INTERNAL</x:v>
      </x:c>
    </x:row>
    <x:row r="22" ht="44" customHeight="1">
      <x:c r="A22" s="15" t="n">
        <x:v>6</x:v>
      </x:c>
      <x:c r="B22" s="15" t="str">
        <x:v>release_hash</x:v>
      </x:c>
      <x:c r="C22" s="15" t="str">
        <x:v>release hash</x:v>
      </x:c>
      <x:c r="D22" s="15" t="str">
        <x:v>varchar</x:v>
      </x:c>
      <x:c r="E22" s="15" t="n">
        <x:v>64</x:v>
      </x:c>
      <x:c r="F22" s="15"/>
      <x:c r="G22" s="15" t="str">
        <x:v>NOT NULL</x:v>
      </x:c>
      <x:c r="H22" s="15"/>
      <x:c r="I22" s="15" t="str">
        <x:v>포함 레코드 목록과 각 checksum을 안정 정렬해 계산한 release 해시다. 같은 해시의 release는 동일 실행 컨텍스트로 간주한다.</x:v>
      </x:c>
      <x:c r="J22" s="15" t="str">
        <x:v>무결성 기준 | 정규화 후 SHA-256 또는 승인된 checksum 방식</x:v>
      </x:c>
      <x:c r="K22" s="15" t="str">
        <x:v>보안: INTERNAL</x:v>
      </x:c>
    </x:row>
    <x:row r="23" ht="44" customHeight="1">
      <x:c r="A23" s="15" t="n">
        <x:v>7</x:v>
      </x:c>
      <x:c r="B23" s="15" t="str">
        <x:v>published_by</x:v>
      </x:c>
      <x:c r="C23" s="15" t="str">
        <x:v>publish 승인자</x:v>
      </x:c>
      <x:c r="D23" s="15" t="str">
        <x:v>uuid</x:v>
      </x:c>
      <x:c r="E23" s="15"/>
      <x:c r="F23" s="15"/>
      <x:c r="G23" s="15"/>
      <x:c r="H23" s="15"/>
      <x:c r="I23" s="15" t="str">
        <x:v>publish 승인자에 해당하는 Answervice 사용자 식별자다. 인증·SSO 사용자 디렉터리를 논리 참조하며 표시 이름·이메일 같은 개인정보를 이 테이블에 복제하지 않는다.</x:v>
      </x:c>
      <x:c r="J23" s="15" t="str">
        <x:v>CHECK | CHECK (status::text &lt;&gt; 'PUBLISHED'::text OR published_by IS NOT NULL AND published_at IS NOT NULL)</x:v>
      </x:c>
      <x:c r="K23" s="15" t="str">
        <x:v>보안: INTERNAL</x:v>
      </x:c>
    </x:row>
    <x:row r="24" ht="44" customHeight="1">
      <x:c r="A24" s="15" t="n">
        <x:v>8</x:v>
      </x:c>
      <x:c r="B24" s="15" t="str">
        <x:v>published_at</x:v>
      </x:c>
      <x:c r="C24" s="15" t="str">
        <x:v>publish 시각</x:v>
      </x:c>
      <x:c r="D24" s="15" t="str">
        <x:v>timestamptz</x:v>
      </x:c>
      <x:c r="E24" s="15"/>
      <x:c r="F24" s="15"/>
      <x:c r="G24" s="15"/>
      <x:c r="H24" s="15"/>
      <x:c r="I24" s="15" t="str">
        <x:v>publish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4" s="15" t="str">
        <x:v>CHECK | CHECK (status::text &lt;&gt; 'PUBLISHED'::text OR published_by IS NOT NULL AND published_at IS NOT NULL)</x:v>
      </x:c>
      <x:c r="K24" s="15" t="str">
        <x:v>보안: INTERNAL</x:v>
      </x:c>
    </x:row>
    <x:row r="25" ht="44" customHeight="1">
      <x:c r="A25" s="15" t="n">
        <x:v>9</x:v>
      </x:c>
      <x:c r="B25" s="15" t="str">
        <x:v>rollback_release_id</x:v>
      </x:c>
      <x:c r="C25" s="15" t="str">
        <x:v>rollback 대상</x:v>
      </x:c>
      <x:c r="D25" s="15" t="str">
        <x:v>uuid</x:v>
      </x:c>
      <x:c r="E25" s="15"/>
      <x:c r="F25" s="15" t="str">
        <x:v>FK</x:v>
      </x:c>
      <x:c r="G25" s="15"/>
      <x:c r="H25" s="15"/>
      <x:c r="I25" s="15" t="str">
        <x:v>문제 발생 시 되돌릴 이전 안정 release의 UUID다. 자기 자신이나 이후 버전을 가리킬 수 없으며 NULL이면 지정된 rollback 대상이 없다.</x:v>
      </x:c>
      <x:c r="J25" s="15" t="str">
        <x:v>물리 FK | context.context_releases.context_release_id</x:v>
      </x:c>
      <x:c r="K25" s="15" t="str">
        <x:v>보안: INTERNAL</x:v>
      </x:c>
    </x:row>
    <x:row r="26" ht="44" customHeight="1">
      <x:c r="A26" s="15" t="n">
        <x:v>10</x:v>
      </x:c>
      <x:c r="B26" s="15" t="str">
        <x:v>idempotency_key</x:v>
      </x:c>
      <x:c r="C26" s="15" t="str">
        <x:v>idempotency 키</x:v>
      </x:c>
      <x:c r="D26" s="15" t="str">
        <x:v>varchar</x:v>
      </x:c>
      <x:c r="E26" s="15" t="n">
        <x:v>128</x:v>
      </x:c>
      <x:c r="F26" s="15"/>
      <x:c r="G26" s="15" t="str">
        <x:v>NOT NULL</x:v>
      </x:c>
      <x:c r="H26" s="15"/>
      <x:c r="I26" s="15" t="str">
        <x:v>context.context_releases에서 idempotency 키 값을 저장한다.</x:v>
      </x:c>
      <x:c r="J26" s="15"/>
      <x:c r="K26" s="15" t="str">
        <x:v>보안: INTERNAL</x:v>
      </x:c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>
      <x:c r="A28" s="58" t="str">
        <x:v>no</x:v>
      </x:c>
      <x:c r="B28" s="58" t="str">
        <x:v>Index name</x:v>
      </x:c>
      <x:c r="C28" s="58"/>
      <x:c r="D28" s="58" t="str">
        <x:v>Index type</x:v>
      </x:c>
      <x:c r="E28" s="58"/>
      <x:c r="F28" s="58" t="str">
        <x:v>Unique</x:v>
      </x:c>
      <x:c r="G28" s="58"/>
      <x:c r="H28" s="58" t="str">
        <x:v>구성 컬럼</x:v>
      </x:c>
      <x:c r="I28" s="58"/>
      <x:c r="J28" s="58"/>
      <x:c r="K28" s="58"/>
    </x:row>
    <x:row r="29">
      <x:c r="A29" s="15" t="n">
        <x:v>1</x:v>
      </x:c>
      <x:c r="B29" s="15" t="str">
        <x:v>context_releases_pkey</x:v>
      </x:c>
      <x:c r="C29" s="15"/>
      <x:c r="D29" s="15" t="str">
        <x:v>BTREE</x:v>
      </x:c>
      <x:c r="E29" s="15"/>
      <x:c r="F29" s="15" t="str">
        <x:v>Unique</x:v>
      </x:c>
      <x:c r="G29" s="15"/>
      <x:c r="H29" s="15" t="str">
        <x:v>context_release_id</x:v>
      </x:c>
      <x:c r="I29" s="15"/>
      <x:c r="J29" s="15"/>
      <x:c r="K29" s="15"/>
    </x:row>
    <x:row r="30">
      <x:c r="A30" s="15" t="n">
        <x:v>2</x:v>
      </x:c>
      <x:c r="B30" s="15" t="str">
        <x:v>context_releases_release_key_version_no_key</x:v>
      </x:c>
      <x:c r="C30" s="15"/>
      <x:c r="D30" s="15" t="str">
        <x:v>BTREE</x:v>
      </x:c>
      <x:c r="E30" s="15"/>
      <x:c r="F30" s="15" t="str">
        <x:v>Unique</x:v>
      </x:c>
      <x:c r="G30" s="15"/>
      <x:c r="H30" s="15" t="str">
        <x:v>release_key, version_no</x:v>
      </x:c>
      <x:c r="I30" s="15"/>
      <x:c r="J30" s="15"/>
      <x:c r="K30" s="15"/>
    </x:row>
    <x:row r="31">
      <x:c r="A31" s="15" t="n">
        <x:v>3</x:v>
      </x:c>
      <x:c r="B31" s="15" t="str">
        <x:v>ux_context_releases_idempotency_key</x:v>
      </x:c>
      <x:c r="C31" s="15"/>
      <x:c r="D31" s="15" t="str">
        <x:v>BTREE</x:v>
      </x:c>
      <x:c r="E31" s="15"/>
      <x:c r="F31" s="15" t="str">
        <x:v>Unique</x:v>
      </x:c>
      <x:c r="G31" s="15"/>
      <x:c r="H31" s="15" t="str">
        <x:v>idempotency_key</x:v>
      </x:c>
      <x:c r="I31" s="15"/>
      <x:c r="J31" s="15"/>
      <x:c r="K31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28:C28"/>
    <x:mergeCell ref="D28:E28"/>
    <x:mergeCell ref="F28:G28"/>
    <x:mergeCell ref="H28:K28"/>
    <x:mergeCell ref="B29:C29"/>
    <x:mergeCell ref="D29:E29"/>
    <x:mergeCell ref="F29:G29"/>
    <x:mergeCell ref="H29:K29"/>
    <x:mergeCell ref="B30:C30"/>
    <x:mergeCell ref="D30:E30"/>
    <x:mergeCell ref="F30:G30"/>
    <x:mergeCell ref="H30:K30"/>
    <x:mergeCell ref="B31:C31"/>
    <x:mergeCell ref="D31:E31"/>
    <x:mergeCell ref="F31:G31"/>
    <x:mergeCell ref="H31:K3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governance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alembic_version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Alembic 버전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Application PostgreSQL의 Alembic 버전을 관리한다. 현재 Alembic head 20260828_49에서 재현한 물리 구조다.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version_num</x:v>
      </x:c>
      <x:c r="C17" s="15" t="str">
        <x:v>버전 num</x:v>
      </x:c>
      <x:c r="D17" s="15" t="str">
        <x:v>varchar</x:v>
      </x:c>
      <x:c r="E17" s="15" t="n">
        <x:v>32</x:v>
      </x:c>
      <x:c r="F17" s="15" t="str">
        <x:v>PK</x:v>
      </x:c>
      <x:c r="G17" s="15" t="str">
        <x:v>NOT NULL</x:v>
      </x:c>
      <x:c r="H17" s="15"/>
      <x:c r="I17" s="15" t="str">
        <x:v>governance.alembic_version의 한 행을 식별하는 버전 num 기본키다.</x:v>
      </x:c>
      <x:c r="J17" s="15"/>
      <x:c r="K17" s="15" t="str">
        <x:v>보안: INTERNAL</x:v>
      </x:c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>
      <x:c r="A19" s="58" t="str">
        <x:v>no</x:v>
      </x:c>
      <x:c r="B19" s="58" t="str">
        <x:v>Index name</x:v>
      </x:c>
      <x:c r="C19" s="58"/>
      <x:c r="D19" s="58" t="str">
        <x:v>Index type</x:v>
      </x:c>
      <x:c r="E19" s="58"/>
      <x:c r="F19" s="58" t="str">
        <x:v>Unique</x:v>
      </x:c>
      <x:c r="G19" s="58"/>
      <x:c r="H19" s="58" t="str">
        <x:v>구성 컬럼</x:v>
      </x:c>
      <x:c r="I19" s="58"/>
      <x:c r="J19" s="58"/>
      <x:c r="K19" s="58"/>
    </x:row>
    <x:row r="20">
      <x:c r="A20" s="15" t="n">
        <x:v>1</x:v>
      </x:c>
      <x:c r="B20" s="15" t="str">
        <x:v>alembic_version_pkc</x:v>
      </x:c>
      <x:c r="C20" s="15"/>
      <x:c r="D20" s="15" t="str">
        <x:v>BTREE</x:v>
      </x:c>
      <x:c r="E20" s="15"/>
      <x:c r="F20" s="15" t="str">
        <x:v>Unique</x:v>
      </x:c>
      <x:c r="G20" s="15"/>
      <x:c r="H20" s="15" t="str">
        <x:v>version_num</x:v>
      </x:c>
      <x:c r="I20" s="15"/>
      <x:c r="J20" s="15"/>
      <x:c r="K20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19:C19"/>
    <x:mergeCell ref="D19:E19"/>
    <x:mergeCell ref="F19:G19"/>
    <x:mergeCell ref="H19:K19"/>
    <x:mergeCell ref="B20:C20"/>
    <x:mergeCell ref="D20:E20"/>
    <x:mergeCell ref="F20:G20"/>
    <x:mergeCell ref="H20:K20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governance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audit_events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감사 이벤트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Context 발행, 쿼리 차단, 보고서 실행 등 추적이 필요한 행위를 추가 전용으로 기록한다. 행위자·역할, 대상, 관련 Context·모델·쿼리·artifact·report, 비식별 상세와 trace ID를 저장하며 수정·삭제하지 않는다.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audit_event_id</x:v>
      </x:c>
      <x:c r="C17" s="15" t="str">
        <x:v>감사 이벤트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 t="str">
        <x:v>gen_random_uuid()</x:v>
      </x:c>
      <x:c r="I17" s="15" t="str">
        <x:v>감사 이벤트의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15"/>
      <x:c r="K17" s="15" t="str">
        <x:v>보안: INTERNAL</x:v>
      </x:c>
    </x:row>
    <x:row r="18" ht="44" customHeight="1">
      <x:c r="A18" s="15" t="n">
        <x:v>2</x:v>
      </x:c>
      <x:c r="B18" s="15" t="str">
        <x:v>request_id</x:v>
      </x:c>
      <x:c r="C18" s="15" t="str">
        <x:v>요청 ID</x:v>
      </x:c>
      <x:c r="D18" s="15" t="str">
        <x:v>uuid</x:v>
      </x:c>
      <x:c r="E18" s="15"/>
      <x:c r="F18" s="15" t="str">
        <x:v>FK</x:v>
      </x:c>
      <x:c r="G18" s="15"/>
      <x:c r="H18" s="15"/>
      <x:c r="I18" s="15" t="str">
        <x:v>요청 ID를 hotel_datahub_app.chat.analysis_requests.request_id와 연결하는 물리 외래키다. NULL을 허용하므로 연결 대상이 없는 선택 관계를 표현할 수 있다.</x:v>
      </x:c>
      <x:c r="J18" s="15" t="str">
        <x:v>물리 FK | chat.analysis_requests.request_id</x:v>
      </x:c>
      <x:c r="K18" s="15" t="str">
        <x:v>보안: INTERNAL</x:v>
      </x:c>
    </x:row>
    <x:row r="19" ht="44" customHeight="1">
      <x:c r="A19" s="15" t="n">
        <x:v>3</x:v>
      </x:c>
      <x:c r="B19" s="15" t="str">
        <x:v>actor_user_id</x:v>
      </x:c>
      <x:c r="C19" s="15" t="str">
        <x:v>행위자 ID</x:v>
      </x:c>
      <x:c r="D19" s="15" t="str">
        <x:v>uuid</x:v>
      </x:c>
      <x:c r="E19" s="15"/>
      <x:c r="F19" s="15"/>
      <x:c r="G19" s="15"/>
      <x:c r="H19" s="15"/>
      <x:c r="I19" s="15" t="str">
        <x:v>행위자 ID에 해당하는 Answervice 사용자 식별자다. 인증·SSO 사용자 디렉터리를 논리 참조하며 표시 이름·이메일 같은 개인정보를 이 테이블에 복제하지 않는다.</x:v>
      </x:c>
      <x:c r="J19" s="15" t="str">
        <x:v>논리 참조 | Answervice 인증·사용자 디렉터리 user_id | 물리 FK 미적용</x:v>
      </x:c>
      <x:c r="K19" s="15" t="str">
        <x:v>보안: INTERNAL</x:v>
      </x:c>
    </x:row>
    <x:row r="20" ht="44" customHeight="1">
      <x:c r="A20" s="15" t="n">
        <x:v>4</x:v>
      </x:c>
      <x:c r="B20" s="15" t="str">
        <x:v>actor_role</x:v>
      </x:c>
      <x:c r="C20" s="15" t="str">
        <x:v>행위자 역할</x:v>
      </x:c>
      <x:c r="D20" s="15" t="str">
        <x:v>varchar</x:v>
      </x:c>
      <x:c r="E20" s="15" t="n">
        <x:v>64</x:v>
      </x:c>
      <x:c r="F20" s="15"/>
      <x:c r="G20" s="15" t="str">
        <x:v>NOT NULL</x:v>
      </x:c>
      <x:c r="H20" s="15"/>
      <x:c r="I20" s="15" t="str">
        <x:v>행위 발생 시점의 사용자 또는 시스템 역할 snapshot이다. 현재 역할이 변경되어도 당시 권한 판단 근거를 유지하기 위해 별도 저장한다.</x:v>
      </x:c>
      <x:c r="J20" s="15"/>
      <x:c r="K20" s="15" t="str">
        <x:v>보안: POLICY</x:v>
      </x:c>
    </x:row>
    <x:row r="21" ht="44" customHeight="1">
      <x:c r="A21" s="15" t="n">
        <x:v>5</x:v>
      </x:c>
      <x:c r="B21" s="15" t="str">
        <x:v>action_code</x:v>
      </x:c>
      <x:c r="C21" s="15" t="str">
        <x:v>행위 코드</x:v>
      </x:c>
      <x:c r="D21" s="15" t="str">
        <x:v>varchar</x:v>
      </x:c>
      <x:c r="E21" s="15" t="n">
        <x:v>96</x:v>
      </x:c>
      <x:c r="F21" s="15"/>
      <x:c r="G21" s="15" t="str">
        <x:v>NOT NULL</x:v>
      </x:c>
      <x:c r="H21" s="15"/>
      <x:c r="I21" s="15" t="str">
        <x:v>감사 대상 행위를 표준화한 코드다. CONTEXT_PUBLISH, QUERY_BLOCK, REPORT_RUN 등 객체·결과를 구분할 수 있는 고정 코드를 사용한다.</x:v>
      </x:c>
      <x:c r="J21" s="15" t="str">
        <x:v>코드 기준 | CONTEXT_PUBLISH, QUERY_BLOCK, REPORT_RUN</x:v>
      </x:c>
      <x:c r="K21" s="15" t="str">
        <x:v>보안: INTERNAL</x:v>
      </x:c>
    </x:row>
    <x:row r="22" ht="44" customHeight="1">
      <x:c r="A22" s="15" t="n">
        <x:v>6</x:v>
      </x:c>
      <x:c r="B22" s="15" t="str">
        <x:v>object_type</x:v>
      </x:c>
      <x:c r="C22" s="15" t="str">
        <x:v>대상 유형</x:v>
      </x:c>
      <x:c r="D22" s="15" t="str">
        <x:v>varchar</x:v>
      </x:c>
      <x:c r="E22" s="15" t="n">
        <x:v>64</x:v>
      </x:c>
      <x:c r="F22" s="15"/>
      <x:c r="G22" s="15" t="str">
        <x:v>NOT NULL</x:v>
      </x:c>
      <x:c r="H22" s="15"/>
      <x:c r="I22" s="15" t="str">
        <x:v>행위 대상 객체의 유형이다. CONTEXT_RELEASE, QUERY_EXECUTION, ARTIFACT, REPORT_RUN 등 object_id 해석에 필요한 종류를 저장한다.</x:v>
      </x:c>
      <x:c r="J22" s="15"/>
      <x:c r="K22" s="15" t="str">
        <x:v>보안: INTERNAL</x:v>
      </x:c>
    </x:row>
    <x:row r="23" ht="44" customHeight="1">
      <x:c r="A23" s="15" t="n">
        <x:v>7</x:v>
      </x:c>
      <x:c r="B23" s="15" t="str">
        <x:v>object_id</x:v>
      </x:c>
      <x:c r="C23" s="15" t="str">
        <x:v>대상 ID</x:v>
      </x:c>
      <x:c r="D23" s="15" t="str">
        <x:v>varchar</x:v>
      </x:c>
      <x:c r="E23" s="15" t="n">
        <x:v>128</x:v>
      </x:c>
      <x:c r="F23" s="15"/>
      <x:c r="G23" s="15" t="str">
        <x:v>NOT NULL</x:v>
      </x:c>
      <x:c r="H23" s="15"/>
      <x:c r="I23" s="15" t="str">
        <x:v>감사 대상 객체의 식별자를 문자열로 저장한다. object_type에 따라 UUID·버전키 등을 해석하며 다형 관계이므로 단일 물리 FK를 두지 않는다.</x:v>
      </x:c>
      <x:c r="J23" s="15" t="str">
        <x:v>다형 논리 참조 | object_type에 따라 Context release, query execution, artifact, report run 등 감사 대상 객체를 가리키는 다형 논리 참조; 물리 FK 미적용</x:v>
      </x:c>
      <x:c r="K23" s="15" t="str">
        <x:v>보안: INTERNAL</x:v>
      </x:c>
    </x:row>
    <x:row r="24" ht="44" customHeight="1">
      <x:c r="A24" s="15" t="n">
        <x:v>8</x:v>
      </x:c>
      <x:c r="B24" s="15" t="str">
        <x:v>context_release_id</x:v>
      </x:c>
      <x:c r="C24" s="15" t="str">
        <x:v>Context release</x:v>
      </x:c>
      <x:c r="D24" s="15" t="str">
        <x:v>uuid</x:v>
      </x:c>
      <x:c r="E24" s="15"/>
      <x:c r="F24" s="15" t="str">
        <x:v>FK</x:v>
      </x:c>
      <x:c r="G24" s="15"/>
      <x:c r="H24" s="15"/>
      <x:c r="I24" s="15" t="str">
        <x:v>Context release를 hotel_datahub_app.context.context_releases.context_release_id와 연결하는 물리 외래키다. NULL을 허용하므로 연결 대상이 없는 선택 관계를 표현할 수 있다.</x:v>
      </x:c>
      <x:c r="J24" s="15" t="str">
        <x:v>물리 FK | context.context_releases.context_release_id</x:v>
      </x:c>
      <x:c r="K24" s="15" t="str">
        <x:v>보안: INTERNAL</x:v>
      </x:c>
    </x:row>
    <x:row r="25" ht="44" customHeight="1">
      <x:c r="A25" s="15" t="n">
        <x:v>9</x:v>
      </x:c>
      <x:c r="B25" s="15" t="str">
        <x:v>model_version_id</x:v>
      </x:c>
      <x:c r="C25" s="15" t="str">
        <x:v>모델 버전</x:v>
      </x:c>
      <x:c r="D25" s="15" t="str">
        <x:v>uuid</x:v>
      </x:c>
      <x:c r="E25" s="15"/>
      <x:c r="F25" s="15" t="str">
        <x:v>FK</x:v>
      </x:c>
      <x:c r="G25" s="15"/>
      <x:c r="H25" s="15"/>
      <x:c r="I25" s="15" t="str">
        <x:v>모델 버전를 hotel_datahub_app.model.model_versions.model_version_id와 연결하는 물리 외래키다. NULL을 허용하므로 연결 대상이 없는 선택 관계를 표현할 수 있다.</x:v>
      </x:c>
      <x:c r="J25" s="15" t="str">
        <x:v>물리 FK | model.model_versions.model_version_id</x:v>
      </x:c>
      <x:c r="K25" s="15" t="str">
        <x:v>보안: INTERNAL</x:v>
      </x:c>
    </x:row>
    <x:row r="26" ht="44" customHeight="1">
      <x:c r="A26" s="15" t="n">
        <x:v>10</x:v>
      </x:c>
      <x:c r="B26" s="15" t="str">
        <x:v>sql_policy_version</x:v>
      </x:c>
      <x:c r="C26" s="15" t="str">
        <x:v>SQL 정책 버전</x:v>
      </x:c>
      <x:c r="D26" s="15" t="str">
        <x:v>varchar</x:v>
      </x:c>
      <x:c r="E26" s="15" t="n">
        <x:v>64</x:v>
      </x:c>
      <x:c r="F26" s="15"/>
      <x:c r="G26" s="15"/>
      <x:c r="H26" s="15"/>
      <x:c r="I26" s="15" t="str">
        <x:v>SQL 정책 버전의 정확한 버전을 식별한다. 최신값을 묵시적으로 사용하지 않고 실행·승인·평가 시 이 값을 함께 고정해 결과를 재현한다.</x:v>
      </x:c>
      <x:c r="J26" s="15" t="str">
        <x:v>정책 참조 | versioned access-policy/sql-policy 산출물</x:v>
      </x:c>
      <x:c r="K26" s="15" t="str">
        <x:v>보안: POLICY</x:v>
      </x:c>
    </x:row>
    <x:row r="27" ht="44" customHeight="1">
      <x:c r="A27" s="15" t="n">
        <x:v>11</x:v>
      </x:c>
      <x:c r="B27" s="15" t="str">
        <x:v>query_execution_id</x:v>
      </x:c>
      <x:c r="C27" s="15" t="str">
        <x:v>query ID</x:v>
      </x:c>
      <x:c r="D27" s="15" t="str">
        <x:v>uuid</x:v>
      </x:c>
      <x:c r="E27" s="15"/>
      <x:c r="F27" s="15" t="str">
        <x:v>FK</x:v>
      </x:c>
      <x:c r="G27" s="15"/>
      <x:c r="H27" s="15"/>
      <x:c r="I27" s="15" t="str">
        <x:v>query ID를 hotel_datahub_app.query.query_executions.query_execution_id와 연결하는 물리 외래키다. NULL을 허용하므로 연결 대상이 없는 선택 관계를 표현할 수 있다.</x:v>
      </x:c>
      <x:c r="J27" s="15" t="str">
        <x:v>물리 FK | query.query_executions.query_execution_id</x:v>
      </x:c>
      <x:c r="K27" s="15" t="str">
        <x:v>보안: INTERNAL</x:v>
      </x:c>
    </x:row>
    <x:row r="28" ht="44" customHeight="1">
      <x:c r="A28" s="15" t="n">
        <x:v>12</x:v>
      </x:c>
      <x:c r="B28" s="15" t="str">
        <x:v>artifact_id</x:v>
      </x:c>
      <x:c r="C28" s="15" t="str">
        <x:v>artifact ID</x:v>
      </x:c>
      <x:c r="D28" s="15" t="str">
        <x:v>uuid</x:v>
      </x:c>
      <x:c r="E28" s="15"/>
      <x:c r="F28" s="15" t="str">
        <x:v>FK</x:v>
      </x:c>
      <x:c r="G28" s="15"/>
      <x:c r="H28" s="15"/>
      <x:c r="I28" s="15" t="str">
        <x:v>artifact ID를 hotel_datahub_app.artifact.analysis_artifacts.artifact_id와 연결하는 물리 외래키다. NULL을 허용하므로 연결 대상이 없는 선택 관계를 표현할 수 있다.</x:v>
      </x:c>
      <x:c r="J28" s="15" t="str">
        <x:v>물리 FK | artifact.analysis_artifacts.artifact_id</x:v>
      </x:c>
      <x:c r="K28" s="15" t="str">
        <x:v>보안: INTERNAL</x:v>
      </x:c>
    </x:row>
    <x:row r="29" ht="44" customHeight="1">
      <x:c r="A29" s="15" t="n">
        <x:v>13</x:v>
      </x:c>
      <x:c r="B29" s="15" t="str">
        <x:v>report_run_id</x:v>
      </x:c>
      <x:c r="C29" s="15" t="str">
        <x:v>report run ID</x:v>
      </x:c>
      <x:c r="D29" s="15" t="str">
        <x:v>uuid</x:v>
      </x:c>
      <x:c r="E29" s="15"/>
      <x:c r="F29" s="15" t="str">
        <x:v>FK</x:v>
      </x:c>
      <x:c r="G29" s="15"/>
      <x:c r="H29" s="15"/>
      <x:c r="I29" s="15" t="str">
        <x:v>report run ID를 hotel_datahub_app.report_v1.report_runs.run_id와 연결하는 물리 외래키다. NULL을 허용하므로 연결 대상이 없는 선택 관계를 표현할 수 있다.</x:v>
      </x:c>
      <x:c r="J29" s="15" t="str">
        <x:v>물리 FK | report.report_runs.report_run_id</x:v>
      </x:c>
      <x:c r="K29" s="15" t="str">
        <x:v>보안: INTERNAL</x:v>
      </x:c>
    </x:row>
    <x:row r="30" ht="44" customHeight="1">
      <x:c r="A30" s="15" t="n">
        <x:v>14</x:v>
      </x:c>
      <x:c r="B30" s="15" t="str">
        <x:v>details_json_redacted</x:v>
      </x:c>
      <x:c r="C30" s="15" t="str">
        <x:v>비식별 상세</x:v>
      </x:c>
      <x:c r="D30" s="15" t="str">
        <x:v>jsonb</x:v>
      </x:c>
      <x:c r="E30" s="15"/>
      <x:c r="F30" s="15"/>
      <x:c r="G30" s="15" t="str">
        <x:v>NOT NULL</x:v>
      </x:c>
      <x:c r="H30" s="15"/>
      <x:c r="I30" s="15" t="str">
        <x:v>행위 결과, 정책 판정, seed·버전·row count·watermark·checksum 등 감사 세부를 비식별 JSON으로 저장한다. 원문 질문·credential·PII는 포함하지 않는다.</x:v>
      </x:c>
      <x:c r="J30" s="15"/>
      <x:c r="K30" s="15" t="str">
        <x:v>보안: CONFIDENTIAL</x:v>
      </x:c>
    </x:row>
    <x:row r="31" ht="44" customHeight="1">
      <x:c r="A31" s="15" t="n">
        <x:v>15</x:v>
      </x:c>
      <x:c r="B31" s="15" t="str">
        <x:v>trace_id</x:v>
      </x:c>
      <x:c r="C31" s="15" t="str">
        <x:v>OTel trace ID</x:v>
      </x:c>
      <x:c r="D31" s="15" t="str">
        <x:v>varchar</x:v>
      </x:c>
      <x:c r="E31" s="15" t="n">
        <x:v>128</x:v>
      </x:c>
      <x:c r="F31" s="15"/>
      <x:c r="G31" s="15"/>
      <x:c r="H31" s="15"/>
      <x:c r="I31" s="15" t="str">
        <x:v>감사 이벤트가 속한 OpenTelemetry trace ID다. 관련 분석 요청·쿼리·보고서 실행의 분산 로그를 같은 흐름으로 추적할 때 사용한다.</x:v>
      </x:c>
      <x:c r="J31" s="15" t="str">
        <x:v>관측성 기준 | OpenTelemetry trace_id</x:v>
      </x:c>
      <x:c r="K31" s="15" t="str">
        <x:v>보안: INTERNAL</x:v>
      </x:c>
    </x:row>
    <x:row r="32" ht="44" customHeight="1">
      <x:c r="A32" s="15" t="n">
        <x:v>16</x:v>
      </x:c>
      <x:c r="B32" s="15" t="str">
        <x:v>created_at</x:v>
      </x:c>
      <x:c r="C32" s="15" t="str">
        <x:v>발생 시각</x:v>
      </x:c>
      <x:c r="D32" s="15" t="str">
        <x:v>timestamptz</x:v>
      </x:c>
      <x:c r="E32" s="15"/>
      <x:c r="F32" s="15"/>
      <x:c r="G32" s="15" t="str">
        <x:v>NOT NULL</x:v>
      </x:c>
      <x:c r="H32" s="15" t="str">
        <x:v>now()</x:v>
      </x:c>
      <x:c r="I32" s="15" t="str">
        <x:v>발생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32" s="15"/>
      <x:c r="K32" s="15" t="str">
        <x:v>보안: INTERNAL</x:v>
      </x:c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  <x:row r="34">
      <x:c r="A34" s="58" t="str">
        <x:v>no</x:v>
      </x:c>
      <x:c r="B34" s="58" t="str">
        <x:v>Index name</x:v>
      </x:c>
      <x:c r="C34" s="58"/>
      <x:c r="D34" s="58" t="str">
        <x:v>Index type</x:v>
      </x:c>
      <x:c r="E34" s="58"/>
      <x:c r="F34" s="58" t="str">
        <x:v>Unique</x:v>
      </x:c>
      <x:c r="G34" s="58"/>
      <x:c r="H34" s="58" t="str">
        <x:v>구성 컬럼</x:v>
      </x:c>
      <x:c r="I34" s="58"/>
      <x:c r="J34" s="58"/>
      <x:c r="K34" s="58"/>
    </x:row>
    <x:row r="35">
      <x:c r="A35" s="15" t="n">
        <x:v>1</x:v>
      </x:c>
      <x:c r="B35" s="15" t="str">
        <x:v>audit_events_pkey</x:v>
      </x:c>
      <x:c r="C35" s="15"/>
      <x:c r="D35" s="15" t="str">
        <x:v>BTREE</x:v>
      </x:c>
      <x:c r="E35" s="15"/>
      <x:c r="F35" s="15" t="str">
        <x:v>Unique</x:v>
      </x:c>
      <x:c r="G35" s="15"/>
      <x:c r="H35" s="15" t="str">
        <x:v>audit_event_id</x:v>
      </x:c>
      <x:c r="I35" s="15"/>
      <x:c r="J35" s="15"/>
      <x:c r="K35" s="15"/>
    </x:row>
    <x:row r="36">
      <x:c r="A36" s="15" t="n">
        <x:v>2</x:v>
      </x:c>
      <x:c r="B36" s="15" t="str">
        <x:v>idx_audit_request_time</x:v>
      </x:c>
      <x:c r="C36" s="15"/>
      <x:c r="D36" s="15" t="str">
        <x:v>BTREE</x:v>
      </x:c>
      <x:c r="E36" s="15"/>
      <x:c r="F36" s="15" t="str">
        <x:v>Non-Unique</x:v>
      </x:c>
      <x:c r="G36" s="15"/>
      <x:c r="H36" s="15" t="str">
        <x:v>request_id, created_at</x:v>
      </x:c>
      <x:c r="I36" s="15"/>
      <x:c r="J36" s="15"/>
      <x:c r="K36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4:C34"/>
    <x:mergeCell ref="D34:E34"/>
    <x:mergeCell ref="F34:G34"/>
    <x:mergeCell ref="H34:K34"/>
    <x:mergeCell ref="B35:C35"/>
    <x:mergeCell ref="D35:E35"/>
    <x:mergeCell ref="F35:G35"/>
    <x:mergeCell ref="H35:K35"/>
    <x:mergeCell ref="B36:C36"/>
    <x:mergeCell ref="D36:E36"/>
    <x:mergeCell ref="F36:G36"/>
    <x:mergeCell ref="H36:K36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governance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ml_prediction_audit_events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ML 예측 감사 이벤트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Application PostgreSQL의 ML 예측 감사 이벤트을 관리한다. 현재 Alembic head 20260828_49에서 재현한 물리 구조다.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execution_id</x:v>
      </x:c>
      <x:c r="C17" s="15" t="str">
        <x:v>execution ID</x:v>
      </x:c>
      <x:c r="D17" s="15" t="str">
        <x:v>text</x:v>
      </x:c>
      <x:c r="E17" s="15"/>
      <x:c r="F17" s="15" t="str">
        <x:v>PK</x:v>
      </x:c>
      <x:c r="G17" s="15" t="str">
        <x:v>NOT NULL</x:v>
      </x:c>
      <x:c r="H17" s="15"/>
      <x:c r="I17" s="15" t="str">
        <x:v>governance.ml_prediction_audit_events의 한 행을 식별하는 execution ID 기본키다.</x:v>
      </x:c>
      <x:c r="J17" s="15"/>
      <x:c r="K17" s="15" t="str">
        <x:v>보안: INTERNAL</x:v>
      </x:c>
    </x:row>
    <x:row r="18" ht="44" customHeight="1">
      <x:c r="A18" s="15" t="n">
        <x:v>2</x:v>
      </x:c>
      <x:c r="B18" s="15" t="str">
        <x:v>request_payload</x:v>
      </x:c>
      <x:c r="C18" s="15" t="str">
        <x:v>요청 payload</x:v>
      </x:c>
      <x:c r="D18" s="15" t="str">
        <x:v>jsonb</x:v>
      </x:c>
      <x:c r="E18" s="15"/>
      <x:c r="F18" s="15"/>
      <x:c r="G18" s="15" t="str">
        <x:v>NOT NULL</x:v>
      </x:c>
      <x:c r="H18" s="15"/>
      <x:c r="I18" s="15" t="str">
        <x:v>governance.ml_prediction_audit_events의 요청 payload 구조를 JSONB로 저장하며 승인된 스키마 계약으로 검증한다.</x:v>
      </x:c>
      <x:c r="J18" s="15"/>
      <x:c r="K18" s="15" t="str">
        <x:v>보안: CONFIDENTIAL</x:v>
      </x:c>
    </x:row>
    <x:row r="19" ht="44" customHeight="1">
      <x:c r="A19" s="15" t="n">
        <x:v>3</x:v>
      </x:c>
      <x:c r="B19" s="15" t="str">
        <x:v>result_payload</x:v>
      </x:c>
      <x:c r="C19" s="15" t="str">
        <x:v>결과 payload</x:v>
      </x:c>
      <x:c r="D19" s="15" t="str">
        <x:v>jsonb</x:v>
      </x:c>
      <x:c r="E19" s="15"/>
      <x:c r="F19" s="15"/>
      <x:c r="G19" s="15" t="str">
        <x:v>NOT NULL</x:v>
      </x:c>
      <x:c r="H19" s="15"/>
      <x:c r="I19" s="15" t="str">
        <x:v>governance.ml_prediction_audit_events의 결과 payload 구조를 JSONB로 저장하며 승인된 스키마 계약으로 검증한다.</x:v>
      </x:c>
      <x:c r="J19" s="15"/>
      <x:c r="K19" s="15" t="str">
        <x:v>보안: CONFIDENTIAL</x:v>
      </x:c>
    </x:row>
    <x:row r="20" ht="44" customHeight="1">
      <x:c r="A20" s="15" t="n">
        <x:v>4</x:v>
      </x:c>
      <x:c r="B20" s="15" t="str">
        <x:v>provenance</x:v>
      </x:c>
      <x:c r="C20" s="15" t="str">
        <x:v>provenance</x:v>
      </x:c>
      <x:c r="D20" s="15" t="str">
        <x:v>jsonb</x:v>
      </x:c>
      <x:c r="E20" s="15"/>
      <x:c r="F20" s="15"/>
      <x:c r="G20" s="15" t="str">
        <x:v>NOT NULL</x:v>
      </x:c>
      <x:c r="H20" s="15"/>
      <x:c r="I20" s="15" t="str">
        <x:v>governance.ml_prediction_audit_events의 provenance 구조를 JSONB로 저장하며 승인된 스키마 계약으로 검증한다.</x:v>
      </x:c>
      <x:c r="J20" s="15"/>
      <x:c r="K20" s="15" t="str">
        <x:v>보안: INTERNAL</x:v>
      </x:c>
    </x:row>
    <x:row r="21" ht="44" customHeight="1">
      <x:c r="A21" s="15" t="n">
        <x:v>5</x:v>
      </x:c>
      <x:c r="B21" s="15" t="str">
        <x:v>status</x:v>
      </x:c>
      <x:c r="C21" s="15" t="str">
        <x:v>상태</x:v>
      </x:c>
      <x:c r="D21" s="15" t="str">
        <x:v>text</x:v>
      </x:c>
      <x:c r="E21" s="15"/>
      <x:c r="F21" s="15"/>
      <x:c r="G21" s="15" t="str">
        <x:v>NOT NULL</x:v>
      </x:c>
      <x:c r="H21" s="15"/>
      <x:c r="I21" s="15" t="str">
        <x:v>governance.ml_prediction_audit_events의 현재 상태를 저장한다. 허용 범위는 연결된 CHECK 제약과 서비스 계약을 따른다.</x:v>
      </x:c>
      <x:c r="J21" s="15"/>
      <x:c r="K21" s="15" t="str">
        <x:v>보안: INTERNAL</x:v>
      </x:c>
    </x:row>
    <x:row r="22" ht="44" customHeight="1">
      <x:c r="A22" s="15" t="n">
        <x:v>6</x:v>
      </x:c>
      <x:c r="B22" s="15" t="str">
        <x:v>rag_called</x:v>
      </x:c>
      <x:c r="C22" s="15" t="str">
        <x:v>rag called</x:v>
      </x:c>
      <x:c r="D22" s="15" t="str">
        <x:v>boolean</x:v>
      </x:c>
      <x:c r="E22" s="15"/>
      <x:c r="F22" s="15"/>
      <x:c r="G22" s="15" t="str">
        <x:v>NOT NULL</x:v>
      </x:c>
      <x:c r="H22" s="15"/>
      <x:c r="I22" s="15" t="str">
        <x:v>governance.ml_prediction_audit_events에서 rag called 값을 저장한다.</x:v>
      </x:c>
      <x:c r="J22" s="15" t="str">
        <x:v>CHECK | CHECK (rag_called = false)</x:v>
      </x:c>
      <x:c r="K22" s="15" t="str">
        <x:v>보안: INTERNAL</x:v>
      </x:c>
    </x:row>
    <x:row r="23" ht="44" customHeight="1">
      <x:c r="A23" s="15" t="n">
        <x:v>7</x:v>
      </x:c>
      <x:c r="B23" s="15" t="str">
        <x:v>created_at</x:v>
      </x:c>
      <x:c r="C23" s="15" t="str">
        <x:v>생성 시각</x:v>
      </x:c>
      <x:c r="D23" s="15" t="str">
        <x:v>timestamptz</x:v>
      </x:c>
      <x:c r="E23" s="15"/>
      <x:c r="F23" s="15"/>
      <x:c r="G23" s="15" t="str">
        <x:v>NOT NULL</x:v>
      </x:c>
      <x:c r="H23" s="15" t="str">
        <x:v>now()</x:v>
      </x:c>
      <x:c r="I23" s="15" t="str">
        <x:v>governance.ml_prediction_audit_events의 생성 시각을 UTC 기준 시각으로 저장한다.</x:v>
      </x:c>
      <x:c r="J23" s="15"/>
      <x:c r="K23" s="15" t="str">
        <x:v>보안: INTERNAL</x:v>
      </x:c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>
      <x:c r="A25" s="58" t="str">
        <x:v>no</x:v>
      </x:c>
      <x:c r="B25" s="58" t="str">
        <x:v>Index name</x:v>
      </x:c>
      <x:c r="C25" s="58"/>
      <x:c r="D25" s="58" t="str">
        <x:v>Index type</x:v>
      </x:c>
      <x:c r="E25" s="58"/>
      <x:c r="F25" s="58" t="str">
        <x:v>Unique</x:v>
      </x:c>
      <x:c r="G25" s="58"/>
      <x:c r="H25" s="58" t="str">
        <x:v>구성 컬럼</x:v>
      </x:c>
      <x:c r="I25" s="58"/>
      <x:c r="J25" s="58"/>
      <x:c r="K25" s="58"/>
    </x:row>
    <x:row r="26">
      <x:c r="A26" s="15" t="n">
        <x:v>1</x:v>
      </x:c>
      <x:c r="B26" s="15" t="str">
        <x:v>ml_prediction_audit_events_pkey</x:v>
      </x:c>
      <x:c r="C26" s="15"/>
      <x:c r="D26" s="15" t="str">
        <x:v>BTREE</x:v>
      </x:c>
      <x:c r="E26" s="15"/>
      <x:c r="F26" s="15" t="str">
        <x:v>Unique</x:v>
      </x:c>
      <x:c r="G26" s="15"/>
      <x:c r="H26" s="15" t="str">
        <x:v>execution_id</x:v>
      </x:c>
      <x:c r="I26" s="15"/>
      <x:c r="J26" s="15"/>
      <x:c r="K26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25:C25"/>
    <x:mergeCell ref="D25:E25"/>
    <x:mergeCell ref="F25:G25"/>
    <x:mergeCell ref="H25:K25"/>
    <x:mergeCell ref="B26:C26"/>
    <x:mergeCell ref="D26:E26"/>
    <x:mergeCell ref="F26:G26"/>
    <x:mergeCell ref="H26:K26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governance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phase_20260822_30_preexisting_objects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사전 객체 존재 확인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Application PostgreSQL의 사전 객체 존재 확인을 관리한다. 현재 Alembic head 20260828_49에서 재현한 물리 구조다.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object_name</x:v>
      </x:c>
      <x:c r="C17" s="15" t="str">
        <x:v>object 이름</x:v>
      </x:c>
      <x:c r="D17" s="15" t="str">
        <x:v>text</x:v>
      </x:c>
      <x:c r="E17" s="15"/>
      <x:c r="F17" s="15" t="str">
        <x:v>PK</x:v>
      </x:c>
      <x:c r="G17" s="15" t="str">
        <x:v>NOT NULL</x:v>
      </x:c>
      <x:c r="H17" s="15"/>
      <x:c r="I17" s="15" t="str">
        <x:v>governance.phase_20260822_30_preexisting_objects의 한 행을 식별하는 object 이름 기본키다.</x:v>
      </x:c>
      <x:c r="J17" s="15"/>
      <x:c r="K17" s="15" t="str">
        <x:v>보안: INTERNAL</x:v>
      </x:c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>
      <x:c r="A19" s="58" t="str">
        <x:v>no</x:v>
      </x:c>
      <x:c r="B19" s="58" t="str">
        <x:v>Index name</x:v>
      </x:c>
      <x:c r="C19" s="58"/>
      <x:c r="D19" s="58" t="str">
        <x:v>Index type</x:v>
      </x:c>
      <x:c r="E19" s="58"/>
      <x:c r="F19" s="58" t="str">
        <x:v>Unique</x:v>
      </x:c>
      <x:c r="G19" s="58"/>
      <x:c r="H19" s="58" t="str">
        <x:v>구성 컬럼</x:v>
      </x:c>
      <x:c r="I19" s="58"/>
      <x:c r="J19" s="58"/>
      <x:c r="K19" s="58"/>
    </x:row>
    <x:row r="20">
      <x:c r="A20" s="15" t="n">
        <x:v>1</x:v>
      </x:c>
      <x:c r="B20" s="15" t="str">
        <x:v>phase_20260822_30_preexisting_objects_pkey</x:v>
      </x:c>
      <x:c r="C20" s="15"/>
      <x:c r="D20" s="15" t="str">
        <x:v>BTREE</x:v>
      </x:c>
      <x:c r="E20" s="15"/>
      <x:c r="F20" s="15" t="str">
        <x:v>Unique</x:v>
      </x:c>
      <x:c r="G20" s="15"/>
      <x:c r="H20" s="15" t="str">
        <x:v>object_name</x:v>
      </x:c>
      <x:c r="I20" s="15"/>
      <x:c r="J20" s="15"/>
      <x:c r="K20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19:C19"/>
    <x:mergeCell ref="D19:E19"/>
    <x:mergeCell ref="F19:G19"/>
    <x:mergeCell ref="H19:K19"/>
    <x:mergeCell ref="B20:C20"/>
    <x:mergeCell ref="D20:E20"/>
    <x:mergeCell ref="F20:G20"/>
    <x:mergeCell ref="H20:K20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governance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product_release_bindings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제품 릴리스 바인딩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Application PostgreSQL의 제품 릴리스 바인딩을 관리한다. 현재 Alembic head 20260828_49에서 재현한 물리 구조다.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binding_id</x:v>
      </x:c>
      <x:c r="C17" s="15" t="str">
        <x:v>binding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 t="str">
        <x:v>gen_random_uuid()</x:v>
      </x:c>
      <x:c r="I17" s="15" t="str">
        <x:v>governance.product_release_bindings의 한 행을 식별하는 binding ID 기본키다.</x:v>
      </x:c>
      <x:c r="J17" s="15"/>
      <x:c r="K17" s="15" t="str">
        <x:v>보안: INTERNAL</x:v>
      </x:c>
    </x:row>
    <x:row r="18" ht="44" customHeight="1">
      <x:c r="A18" s="15" t="n">
        <x:v>2</x:v>
      </x:c>
      <x:c r="B18" s="15" t="str">
        <x:v>object_kind</x:v>
      </x:c>
      <x:c r="C18" s="15" t="str">
        <x:v>object kind</x:v>
      </x:c>
      <x:c r="D18" s="15" t="str">
        <x:v>varchar</x:v>
      </x:c>
      <x:c r="E18" s="15" t="n">
        <x:v>16</x:v>
      </x:c>
      <x:c r="F18" s="15" t="str">
        <x:v>UK</x:v>
      </x:c>
      <x:c r="G18" s="15" t="str">
        <x:v>NOT NULL</x:v>
      </x:c>
      <x:c r="H18" s="15"/>
      <x:c r="I18" s="15" t="str">
        <x:v>governance.product_release_bindings에서 object kind 값을 저장한다.</x:v>
      </x:c>
      <x:c r="J18" s="15" t="str">
        <x:v>CHECK | CHECK (object_kind::text = ANY (ARRAY['CONVERSATION'::character varying, 'TURN'::character varying, 'CONTEXT'::character varying, 'RUN'::character varying, 'ARTIFACT'::character varying, 'VIEW'::character varying, 'REPORT'::character varying]::text[]))</x:v>
      </x:c>
      <x:c r="K18" s="15" t="str">
        <x:v>보안: INTERNAL</x:v>
      </x:c>
    </x:row>
    <x:row r="19" ht="44" customHeight="1">
      <x:c r="A19" s="15" t="n">
        <x:v>3</x:v>
      </x:c>
      <x:c r="B19" s="15" t="str">
        <x:v>object_id</x:v>
      </x:c>
      <x:c r="C19" s="15" t="str">
        <x:v>object ID</x:v>
      </x:c>
      <x:c r="D19" s="15" t="str">
        <x:v>varchar</x:v>
      </x:c>
      <x:c r="E19" s="15" t="n">
        <x:v>256</x:v>
      </x:c>
      <x:c r="F19" s="15" t="str">
        <x:v>UK</x:v>
      </x:c>
      <x:c r="G19" s="15" t="str">
        <x:v>NOT NULL</x:v>
      </x:c>
      <x:c r="H19" s="15"/>
      <x:c r="I19" s="15" t="str">
        <x:v>governance.product_release_bindings에서 object ID 값을 저장한다.</x:v>
      </x:c>
      <x:c r="J19" s="15" t="str">
        <x:v>CHECK | CHECK (btrim(object_id::text) &lt;&gt; ''::text)</x:v>
      </x:c>
      <x:c r="K19" s="15" t="str">
        <x:v>보안: INTERNAL</x:v>
      </x:c>
    </x:row>
    <x:row r="20" ht="44" customHeight="1">
      <x:c r="A20" s="15" t="n">
        <x:v>4</x:v>
      </x:c>
      <x:c r="B20" s="15" t="str">
        <x:v>product_release_id</x:v>
      </x:c>
      <x:c r="C20" s="15" t="str">
        <x:v>product 릴리스 ID</x:v>
      </x:c>
      <x:c r="D20" s="15" t="str">
        <x:v>varchar</x:v>
      </x:c>
      <x:c r="E20" s="15" t="n">
        <x:v>160</x:v>
      </x:c>
      <x:c r="F20" s="15" t="str">
        <x:v>FK</x:v>
      </x:c>
      <x:c r="G20" s="15" t="str">
        <x:v>NOT NULL</x:v>
      </x:c>
      <x:c r="H20" s="15"/>
      <x:c r="I20" s="15" t="str">
        <x:v>governance.product_release_manifests.product_release_id를 참조해 governance.product_release_bindings의 product 릴리스 ID 관계를 연결한다.</x:v>
      </x:c>
      <x:c r="J20" s="15" t="str">
        <x:v>물리 FK | governance.product_release_manifests.product_release_id</x:v>
      </x:c>
      <x:c r="K20" s="15" t="str">
        <x:v>보안: INTERNAL</x:v>
      </x:c>
    </x:row>
    <x:row r="21" ht="44" customHeight="1">
      <x:c r="A21" s="15" t="n">
        <x:v>5</x:v>
      </x:c>
      <x:c r="B21" s="15" t="str">
        <x:v>permission_snapshot_id</x:v>
      </x:c>
      <x:c r="C21" s="15" t="str">
        <x:v>permission snapshot ID</x:v>
      </x:c>
      <x:c r="D21" s="15" t="str">
        <x:v>varchar</x:v>
      </x:c>
      <x:c r="E21" s="15" t="n">
        <x:v>160</x:v>
      </x:c>
      <x:c r="F21" s="15"/>
      <x:c r="G21" s="15" t="str">
        <x:v>NOT NULL</x:v>
      </x:c>
      <x:c r="H21" s="15"/>
      <x:c r="I21" s="15" t="str">
        <x:v>governance.product_release_bindings에서 permission snapshot ID 값을 저장한다.</x:v>
      </x:c>
      <x:c r="J21" s="15" t="str">
        <x:v>CHECK | CHECK (btrim(permission_snapshot_id::text) &lt;&gt; ''::text)</x:v>
      </x:c>
      <x:c r="K21" s="15" t="str">
        <x:v>보안: INTERNAL</x:v>
      </x:c>
    </x:row>
    <x:row r="22" ht="44" customHeight="1">
      <x:c r="A22" s="15" t="n">
        <x:v>6</x:v>
      </x:c>
      <x:c r="B22" s="15" t="str">
        <x:v>semantic_release_id</x:v>
      </x:c>
      <x:c r="C22" s="15" t="str">
        <x:v>semantic 릴리스 ID</x:v>
      </x:c>
      <x:c r="D22" s="15" t="str">
        <x:v>varchar</x:v>
      </x:c>
      <x:c r="E22" s="15" t="n">
        <x:v>256</x:v>
      </x:c>
      <x:c r="F22" s="15"/>
      <x:c r="G22" s="15" t="str">
        <x:v>NOT NULL</x:v>
      </x:c>
      <x:c r="H22" s="15"/>
      <x:c r="I22" s="15" t="str">
        <x:v>governance.product_release_bindings에서 semantic 릴리스 ID 값을 저장한다.</x:v>
      </x:c>
      <x:c r="J22" s="15" t="str">
        <x:v>CHECK | CHECK (btrim(semantic_release_id::text) &lt;&gt; ''::text)</x:v>
      </x:c>
      <x:c r="K22" s="15" t="str">
        <x:v>보안: INTERNAL</x:v>
      </x:c>
    </x:row>
    <x:row r="23" ht="44" customHeight="1">
      <x:c r="A23" s="15" t="n">
        <x:v>7</x:v>
      </x:c>
      <x:c r="B23" s="15" t="str">
        <x:v>capability_release_vector_json</x:v>
      </x:c>
      <x:c r="C23" s="15" t="str">
        <x:v>capability 릴리스 vector json</x:v>
      </x:c>
      <x:c r="D23" s="15" t="str">
        <x:v>jsonb</x:v>
      </x:c>
      <x:c r="E23" s="15"/>
      <x:c r="F23" s="15"/>
      <x:c r="G23" s="15" t="str">
        <x:v>NOT NULL</x:v>
      </x:c>
      <x:c r="H23" s="15"/>
      <x:c r="I23" s="15" t="str">
        <x:v>governance.product_release_bindings의 capability 릴리스 vector json 구조를 JSONB로 저장하며 승인된 스키마 계약으로 검증한다.</x:v>
      </x:c>
      <x:c r="J23" s="15" t="str">
        <x:v>CHECK | CHECK (jsonb_typeof(capability_release_vector_json) = 'object'::text AND capability_release_vector_json &lt;&gt; '{}'::jsonb)</x:v>
      </x:c>
      <x:c r="K23" s="15" t="str">
        <x:v>보안: INTERNAL</x:v>
      </x:c>
    </x:row>
    <x:row r="24" ht="44" customHeight="1">
      <x:c r="A24" s="15" t="n">
        <x:v>8</x:v>
      </x:c>
      <x:c r="B24" s="15" t="str">
        <x:v>evidence_refs_json</x:v>
      </x:c>
      <x:c r="C24" s="15" t="str">
        <x:v>evidence refs json</x:v>
      </x:c>
      <x:c r="D24" s="15" t="str">
        <x:v>jsonb</x:v>
      </x:c>
      <x:c r="E24" s="15"/>
      <x:c r="F24" s="15"/>
      <x:c r="G24" s="15" t="str">
        <x:v>NOT NULL</x:v>
      </x:c>
      <x:c r="H24" s="15"/>
      <x:c r="I24" s="15" t="str">
        <x:v>governance.product_release_bindings의 evidence refs json 구조를 JSONB로 저장하며 승인된 스키마 계약으로 검증한다.</x:v>
      </x:c>
      <x:c r="J24" s="15" t="str">
        <x:v>CHECK | CHECK (jsonb_typeof(evidence_refs_json) = 'array'::text)</x:v>
      </x:c>
      <x:c r="K24" s="15" t="str">
        <x:v>보안: INTERNAL</x:v>
      </x:c>
    </x:row>
    <x:row r="25" ht="44" customHeight="1">
      <x:c r="A25" s="15" t="n">
        <x:v>9</x:v>
      </x:c>
      <x:c r="B25" s="15" t="str">
        <x:v>bound_at</x:v>
      </x:c>
      <x:c r="C25" s="15" t="str">
        <x:v>bound 시각</x:v>
      </x:c>
      <x:c r="D25" s="15" t="str">
        <x:v>timestamptz</x:v>
      </x:c>
      <x:c r="E25" s="15"/>
      <x:c r="F25" s="15"/>
      <x:c r="G25" s="15" t="str">
        <x:v>NOT NULL</x:v>
      </x:c>
      <x:c r="H25" s="15" t="str">
        <x:v>now()</x:v>
      </x:c>
      <x:c r="I25" s="15" t="str">
        <x:v>governance.product_release_bindings의 bound 시각을 UTC 기준 시각으로 저장한다.</x:v>
      </x:c>
      <x:c r="J25" s="15"/>
      <x:c r="K25" s="15" t="str">
        <x:v>보안: INTERNAL</x:v>
      </x:c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>
      <x:c r="A27" s="58" t="str">
        <x:v>no</x:v>
      </x:c>
      <x:c r="B27" s="58" t="str">
        <x:v>Index name</x:v>
      </x:c>
      <x:c r="C27" s="58"/>
      <x:c r="D27" s="58" t="str">
        <x:v>Index type</x:v>
      </x:c>
      <x:c r="E27" s="58"/>
      <x:c r="F27" s="58" t="str">
        <x:v>Unique</x:v>
      </x:c>
      <x:c r="G27" s="58"/>
      <x:c r="H27" s="58" t="str">
        <x:v>구성 컬럼</x:v>
      </x:c>
      <x:c r="I27" s="58"/>
      <x:c r="J27" s="58"/>
      <x:c r="K27" s="58"/>
    </x:row>
    <x:row r="28">
      <x:c r="A28" s="15" t="n">
        <x:v>1</x:v>
      </x:c>
      <x:c r="B28" s="15" t="str">
        <x:v>product_release_bindings_object_kind_object_id_key</x:v>
      </x:c>
      <x:c r="C28" s="15"/>
      <x:c r="D28" s="15" t="str">
        <x:v>BTREE</x:v>
      </x:c>
      <x:c r="E28" s="15"/>
      <x:c r="F28" s="15" t="str">
        <x:v>Unique</x:v>
      </x:c>
      <x:c r="G28" s="15"/>
      <x:c r="H28" s="15" t="str">
        <x:v>object_kind, object_id</x:v>
      </x:c>
      <x:c r="I28" s="15"/>
      <x:c r="J28" s="15"/>
      <x:c r="K28" s="15"/>
    </x:row>
    <x:row r="29">
      <x:c r="A29" s="15" t="n">
        <x:v>2</x:v>
      </x:c>
      <x:c r="B29" s="15" t="str">
        <x:v>product_release_bindings_pkey</x:v>
      </x:c>
      <x:c r="C29" s="15"/>
      <x:c r="D29" s="15" t="str">
        <x:v>BTREE</x:v>
      </x:c>
      <x:c r="E29" s="15"/>
      <x:c r="F29" s="15" t="str">
        <x:v>Unique</x:v>
      </x:c>
      <x:c r="G29" s="15"/>
      <x:c r="H29" s="15" t="str">
        <x:v>binding_id</x:v>
      </x:c>
      <x:c r="I29" s="15"/>
      <x:c r="J29" s="15"/>
      <x:c r="K29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27:C27"/>
    <x:mergeCell ref="D27:E27"/>
    <x:mergeCell ref="F27:G27"/>
    <x:mergeCell ref="H27:K27"/>
    <x:mergeCell ref="B28:C28"/>
    <x:mergeCell ref="D28:E28"/>
    <x:mergeCell ref="F28:G28"/>
    <x:mergeCell ref="H28:K28"/>
    <x:mergeCell ref="B29:C29"/>
    <x:mergeCell ref="D29:E29"/>
    <x:mergeCell ref="F29:G29"/>
    <x:mergeCell ref="H29:K29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governance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product_release_manifests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제품 릴리스 매니페스트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Application PostgreSQL의 제품 릴리스 매니페스트을 관리한다. 현재 Alembic head 20260828_49에서 재현한 물리 구조다.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product_release_id</x:v>
      </x:c>
      <x:c r="C17" s="15" t="str">
        <x:v>product 릴리스 ID</x:v>
      </x:c>
      <x:c r="D17" s="15" t="str">
        <x:v>varchar</x:v>
      </x:c>
      <x:c r="E17" s="15" t="n">
        <x:v>160</x:v>
      </x:c>
      <x:c r="F17" s="15" t="str">
        <x:v>PK</x:v>
      </x:c>
      <x:c r="G17" s="15" t="str">
        <x:v>NOT NULL</x:v>
      </x:c>
      <x:c r="H17" s="15"/>
      <x:c r="I17" s="15" t="str">
        <x:v>governance.product_release_manifests의 한 행을 식별하는 product 릴리스 ID 기본키다.</x:v>
      </x:c>
      <x:c r="J17" s="15" t="str">
        <x:v>CHECK | CHECK (manifest_json ?&amp; ARRAY['schema_version'::text, 'product_release_id'::text, 'evidence'::text, 'created_at'::text, 'manifest_sha256'::text] AND jsonb_typeof(manifest_json -&gt; 'evidence'::text) = 'object'::text AND (manifest_json -&gt; 'evidence'::text) ?&amp; ARRAY['source'::text, 'images'::text, 'migration'::text, 'model'::text, 'catalog'::text, 'release_vector'::text] AND (manifest_json -&gt;&gt; 'schema_version'::text) = contract_version::text AND (manifest_json -&gt;&gt; 'product_release_id'::text) = product_release_id::text AND (manifest_json -&gt;&gt; 'manifest_sha256'::text) = manifest_sha256::text AND (manifest_json #&gt;&gt; '{evidence,source,commit_sha}'::text[]) = source_commit_sha::text AND ((manifest_json #&gt;&gt; '{evidence,source,dirty}'::text[])::boolean) = source_dirty AND NOT (manifest_json #&gt;&gt; '{evidence,source,dirty_patch_sha256}'::text[]) IS DISTINCT FROM dirty_patch_sha256::text AND (manifest_json #&gt; '{evidence,images}'::text[]) = image_digests_json AND (manifest_json #&gt;&gt; '{evidence,migration,revision}'::text[]) = migration_revision::text AND (manifest_json #&gt;&gt; '{evidence,migration,chain_sha256}'::text[]) = migration_chain_sha256::text AND (manifest_json #&gt;&gt; '{evidence,model,release_id}'::text[]) = model_release_id::text AND (manifest_json #&gt;&gt; '{evidence,model,manifest_sha256}'::text[]) = model_manifest_sha256::text AND (manifest_json #&gt;&gt; '{evidence,catalog,release_id}'::text[]) = catalog_release_id::text AND (manifest_json #&gt;&gt; '{evidence,catalog,manifest_sha256}'::text[]) = catalog_manifest_sha256::text AND (manifest_json #&gt;&gt; '{evidence,catalog,projection_sha256}'::text[]) = catalog_projection_sha256::text AND (manifest_json #&gt; '{evidence,release_vector}'::text[]) = release_vector_json)</x:v>
      </x:c>
      <x:c r="K17" s="15" t="str">
        <x:v>보안: INTERNAL</x:v>
      </x:c>
    </x:row>
    <x:row r="18" ht="44" customHeight="1">
      <x:c r="A18" s="15" t="n">
        <x:v>2</x:v>
      </x:c>
      <x:c r="B18" s="15" t="str">
        <x:v>contract_version</x:v>
      </x:c>
      <x:c r="C18" s="15" t="str">
        <x:v>contract 버전</x:v>
      </x:c>
      <x:c r="D18" s="15" t="str">
        <x:v>varchar</x:v>
      </x:c>
      <x:c r="E18" s="15" t="n">
        <x:v>64</x:v>
      </x:c>
      <x:c r="F18" s="15"/>
      <x:c r="G18" s="15" t="str">
        <x:v>NOT NULL</x:v>
      </x:c>
      <x:c r="H18" s="15"/>
      <x:c r="I18" s="15" t="str">
        <x:v>governance.product_release_manifests에서 contract 버전 값을 저장한다.</x:v>
      </x:c>
      <x:c r="J18" s="15" t="str">
        <x:v>CHECK | CHECK (manifest_json ?&amp; ARRAY['schema_version'::text, 'product_release_id'::text, 'evidence'::text, 'created_at'::text, 'manifest_sha256'::text] AND jsonb_typeof(manifest_json -&gt; 'evidence'::text) = 'object'::text AND (manifest_json -&gt; 'evidence'::text) ?&amp; ARRAY['source'::text, 'images'::text, 'migration'::text, 'model'::text, 'catalog'::text, 'release_vector'::text] AND (manifest_json -&gt;&gt; 'schema_version'::text) = contract_version::text AND (manifest_json -&gt;&gt; 'product_release_id'::text) = product_release_id::text AND (manifest_json -&gt;&gt; 'manifest_sha256'::text) = manifest_sha256::text AND (manifest_json #&gt;&gt; '{evidence,source,commit_sha}'::text[]) = source_commit_sha::text AND ((manifest_json #&gt;&gt; '{evidence,source,dirty}'::text[])::boolean) = source_dirty AND NOT (manifest_json #&gt;&gt; '{evidence,source,dirty_patch_sha256}'::text[]) IS DISTINCT FROM dirty_patch_sha256::text AND (manifest_json #&gt; '{evidence,images}'::text[]) = image_digests_json AND (manifest_json #&gt;&gt; '{evidence,migration,revision}'::text[]) = migration_revision::text AND (manifest_json #&gt;&gt; '{evidence,migration,chain_sha256}'::text[]) = migration_chain_sha256::text AND (manifest_json #&gt;&gt; '{evidence,model,release_id}'::text[]) = model_release_id::text AND (manifest_json #&gt;&gt; '{evidence,model,manifest_sha256}'::text[]) = model_manifest_sha256::text AND (manifest_json #&gt;&gt; '{evidence,catalog,release_id}'::text[]) = catalog_release_id::text AND (manifest_json #&gt;&gt; '{evidence,catalog,manifest_sha256}'::text[]) = catalog_manifest_sha256::text AND (manifest_json #&gt;&gt; '{evidence,catalog,projection_sha256}'::text[]) = catalog_projection_sha256::text AND (manifest_json #&gt; '{evidence,release_vector}'::text[]) = release_vector_json)</x:v>
      </x:c>
      <x:c r="K18" s="15" t="str">
        <x:v>보안: INTERNAL</x:v>
      </x:c>
    </x:row>
    <x:row r="19" ht="44" customHeight="1">
      <x:c r="A19" s="15" t="n">
        <x:v>3</x:v>
      </x:c>
      <x:c r="B19" s="15" t="str">
        <x:v>manifest_sha256</x:v>
      </x:c>
      <x:c r="C19" s="15" t="str">
        <x:v>매니페스트 sha256</x:v>
      </x:c>
      <x:c r="D19" s="15" t="str">
        <x:v>character</x:v>
      </x:c>
      <x:c r="E19" s="15" t="n">
        <x:v>64</x:v>
      </x:c>
      <x:c r="F19" s="15" t="str">
        <x:v>UK</x:v>
      </x:c>
      <x:c r="G19" s="15" t="str">
        <x:v>NOT NULL</x:v>
      </x:c>
      <x:c r="H19" s="15"/>
      <x:c r="I19" s="15" t="str">
        <x:v>governance.product_release_manifests에서 매니페스트 sha256 값을 저장한다.</x:v>
      </x:c>
      <x:c r="J19" s="15" t="str">
        <x:v>CHECK | CHECK (catalog_manifest_sha256 ~ '^[0-9a-f]{64}$'::text)</x:v>
      </x:c>
      <x:c r="K19" s="15" t="str">
        <x:v>보안: INTERNAL</x:v>
      </x:c>
    </x:row>
    <x:row r="20" ht="44" customHeight="1">
      <x:c r="A20" s="15" t="n">
        <x:v>4</x:v>
      </x:c>
      <x:c r="B20" s="15" t="str">
        <x:v>manifest_json</x:v>
      </x:c>
      <x:c r="C20" s="15" t="str">
        <x:v>매니페스트 json</x:v>
      </x:c>
      <x:c r="D20" s="15" t="str">
        <x:v>jsonb</x:v>
      </x:c>
      <x:c r="E20" s="15"/>
      <x:c r="F20" s="15"/>
      <x:c r="G20" s="15" t="str">
        <x:v>NOT NULL</x:v>
      </x:c>
      <x:c r="H20" s="15"/>
      <x:c r="I20" s="15" t="str">
        <x:v>governance.product_release_manifests의 매니페스트 json 구조를 JSONB로 저장하며 승인된 스키마 계약으로 검증한다.</x:v>
      </x:c>
      <x:c r="J20" s="15" t="str">
        <x:v>CHECK | CHECK (manifest_json ?&amp; ARRAY['schema_version'::text, 'product_release_id'::text, 'evidence'::text, 'created_at'::text, 'manifest_sha256'::text] AND jsonb_typeof(manifest_json -&gt; 'evidence'::text) = 'object'::text AND (manifest_json -&gt; 'evidence'::text) ?&amp; ARRAY['source'::text, 'images'::text, 'migration'::text, 'model'::text, 'catalog'::text, 'release_vector'::text] AND (manifest_json -&gt;&gt; 'schema_version'::text) = contract_version::text AND (manifest_json -&gt;&gt; 'product_release_id'::text) = product_release_id::text AND (manifest_json -&gt;&gt; 'manifest_sha256'::text) = manifest_sha256::text AND (manifest_json #&gt;&gt; '{evidence,source,commit_sha}'::text[]) = source_commit_sha::text AND ((manifest_json #&gt;&gt; '{evidence,source,dirty}'::text[])::boolean) = source_dirty AND NOT (manifest_json #&gt;&gt; '{evidence,source,dirty_patch_sha256}'::text[]) IS DISTINCT FROM dirty_patch_sha256::text AND (manifest_json #&gt; '{evidence,images}'::text[]) = image_digests_json AND (manifest_json #&gt;&gt; '{evidence,migration,revision}'::text[]) = migration_revision::text AND (manifest_json #&gt;&gt; '{evidence,migration,chain_sha256}'::text[]) = migration_chain_sha256::text AND (manifest_json #&gt;&gt; '{evidence,model,release_id}'::text[]) = model_release_id::text AND (manifest_json #&gt;&gt; '{evidence,model,manifest_sha256}'::text[]) = model_manifest_sha256::text AND (manifest_json #&gt;&gt; '{evidence,catalog,release_id}'::text[]) = catalog_release_id::text AND (manifest_json #&gt;&gt; '{evidence,catalog,manifest_sha256}'::text[]) = catalog_manifest_sha256::text AND (manifest_json #&gt;&gt; '{evidence,catalog,projection_sha256}'::text[]) = catalog_projection_sha256::text AND (manifest_json #&gt; '{evidence,release_vector}'::text[]) = release_vector_json)</x:v>
      </x:c>
      <x:c r="K20" s="15" t="str">
        <x:v>보안: INTERNAL</x:v>
      </x:c>
    </x:row>
    <x:row r="21" ht="44" customHeight="1">
      <x:c r="A21" s="15" t="n">
        <x:v>5</x:v>
      </x:c>
      <x:c r="B21" s="15" t="str">
        <x:v>source_commit_sha</x:v>
      </x:c>
      <x:c r="C21" s="15" t="str">
        <x:v>소스 commit sha</x:v>
      </x:c>
      <x:c r="D21" s="15" t="str">
        <x:v>varchar</x:v>
      </x:c>
      <x:c r="E21" s="15" t="n">
        <x:v>64</x:v>
      </x:c>
      <x:c r="F21" s="15"/>
      <x:c r="G21" s="15" t="str">
        <x:v>NOT NULL</x:v>
      </x:c>
      <x:c r="H21" s="15"/>
      <x:c r="I21" s="15" t="str">
        <x:v>governance.product_release_manifests에서 소스 commit sha 값을 저장한다.</x:v>
      </x:c>
      <x:c r="J21" s="15" t="str">
        <x:v>CHECK | CHECK (manifest_json ?&amp; ARRAY['schema_version'::text, 'product_release_id'::text, 'evidence'::text, 'created_at'::text, 'manifest_sha256'::text] AND jsonb_typeof(manifest_json -&gt; 'evidence'::text) = 'object'::text AND (manifest_json -&gt; 'evidence'::text) ?&amp; ARRAY['source'::text, 'images'::text, 'migration'::text, 'model'::text, 'catalog'::text, 'release_vector'::text] AND (manifest_json -&gt;&gt; 'schema_version'::text) = contract_version::text AND (manifest_json -&gt;&gt; 'product_release_id'::text) = product_release_id::text AND (manifest_json -&gt;&gt; 'manifest_sha256'::text) = manifest_sha256::text AND (manifest_json #&gt;&gt; '{evidence,source,commit_sha}'::text[]) = source_commit_sha::text AND ((manifest_json #&gt;&gt; '{evidence,source,dirty}'::text[])::boolean) = source_dirty AND NOT (manifest_json #&gt;&gt; '{evidence,source,dirty_patch_sha256}'::text[]) IS DISTINCT FROM dirty_patch_sha256::text AND (manifest_json #&gt; '{evidence,images}'::text[]) = image_digests_json AND (manifest_json #&gt;&gt; '{evidence,migration,revision}'::text[]) = migration_revision::text AND (manifest_json #&gt;&gt; '{evidence,migration,chain_sha256}'::text[]) = migration_chain_sha256::text AND (manifest_json #&gt;&gt; '{evidence,model,release_id}'::text[]) = model_release_id::text AND (manifest_json #&gt;&gt; '{evidence,model,manifest_sha256}'::text[]) = model_manifest_sha256::text AND (manifest_json #&gt;&gt; '{evidence,catalog,release_id}'::text[]) = catalog_release_id::text AND (manifest_json #&gt;&gt; '{evidence,catalog,manifest_sha256}'::text[]) = catalog_manifest_sha256::text AND (manifest_json #&gt;&gt; '{evidence,catalog,projection_sha256}'::text[]) = catalog_projection_sha256::text AND (manifest_json #&gt; '{evidence,release_vector}'::text[]) = release_vector_json)</x:v>
      </x:c>
      <x:c r="K21" s="15" t="str">
        <x:v>보안: INTERNAL</x:v>
      </x:c>
    </x:row>
    <x:row r="22" ht="44" customHeight="1">
      <x:c r="A22" s="15" t="n">
        <x:v>6</x:v>
      </x:c>
      <x:c r="B22" s="15" t="str">
        <x:v>source_dirty</x:v>
      </x:c>
      <x:c r="C22" s="15" t="str">
        <x:v>소스 dirty</x:v>
      </x:c>
      <x:c r="D22" s="15" t="str">
        <x:v>boolean</x:v>
      </x:c>
      <x:c r="E22" s="15"/>
      <x:c r="F22" s="15"/>
      <x:c r="G22" s="15" t="str">
        <x:v>NOT NULL</x:v>
      </x:c>
      <x:c r="H22" s="15"/>
      <x:c r="I22" s="15" t="str">
        <x:v>governance.product_release_manifests에서 소스 dirty 값을 저장한다.</x:v>
      </x:c>
      <x:c r="J22" s="15" t="str">
        <x:v>CHECK | CHECK (source_dirty = (dirty_patch_sha256 IS NOT NULL))</x:v>
      </x:c>
      <x:c r="K22" s="15" t="str">
        <x:v>보안: INTERNAL</x:v>
      </x:c>
    </x:row>
    <x:row r="23" ht="44" customHeight="1">
      <x:c r="A23" s="15" t="n">
        <x:v>7</x:v>
      </x:c>
      <x:c r="B23" s="15" t="str">
        <x:v>dirty_patch_sha256</x:v>
      </x:c>
      <x:c r="C23" s="15" t="str">
        <x:v>dirty patch sha256</x:v>
      </x:c>
      <x:c r="D23" s="15" t="str">
        <x:v>character</x:v>
      </x:c>
      <x:c r="E23" s="15" t="n">
        <x:v>64</x:v>
      </x:c>
      <x:c r="F23" s="15"/>
      <x:c r="G23" s="15"/>
      <x:c r="H23" s="15"/>
      <x:c r="I23" s="15" t="str">
        <x:v>governance.product_release_manifests에서 dirty patch sha256 값을 저장한다.</x:v>
      </x:c>
      <x:c r="J23" s="15" t="str">
        <x:v>CHECK | CHECK (source_dirty = (dirty_patch_sha256 IS NOT NULL))</x:v>
      </x:c>
      <x:c r="K23" s="15" t="str">
        <x:v>보안: INTERNAL</x:v>
      </x:c>
    </x:row>
    <x:row r="24" ht="44" customHeight="1">
      <x:c r="A24" s="15" t="n">
        <x:v>8</x:v>
      </x:c>
      <x:c r="B24" s="15" t="str">
        <x:v>image_digests_json</x:v>
      </x:c>
      <x:c r="C24" s="15" t="str">
        <x:v>image digests json</x:v>
      </x:c>
      <x:c r="D24" s="15" t="str">
        <x:v>jsonb</x:v>
      </x:c>
      <x:c r="E24" s="15"/>
      <x:c r="F24" s="15"/>
      <x:c r="G24" s="15" t="str">
        <x:v>NOT NULL</x:v>
      </x:c>
      <x:c r="H24" s="15"/>
      <x:c r="I24" s="15" t="str">
        <x:v>governance.product_release_manifests의 image digests json 구조를 JSONB로 저장하며 승인된 스키마 계약으로 검증한다.</x:v>
      </x:c>
      <x:c r="J24" s="15" t="str">
        <x:v>CHECK | CHECK (manifest_json ?&amp; ARRAY['schema_version'::text, 'product_release_id'::text, 'evidence'::text, 'created_at'::text, 'manifest_sha256'::text] AND jsonb_typeof(manifest_json -&gt; 'evidence'::text) = 'object'::text AND (manifest_json -&gt; 'evidence'::text) ?&amp; ARRAY['source'::text, 'images'::text, 'migration'::text, 'model'::text, 'catalog'::text, 'release_vector'::text] AND (manifest_json -&gt;&gt; 'schema_version'::text) = contract_version::text AND (manifest_json -&gt;&gt; 'product_release_id'::text) = product_release_id::text AND (manifest_json -&gt;&gt; 'manifest_sha256'::text) = manifest_sha256::text AND (manifest_json #&gt;&gt; '{evidence,source,commit_sha}'::text[]) = source_commit_sha::text AND ((manifest_json #&gt;&gt; '{evidence,source,dirty}'::text[])::boolean) = source_dirty AND NOT (manifest_json #&gt;&gt; '{evidence,source,dirty_patch_sha256}'::text[]) IS DISTINCT FROM dirty_patch_sha256::text AND (manifest_json #&gt; '{evidence,images}'::text[]) = image_digests_json AND (manifest_json #&gt;&gt; '{evidence,migration,revision}'::text[]) = migration_revision::text AND (manifest_json #&gt;&gt; '{evidence,migration,chain_sha256}'::text[]) = migration_chain_sha256::text AND (manifest_json #&gt;&gt; '{evidence,model,release_id}'::text[]) = model_release_id::text AND (manifest_json #&gt;&gt; '{evidence,model,manifest_sha256}'::text[]) = model_manifest_sha256::text AND (manifest_json #&gt;&gt; '{evidence,catalog,release_id}'::text[]) = catalog_release_id::text AND (manifest_json #&gt;&gt; '{evidence,catalog,manifest_sha256}'::text[]) = catalog_manifest_sha256::text AND (manifest_json #&gt;&gt; '{evidence,catalog,projection_sha256}'::text[]) = catalog_projection_sha256::text AND (manifest_json #&gt; '{evidence,release_vector}'::text[]) = release_vector_json)</x:v>
      </x:c>
      <x:c r="K24" s="15" t="str">
        <x:v>보안: INTERNAL</x:v>
      </x:c>
    </x:row>
    <x:row r="25" ht="44" customHeight="1">
      <x:c r="A25" s="15" t="n">
        <x:v>9</x:v>
      </x:c>
      <x:c r="B25" s="15" t="str">
        <x:v>migration_revision</x:v>
      </x:c>
      <x:c r="C25" s="15" t="str">
        <x:v>migration revision</x:v>
      </x:c>
      <x:c r="D25" s="15" t="str">
        <x:v>varchar</x:v>
      </x:c>
      <x:c r="E25" s="15" t="n">
        <x:v>64</x:v>
      </x:c>
      <x:c r="F25" s="15"/>
      <x:c r="G25" s="15" t="str">
        <x:v>NOT NULL</x:v>
      </x:c>
      <x:c r="H25" s="15"/>
      <x:c r="I25" s="15" t="str">
        <x:v>governance.product_release_manifests에서 migration revision 값을 저장한다.</x:v>
      </x:c>
      <x:c r="J25" s="15" t="str">
        <x:v>CHECK | CHECK (manifest_json ?&amp; ARRAY['schema_version'::text, 'product_release_id'::text, 'evidence'::text, 'created_at'::text, 'manifest_sha256'::text] AND jsonb_typeof(manifest_json -&gt; 'evidence'::text) = 'object'::text AND (manifest_json -&gt; 'evidence'::text) ?&amp; ARRAY['source'::text, 'images'::text, 'migration'::text, 'model'::text, 'catalog'::text, 'release_vector'::text] AND (manifest_json -&gt;&gt; 'schema_version'::text) = contract_version::text AND (manifest_json -&gt;&gt; 'product_release_id'::text) = product_release_id::text AND (manifest_json -&gt;&gt; 'manifest_sha256'::text) = manifest_sha256::text AND (manifest_json #&gt;&gt; '{evidence,source,commit_sha}'::text[]) = source_commit_sha::text AND ((manifest_json #&gt;&gt; '{evidence,source,dirty}'::text[])::boolean) = source_dirty AND NOT (manifest_json #&gt;&gt; '{evidence,source,dirty_patch_sha256}'::text[]) IS DISTINCT FROM dirty_patch_sha256::text AND (manifest_json #&gt; '{evidence,images}'::text[]) = image_digests_json AND (manifest_json #&gt;&gt; '{evidence,migration,revision}'::text[]) = migration_revision::text AND (manifest_json #&gt;&gt; '{evidence,migration,chain_sha256}'::text[]) = migration_chain_sha256::text AND (manifest_json #&gt;&gt; '{evidence,model,release_id}'::text[]) = model_release_id::text AND (manifest_json #&gt;&gt; '{evidence,model,manifest_sha256}'::text[]) = model_manifest_sha256::text AND (manifest_json #&gt;&gt; '{evidence,catalog,release_id}'::text[]) = catalog_release_id::text AND (manifest_json #&gt;&gt; '{evidence,catalog,manifest_sha256}'::text[]) = catalog_manifest_sha256::text AND (manifest_json #&gt;&gt; '{evidence,catalog,projection_sha256}'::text[]) = catalog_projection_sha256::text AND (manifest_json #&gt; '{evidence,release_vector}'::text[]) = release_vector_json)</x:v>
      </x:c>
      <x:c r="K25" s="15" t="str">
        <x:v>보안: INTERNAL</x:v>
      </x:c>
    </x:row>
    <x:row r="26" ht="44" customHeight="1">
      <x:c r="A26" s="15" t="n">
        <x:v>10</x:v>
      </x:c>
      <x:c r="B26" s="15" t="str">
        <x:v>migration_chain_sha256</x:v>
      </x:c>
      <x:c r="C26" s="15" t="str">
        <x:v>migration chain sha256</x:v>
      </x:c>
      <x:c r="D26" s="15" t="str">
        <x:v>character</x:v>
      </x:c>
      <x:c r="E26" s="15" t="n">
        <x:v>64</x:v>
      </x:c>
      <x:c r="F26" s="15"/>
      <x:c r="G26" s="15" t="str">
        <x:v>NOT NULL</x:v>
      </x:c>
      <x:c r="H26" s="15"/>
      <x:c r="I26" s="15" t="str">
        <x:v>governance.product_release_manifests에서 migration chain sha256 값을 저장한다.</x:v>
      </x:c>
      <x:c r="J26" s="15" t="str">
        <x:v>CHECK | CHECK (manifest_json ?&amp; ARRAY['schema_version'::text, 'product_release_id'::text, 'evidence'::text, 'created_at'::text, 'manifest_sha256'::text] AND jsonb_typeof(manifest_json -&gt; 'evidence'::text) = 'object'::text AND (manifest_json -&gt; 'evidence'::text) ?&amp; ARRAY['source'::text, 'images'::text, 'migration'::text, 'model'::text, 'catalog'::text, 'release_vector'::text] AND (manifest_json -&gt;&gt; 'schema_version'::text) = contract_version::text AND (manifest_json -&gt;&gt; 'product_release_id'::text) = product_release_id::text AND (manifest_json -&gt;&gt; 'manifest_sha256'::text) = manifest_sha256::text AND (manifest_json #&gt;&gt; '{evidence,source,commit_sha}'::text[]) = source_commit_sha::text AND ((manifest_json #&gt;&gt; '{evidence,source,dirty}'::text[])::boolean) = source_dirty AND NOT (manifest_json #&gt;&gt; '{evidence,source,dirty_patch_sha256}'::text[]) IS DISTINCT FROM dirty_patch_sha256::text AND (manifest_json #&gt; '{evidence,images}'::text[]) = image_digests_json AND (manifest_json #&gt;&gt; '{evidence,migration,revision}'::text[]) = migration_revision::text AND (manifest_json #&gt;&gt; '{evidence,migration,chain_sha256}'::text[]) = migration_chain_sha256::text AND (manifest_json #&gt;&gt; '{evidence,model,release_id}'::text[]) = model_release_id::text AND (manifest_json #&gt;&gt; '{evidence,model,manifest_sha256}'::text[]) = model_manifest_sha256::text AND (manifest_json #&gt;&gt; '{evidence,catalog,release_id}'::text[]) = catalog_release_id::text AND (manifest_json #&gt;&gt; '{evidence,catalog,manifest_sha256}'::text[]) = catalog_manifest_sha256::text AND (manifest_json #&gt;&gt; '{evidence,catalog,projection_sha256}'::text[]) = catalog_projection_sha256::text AND (manifest_json #&gt; '{evidence,release_vector}'::text[]) = release_vector_json)</x:v>
      </x:c>
      <x:c r="K26" s="15" t="str">
        <x:v>보안: INTERNAL</x:v>
      </x:c>
    </x:row>
    <x:row r="27" ht="44" customHeight="1">
      <x:c r="A27" s="15" t="n">
        <x:v>11</x:v>
      </x:c>
      <x:c r="B27" s="15" t="str">
        <x:v>model_release_id</x:v>
      </x:c>
      <x:c r="C27" s="15" t="str">
        <x:v>모델 릴리스 ID</x:v>
      </x:c>
      <x:c r="D27" s="15" t="str">
        <x:v>varchar</x:v>
      </x:c>
      <x:c r="E27" s="15" t="n">
        <x:v>160</x:v>
      </x:c>
      <x:c r="F27" s="15"/>
      <x:c r="G27" s="15" t="str">
        <x:v>NOT NULL</x:v>
      </x:c>
      <x:c r="H27" s="15"/>
      <x:c r="I27" s="15" t="str">
        <x:v>governance.product_release_manifests에서 모델 릴리스 ID 값을 저장한다.</x:v>
      </x:c>
      <x:c r="J27" s="15" t="str">
        <x:v>CHECK | CHECK (manifest_json ?&amp; ARRAY['schema_version'::text, 'product_release_id'::text, 'evidence'::text, 'created_at'::text, 'manifest_sha256'::text] AND jsonb_typeof(manifest_json -&gt; 'evidence'::text) = 'object'::text AND (manifest_json -&gt; 'evidence'::text) ?&amp; ARRAY['source'::text, 'images'::text, 'migration'::text, 'model'::text, 'catalog'::text, 'release_vector'::text] AND (manifest_json -&gt;&gt; 'schema_version'::text) = contract_version::text AND (manifest_json -&gt;&gt; 'product_release_id'::text) = product_release_id::text AND (manifest_json -&gt;&gt; 'manifest_sha256'::text) = manifest_sha256::text AND (manifest_json #&gt;&gt; '{evidence,source,commit_sha}'::text[]) = source_commit_sha::text AND ((manifest_json #&gt;&gt; '{evidence,source,dirty}'::text[])::boolean) = source_dirty AND NOT (manifest_json #&gt;&gt; '{evidence,source,dirty_patch_sha256}'::text[]) IS DISTINCT FROM dirty_patch_sha256::text AND (manifest_json #&gt; '{evidence,images}'::text[]) = image_digests_json AND (manifest_json #&gt;&gt; '{evidence,migration,revision}'::text[]) = migration_revision::text AND (manifest_json #&gt;&gt; '{evidence,migration,chain_sha256}'::text[]) = migration_chain_sha256::text AND (manifest_json #&gt;&gt; '{evidence,model,release_id}'::text[]) = model_release_id::text AND (manifest_json #&gt;&gt; '{evidence,model,manifest_sha256}'::text[]) = model_manifest_sha256::text AND (manifest_json #&gt;&gt; '{evidence,catalog,release_id}'::text[]) = catalog_release_id::text AND (manifest_json #&gt;&gt; '{evidence,catalog,manifest_sha256}'::text[]) = catalog_manifest_sha256::text AND (manifest_json #&gt;&gt; '{evidence,catalog,projection_sha256}'::text[]) = catalog_projection_sha256::text AND (manifest_json #&gt; '{evidence,release_vector}'::text[]) = release_vector_json)</x:v>
      </x:c>
      <x:c r="K27" s="15" t="str">
        <x:v>보안: INTERNAL</x:v>
      </x:c>
    </x:row>
    <x:row r="28" ht="44" customHeight="1">
      <x:c r="A28" s="15" t="n">
        <x:v>12</x:v>
      </x:c>
      <x:c r="B28" s="15" t="str">
        <x:v>model_manifest_sha256</x:v>
      </x:c>
      <x:c r="C28" s="15" t="str">
        <x:v>모델 매니페스트 sha256</x:v>
      </x:c>
      <x:c r="D28" s="15" t="str">
        <x:v>character</x:v>
      </x:c>
      <x:c r="E28" s="15" t="n">
        <x:v>64</x:v>
      </x:c>
      <x:c r="F28" s="15"/>
      <x:c r="G28" s="15" t="str">
        <x:v>NOT NULL</x:v>
      </x:c>
      <x:c r="H28" s="15"/>
      <x:c r="I28" s="15" t="str">
        <x:v>governance.product_release_manifests에서 모델 매니페스트 sha256 값을 저장한다.</x:v>
      </x:c>
      <x:c r="J28" s="15" t="str">
        <x:v>CHECK | CHECK (manifest_json ?&amp; ARRAY['schema_version'::text, 'product_release_id'::text, 'evidence'::text, 'created_at'::text, 'manifest_sha256'::text] AND jsonb_typeof(manifest_json -&gt; 'evidence'::text) = 'object'::text AND (manifest_json -&gt; 'evidence'::text) ?&amp; ARRAY['source'::text, 'images'::text, 'migration'::text, 'model'::text, 'catalog'::text, 'release_vector'::text] AND (manifest_json -&gt;&gt; 'schema_version'::text) = contract_version::text AND (manifest_json -&gt;&gt; 'product_release_id'::text) = product_release_id::text AND (manifest_json -&gt;&gt; 'manifest_sha256'::text) = manifest_sha256::text AND (manifest_json #&gt;&gt; '{evidence,source,commit_sha}'::text[]) = source_commit_sha::text AND ((manifest_json #&gt;&gt; '{evidence,source,dirty}'::text[])::boolean) = source_dirty AND NOT (manifest_json #&gt;&gt; '{evidence,source,dirty_patch_sha256}'::text[]) IS DISTINCT FROM dirty_patch_sha256::text AND (manifest_json #&gt; '{evidence,images}'::text[]) = image_digests_json AND (manifest_json #&gt;&gt; '{evidence,migration,revision}'::text[]) = migration_revision::text AND (manifest_json #&gt;&gt; '{evidence,migration,chain_sha256}'::text[]) = migration_chain_sha256::text AND (manifest_json #&gt;&gt; '{evidence,model,release_id}'::text[]) = model_release_id::text AND (manifest_json #&gt;&gt; '{evidence,model,manifest_sha256}'::text[]) = model_manifest_sha256::text AND (manifest_json #&gt;&gt; '{evidence,catalog,release_id}'::text[]) = catalog_release_id::text AND (manifest_json #&gt;&gt; '{evidence,catalog,manifest_sha256}'::text[]) = catalog_manifest_sha256::text AND (manifest_json #&gt;&gt; '{evidence,catalog,projection_sha256}'::text[]) = catalog_projection_sha256::text AND (manifest_json #&gt; '{evidence,release_vector}'::text[]) = release_vector_json)</x:v>
      </x:c>
      <x:c r="K28" s="15" t="str">
        <x:v>보안: INTERNAL</x:v>
      </x:c>
    </x:row>
    <x:row r="29" ht="44" customHeight="1">
      <x:c r="A29" s="15" t="n">
        <x:v>13</x:v>
      </x:c>
      <x:c r="B29" s="15" t="str">
        <x:v>catalog_release_id</x:v>
      </x:c>
      <x:c r="C29" s="15" t="str">
        <x:v>catalog 릴리스 ID</x:v>
      </x:c>
      <x:c r="D29" s="15" t="str">
        <x:v>varchar</x:v>
      </x:c>
      <x:c r="E29" s="15" t="n">
        <x:v>256</x:v>
      </x:c>
      <x:c r="F29" s="15"/>
      <x:c r="G29" s="15" t="str">
        <x:v>NOT NULL</x:v>
      </x:c>
      <x:c r="H29" s="15"/>
      <x:c r="I29" s="15" t="str">
        <x:v>governance.product_release_manifests에서 catalog 릴리스 ID 값을 저장한다.</x:v>
      </x:c>
      <x:c r="J29" s="15" t="str">
        <x:v>CHECK | CHECK (btrim(catalog_release_id::text) &lt;&gt; ''::text)</x:v>
      </x:c>
      <x:c r="K29" s="15" t="str">
        <x:v>보안: INTERNAL</x:v>
      </x:c>
    </x:row>
    <x:row r="30" ht="44" customHeight="1">
      <x:c r="A30" s="15" t="n">
        <x:v>14</x:v>
      </x:c>
      <x:c r="B30" s="15" t="str">
        <x:v>catalog_manifest_sha256</x:v>
      </x:c>
      <x:c r="C30" s="15" t="str">
        <x:v>catalog 매니페스트 sha256</x:v>
      </x:c>
      <x:c r="D30" s="15" t="str">
        <x:v>character</x:v>
      </x:c>
      <x:c r="E30" s="15" t="n">
        <x:v>64</x:v>
      </x:c>
      <x:c r="F30" s="15"/>
      <x:c r="G30" s="15" t="str">
        <x:v>NOT NULL</x:v>
      </x:c>
      <x:c r="H30" s="15"/>
      <x:c r="I30" s="15" t="str">
        <x:v>governance.product_release_manifests에서 catalog 매니페스트 sha256 값을 저장한다.</x:v>
      </x:c>
      <x:c r="J30" s="15" t="str">
        <x:v>CHECK | CHECK (catalog_manifest_sha256 ~ '^[0-9a-f]{64}$'::text)</x:v>
      </x:c>
      <x:c r="K30" s="15" t="str">
        <x:v>보안: INTERNAL</x:v>
      </x:c>
    </x:row>
    <x:row r="31" ht="44" customHeight="1">
      <x:c r="A31" s="15" t="n">
        <x:v>15</x:v>
      </x:c>
      <x:c r="B31" s="15" t="str">
        <x:v>catalog_projection_sha256</x:v>
      </x:c>
      <x:c r="C31" s="15" t="str">
        <x:v>catalog 후보 sha256</x:v>
      </x:c>
      <x:c r="D31" s="15" t="str">
        <x:v>character</x:v>
      </x:c>
      <x:c r="E31" s="15" t="n">
        <x:v>64</x:v>
      </x:c>
      <x:c r="F31" s="15"/>
      <x:c r="G31" s="15" t="str">
        <x:v>NOT NULL</x:v>
      </x:c>
      <x:c r="H31" s="15"/>
      <x:c r="I31" s="15" t="str">
        <x:v>governance.product_release_manifests에서 catalog 후보 sha256 값을 저장한다.</x:v>
      </x:c>
      <x:c r="J31" s="15" t="str">
        <x:v>CHECK | CHECK (catalog_projection_sha256 ~ '^[0-9a-f]{64}$'::text)</x:v>
      </x:c>
      <x:c r="K31" s="15" t="str">
        <x:v>보안: INTERNAL</x:v>
      </x:c>
    </x:row>
    <x:row r="32" ht="44" customHeight="1">
      <x:c r="A32" s="15" t="n">
        <x:v>16</x:v>
      </x:c>
      <x:c r="B32" s="15" t="str">
        <x:v>release_vector_json</x:v>
      </x:c>
      <x:c r="C32" s="15" t="str">
        <x:v>릴리스 vector json</x:v>
      </x:c>
      <x:c r="D32" s="15" t="str">
        <x:v>jsonb</x:v>
      </x:c>
      <x:c r="E32" s="15"/>
      <x:c r="F32" s="15"/>
      <x:c r="G32" s="15" t="str">
        <x:v>NOT NULL</x:v>
      </x:c>
      <x:c r="H32" s="15"/>
      <x:c r="I32" s="15" t="str">
        <x:v>governance.product_release_manifests의 릴리스 vector json 구조를 JSONB로 저장하며 승인된 스키마 계약으로 검증한다.</x:v>
      </x:c>
      <x:c r="J32" s="15" t="str">
        <x:v>CHECK | CHECK (manifest_json ?&amp; ARRAY['schema_version'::text, 'product_release_id'::text, 'evidence'::text, 'created_at'::text, 'manifest_sha256'::text] AND jsonb_typeof(manifest_json -&gt; 'evidence'::text) = 'object'::text AND (manifest_json -&gt; 'evidence'::text) ?&amp; ARRAY['source'::text, 'images'::text, 'migration'::text, 'model'::text, 'catalog'::text, 'release_vector'::text] AND (manifest_json -&gt;&gt; 'schema_version'::text) = contract_version::text AND (manifest_json -&gt;&gt; 'product_release_id'::text) = product_release_id::text AND (manifest_json -&gt;&gt; 'manifest_sha256'::text) = manifest_sha256::text AND (manifest_json #&gt;&gt; '{evidence,source,commit_sha}'::text[]) = source_commit_sha::text AND ((manifest_json #&gt;&gt; '{evidence,source,dirty}'::text[])::boolean) = source_dirty AND NOT (manifest_json #&gt;&gt; '{evidence,source,dirty_patch_sha256}'::text[]) IS DISTINCT FROM dirty_patch_sha256::text AND (manifest_json #&gt; '{evidence,images}'::text[]) = image_digests_json AND (manifest_json #&gt;&gt; '{evidence,migration,revision}'::text[]) = migration_revision::text AND (manifest_json #&gt;&gt; '{evidence,migration,chain_sha256}'::text[]) = migration_chain_sha256::text AND (manifest_json #&gt;&gt; '{evidence,model,release_id}'::text[]) = model_release_id::text AND (manifest_json #&gt;&gt; '{evidence,model,manifest_sha256}'::text[]) = model_manifest_sha256::text AND (manifest_json #&gt;&gt; '{evidence,catalog,release_id}'::text[]) = catalog_release_id::text AND (manifest_json #&gt;&gt; '{evidence,catalog,manifest_sha256}'::text[]) = catalog_manifest_sha256::text AND (manifest_json #&gt;&gt; '{evidence,catalog,projection_sha256}'::text[]) = catalog_projection_sha256::text AND (manifest_json #&gt; '{evidence,release_vector}'::text[]) = release_vector_json)</x:v>
      </x:c>
      <x:c r="K32" s="15" t="str">
        <x:v>보안: INTERNAL</x:v>
      </x:c>
    </x:row>
    <x:row r="33" ht="44" customHeight="1">
      <x:c r="A33" s="15" t="n">
        <x:v>17</x:v>
      </x:c>
      <x:c r="B33" s="15" t="str">
        <x:v>created_at</x:v>
      </x:c>
      <x:c r="C33" s="15" t="str">
        <x:v>생성 시각</x:v>
      </x:c>
      <x:c r="D33" s="15" t="str">
        <x:v>timestamptz</x:v>
      </x:c>
      <x:c r="E33" s="15"/>
      <x:c r="F33" s="15"/>
      <x:c r="G33" s="15" t="str">
        <x:v>NOT NULL</x:v>
      </x:c>
      <x:c r="H33" s="15"/>
      <x:c r="I33" s="15" t="str">
        <x:v>governance.product_release_manifests의 생성 시각을 UTC 기준 시각으로 저장한다.</x:v>
      </x:c>
      <x:c r="J33" s="15" t="str">
        <x:v>CHECK | CHECK (manifest_json ?&amp; ARRAY['schema_version'::text, 'product_release_id'::text, 'evidence'::text, 'created_at'::text, 'manifest_sha256'::text] AND jsonb_typeof(manifest_json -&gt; 'evidence'::text) = 'object'::text AND (manifest_json -&gt; 'evidence'::text) ?&amp; ARRAY['source'::text, 'images'::text, 'migration'::text, 'model'::text, 'catalog'::text, 'release_vector'::text] AND (manifest_json -&gt;&gt; 'schema_version'::text) = contract_version::text AND (manifest_json -&gt;&gt; 'product_release_id'::text) = product_release_id::text AND (manifest_json -&gt;&gt; 'manifest_sha256'::text) = manifest_sha256::text AND (manifest_json #&gt;&gt; '{evidence,source,commit_sha}'::text[]) = source_commit_sha::text AND ((manifest_json #&gt;&gt; '{evidence,source,dirty}'::text[])::boolean) = source_dirty AND NOT (manifest_json #&gt;&gt; '{evidence,source,dirty_patch_sha256}'::text[]) IS DISTINCT FROM dirty_patch_sha256::text AND (manifest_json #&gt; '{evidence,images}'::text[]) = image_digests_json AND (manifest_json #&gt;&gt; '{evidence,migration,revision}'::text[]) = migration_revision::text AND (manifest_json #&gt;&gt; '{evidence,migration,chain_sha256}'::text[]) = migration_chain_sha256::text AND (manifest_json #&gt;&gt; '{evidence,model,release_id}'::text[]) = model_release_id::text AND (manifest_json #&gt;&gt; '{evidence,model,manifest_sha256}'::text[]) = model_manifest_sha256::text AND (manifest_json #&gt;&gt; '{evidence,catalog,release_id}'::text[]) = catalog_release_id::text AND (manifest_json #&gt;&gt; '{evidence,catalog,manifest_sha256}'::text[]) = catalog_manifest_sha256::text AND (manifest_json #&gt;&gt; '{evidence,catalog,projection_sha256}'::text[]) = catalog_projection_sha256::text AND (manifest_json #&gt; '{evidence,release_vector}'::text[]) = release_vector_json)</x:v>
      </x:c>
      <x:c r="K33" s="15" t="str">
        <x:v>보안: INTERNAL</x:v>
      </x:c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</x:row>
    <x:row r="35">
      <x:c r="A35" s="58" t="str">
        <x:v>no</x:v>
      </x:c>
      <x:c r="B35" s="58" t="str">
        <x:v>Index name</x:v>
      </x:c>
      <x:c r="C35" s="58"/>
      <x:c r="D35" s="58" t="str">
        <x:v>Index type</x:v>
      </x:c>
      <x:c r="E35" s="58"/>
      <x:c r="F35" s="58" t="str">
        <x:v>Unique</x:v>
      </x:c>
      <x:c r="G35" s="58"/>
      <x:c r="H35" s="58" t="str">
        <x:v>구성 컬럼</x:v>
      </x:c>
      <x:c r="I35" s="58"/>
      <x:c r="J35" s="58"/>
      <x:c r="K35" s="58"/>
    </x:row>
    <x:row r="36">
      <x:c r="A36" s="15" t="n">
        <x:v>1</x:v>
      </x:c>
      <x:c r="B36" s="15" t="str">
        <x:v>product_release_manifests_manifest_sha256_key</x:v>
      </x:c>
      <x:c r="C36" s="15"/>
      <x:c r="D36" s="15" t="str">
        <x:v>BTREE</x:v>
      </x:c>
      <x:c r="E36" s="15"/>
      <x:c r="F36" s="15" t="str">
        <x:v>Unique</x:v>
      </x:c>
      <x:c r="G36" s="15"/>
      <x:c r="H36" s="15" t="str">
        <x:v>manifest_sha256</x:v>
      </x:c>
      <x:c r="I36" s="15"/>
      <x:c r="J36" s="15"/>
      <x:c r="K36" s="15"/>
    </x:row>
    <x:row r="37">
      <x:c r="A37" s="15" t="n">
        <x:v>2</x:v>
      </x:c>
      <x:c r="B37" s="15" t="str">
        <x:v>product_release_manifests_pkey</x:v>
      </x:c>
      <x:c r="C37" s="15"/>
      <x:c r="D37" s="15" t="str">
        <x:v>BTREE</x:v>
      </x:c>
      <x:c r="E37" s="15"/>
      <x:c r="F37" s="15" t="str">
        <x:v>Unique</x:v>
      </x:c>
      <x:c r="G37" s="15"/>
      <x:c r="H37" s="15" t="str">
        <x:v>product_release_id</x:v>
      </x:c>
      <x:c r="I37" s="15"/>
      <x:c r="J37" s="15"/>
      <x:c r="K37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5:C35"/>
    <x:mergeCell ref="D35:E35"/>
    <x:mergeCell ref="F35:G35"/>
    <x:mergeCell ref="H35:K35"/>
    <x:mergeCell ref="B36:C36"/>
    <x:mergeCell ref="D36:E36"/>
    <x:mergeCell ref="F36:G36"/>
    <x:mergeCell ref="H36:K36"/>
    <x:mergeCell ref="B37:C37"/>
    <x:mergeCell ref="D37:E37"/>
    <x:mergeCell ref="F37:G37"/>
    <x:mergeCell ref="H37:K37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governance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runtime_catalog_activation_receipts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Runtime Catalog 활성화 수신증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Application PostgreSQL의 Runtime Catalog 활성화 수신증을 관리한다. 현재 Alembic head 20260828_49에서 재현한 물리 구조다.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activation_id</x:v>
      </x:c>
      <x:c r="C17" s="15" t="str">
        <x:v>activation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 t="str">
        <x:v>gen_random_uuid()</x:v>
      </x:c>
      <x:c r="I17" s="15" t="str">
        <x:v>governance.runtime_catalog_activation_receipts의 한 행을 식별하는 activation ID 기본키다.</x:v>
      </x:c>
      <x:c r="J17" s="15"/>
      <x:c r="K17" s="15" t="str">
        <x:v>보안: INTERNAL</x:v>
      </x:c>
    </x:row>
    <x:row r="18" ht="44" customHeight="1">
      <x:c r="A18" s="15" t="n">
        <x:v>2</x:v>
      </x:c>
      <x:c r="B18" s="15" t="str">
        <x:v>pointer_name</x:v>
      </x:c>
      <x:c r="C18" s="15" t="str">
        <x:v>포인터 이름</x:v>
      </x:c>
      <x:c r="D18" s="15" t="str">
        <x:v>varchar</x:v>
      </x:c>
      <x:c r="E18" s="15" t="n">
        <x:v>64</x:v>
      </x:c>
      <x:c r="F18" s="15"/>
      <x:c r="G18" s="15" t="str">
        <x:v>NOT NULL</x:v>
      </x:c>
      <x:c r="H18" s="15"/>
      <x:c r="I18" s="15" t="str">
        <x:v>governance.runtime_catalog_activation_receipts에서 포인터 이름 값을 저장한다.</x:v>
      </x:c>
      <x:c r="J18" s="15" t="str">
        <x:v>CHECK | CHECK (pointer_name::text = 'analysis'::text)</x:v>
      </x:c>
      <x:c r="K18" s="15" t="str">
        <x:v>보안: INTERNAL</x:v>
      </x:c>
    </x:row>
    <x:row r="19" ht="44" customHeight="1">
      <x:c r="A19" s="15" t="n">
        <x:v>3</x:v>
      </x:c>
      <x:c r="B19" s="15" t="str">
        <x:v>action</x:v>
      </x:c>
      <x:c r="C19" s="15" t="str">
        <x:v>action</x:v>
      </x:c>
      <x:c r="D19" s="15" t="str">
        <x:v>varchar</x:v>
      </x:c>
      <x:c r="E19" s="15" t="n">
        <x:v>16</x:v>
      </x:c>
      <x:c r="F19" s="15"/>
      <x:c r="G19" s="15" t="str">
        <x:v>NOT NULL</x:v>
      </x:c>
      <x:c r="H19" s="15"/>
      <x:c r="I19" s="15" t="str">
        <x:v>governance.runtime_catalog_activation_receipts에서 action 값을 저장한다.</x:v>
      </x:c>
      <x:c r="J19" s="15" t="str">
        <x:v>CHECK | CHECK (action::text = ANY (ARRAY['ACTIVATE'::character varying, 'ROLLBACK'::character varying]::text[]))</x:v>
      </x:c>
      <x:c r="K19" s="15" t="str">
        <x:v>보안: INTERNAL</x:v>
      </x:c>
    </x:row>
    <x:row r="20" ht="44" customHeight="1">
      <x:c r="A20" s="15" t="n">
        <x:v>4</x:v>
      </x:c>
      <x:c r="B20" s="15" t="str">
        <x:v>previous_projection_id</x:v>
      </x:c>
      <x:c r="C20" s="15" t="str">
        <x:v>previous 후보 ID</x:v>
      </x:c>
      <x:c r="D20" s="15" t="str">
        <x:v>varchar</x:v>
      </x:c>
      <x:c r="E20" s="15" t="n">
        <x:v>160</x:v>
      </x:c>
      <x:c r="F20" s="15" t="str">
        <x:v>FK</x:v>
      </x:c>
      <x:c r="G20" s="15"/>
      <x:c r="H20" s="15"/>
      <x:c r="I20" s="15" t="str">
        <x:v>governance.runtime_catalog_projections.projection_id를 참조해 governance.runtime_catalog_activation_receipts의 previous 후보 ID 관계를 연결한다.</x:v>
      </x:c>
      <x:c r="J20" s="15" t="str">
        <x:v>물리 FK | governance.runtime_catalog_projections.projection_id</x:v>
      </x:c>
      <x:c r="K20" s="15" t="str">
        <x:v>보안: INTERNAL</x:v>
      </x:c>
    </x:row>
    <x:row r="21" ht="44" customHeight="1">
      <x:c r="A21" s="15" t="n">
        <x:v>5</x:v>
      </x:c>
      <x:c r="B21" s="15" t="str">
        <x:v>previous_product_release_id</x:v>
      </x:c>
      <x:c r="C21" s="15" t="str">
        <x:v>previous product 릴리스 ID</x:v>
      </x:c>
      <x:c r="D21" s="15" t="str">
        <x:v>varchar</x:v>
      </x:c>
      <x:c r="E21" s="15" t="n">
        <x:v>160</x:v>
      </x:c>
      <x:c r="F21" s="15" t="str">
        <x:v>FK</x:v>
      </x:c>
      <x:c r="G21" s="15"/>
      <x:c r="H21" s="15"/>
      <x:c r="I21" s="15" t="str">
        <x:v>governance.product_release_manifests.product_release_id를 참조해 governance.runtime_catalog_activation_receipts의 previous product 릴리스 ID 관계를 연결한다.</x:v>
      </x:c>
      <x:c r="J21" s="15" t="str">
        <x:v>물리 FK | governance.product_release_manifests.product_release_id</x:v>
      </x:c>
      <x:c r="K21" s="15" t="str">
        <x:v>보안: INTERNAL</x:v>
      </x:c>
    </x:row>
    <x:row r="22" ht="44" customHeight="1">
      <x:c r="A22" s="15" t="n">
        <x:v>6</x:v>
      </x:c>
      <x:c r="B22" s="15" t="str">
        <x:v>target_projection_id</x:v>
      </x:c>
      <x:c r="C22" s="15" t="str">
        <x:v>target 후보 ID</x:v>
      </x:c>
      <x:c r="D22" s="15" t="str">
        <x:v>varchar</x:v>
      </x:c>
      <x:c r="E22" s="15" t="n">
        <x:v>160</x:v>
      </x:c>
      <x:c r="F22" s="15" t="str">
        <x:v>FK</x:v>
      </x:c>
      <x:c r="G22" s="15" t="str">
        <x:v>NOT NULL</x:v>
      </x:c>
      <x:c r="H22" s="15"/>
      <x:c r="I22" s="15" t="str">
        <x:v>governance.runtime_catalog_projections.projection_id를 참조해 governance.runtime_catalog_activation_receipts의 target 후보 ID 관계를 연결한다.</x:v>
      </x:c>
      <x:c r="J22" s="15" t="str">
        <x:v>물리 FK | governance.runtime_catalog_projections.projection_id</x:v>
      </x:c>
      <x:c r="K22" s="15" t="str">
        <x:v>보안: INTERNAL</x:v>
      </x:c>
    </x:row>
    <x:row r="23" ht="44" customHeight="1">
      <x:c r="A23" s="15" t="n">
        <x:v>7</x:v>
      </x:c>
      <x:c r="B23" s="15" t="str">
        <x:v>target_product_release_id</x:v>
      </x:c>
      <x:c r="C23" s="15" t="str">
        <x:v>target product 릴리스 ID</x:v>
      </x:c>
      <x:c r="D23" s="15" t="str">
        <x:v>varchar</x:v>
      </x:c>
      <x:c r="E23" s="15" t="n">
        <x:v>160</x:v>
      </x:c>
      <x:c r="F23" s="15" t="str">
        <x:v>FK</x:v>
      </x:c>
      <x:c r="G23" s="15" t="str">
        <x:v>NOT NULL</x:v>
      </x:c>
      <x:c r="H23" s="15"/>
      <x:c r="I23" s="15" t="str">
        <x:v>governance.product_release_manifests.product_release_id를 참조해 governance.runtime_catalog_activation_receipts의 target product 릴리스 ID 관계를 연결한다.</x:v>
      </x:c>
      <x:c r="J23" s="15" t="str">
        <x:v>물리 FK | governance.product_release_manifests.product_release_id</x:v>
      </x:c>
      <x:c r="K23" s="15" t="str">
        <x:v>보안: INTERNAL</x:v>
      </x:c>
    </x:row>
    <x:row r="24" ht="44" customHeight="1">
      <x:c r="A24" s="15" t="n">
        <x:v>8</x:v>
      </x:c>
      <x:c r="B24" s="15" t="str">
        <x:v>expected_generation</x:v>
      </x:c>
      <x:c r="C24" s="15" t="str">
        <x:v>expected generation</x:v>
      </x:c>
      <x:c r="D24" s="15" t="str">
        <x:v>bigint</x:v>
      </x:c>
      <x:c r="E24" s="15"/>
      <x:c r="F24" s="15"/>
      <x:c r="G24" s="15" t="str">
        <x:v>NOT NULL</x:v>
      </x:c>
      <x:c r="H24" s="15"/>
      <x:c r="I24" s="15" t="str">
        <x:v>governance.runtime_catalog_activation_receipts에서 expected generation 값을 저장한다.</x:v>
      </x:c>
      <x:c r="J24" s="15" t="str">
        <x:v>CHECK | CHECK (resulting_generation = (expected_generation + 1))</x:v>
      </x:c>
      <x:c r="K24" s="15" t="str">
        <x:v>보안: INTERNAL</x:v>
      </x:c>
    </x:row>
    <x:row r="25" ht="44" customHeight="1">
      <x:c r="A25" s="15" t="n">
        <x:v>9</x:v>
      </x:c>
      <x:c r="B25" s="15" t="str">
        <x:v>resulting_generation</x:v>
      </x:c>
      <x:c r="C25" s="15" t="str">
        <x:v>resulting generation</x:v>
      </x:c>
      <x:c r="D25" s="15" t="str">
        <x:v>bigint</x:v>
      </x:c>
      <x:c r="E25" s="15"/>
      <x:c r="F25" s="15"/>
      <x:c r="G25" s="15" t="str">
        <x:v>NOT NULL</x:v>
      </x:c>
      <x:c r="H25" s="15"/>
      <x:c r="I25" s="15" t="str">
        <x:v>governance.runtime_catalog_activation_receipts에서 resulting generation 값을 저장한다.</x:v>
      </x:c>
      <x:c r="J25" s="15" t="str">
        <x:v>CHECK | CHECK (resulting_generation = (expected_generation + 1))</x:v>
      </x:c>
      <x:c r="K25" s="15" t="str">
        <x:v>보안: INTERNAL</x:v>
      </x:c>
    </x:row>
    <x:row r="26" ht="44" customHeight="1">
      <x:c r="A26" s="15" t="n">
        <x:v>10</x:v>
      </x:c>
      <x:c r="B26" s="15" t="str">
        <x:v>actor</x:v>
      </x:c>
      <x:c r="C26" s="15" t="str">
        <x:v>actor</x:v>
      </x:c>
      <x:c r="D26" s="15" t="str">
        <x:v>varchar</x:v>
      </x:c>
      <x:c r="E26" s="15" t="n">
        <x:v>160</x:v>
      </x:c>
      <x:c r="F26" s="15"/>
      <x:c r="G26" s="15" t="str">
        <x:v>NOT NULL</x:v>
      </x:c>
      <x:c r="H26" s="15"/>
      <x:c r="I26" s="15" t="str">
        <x:v>governance.runtime_catalog_activation_receipts에서 actor 값을 저장한다.</x:v>
      </x:c>
      <x:c r="J26" s="15" t="str">
        <x:v>CHECK | CHECK (btrim(actor::text) &lt;&gt; ''::text)</x:v>
      </x:c>
      <x:c r="K26" s="15" t="str">
        <x:v>보안: INTERNAL</x:v>
      </x:c>
    </x:row>
    <x:row r="27" ht="44" customHeight="1">
      <x:c r="A27" s="15" t="n">
        <x:v>11</x:v>
      </x:c>
      <x:c r="B27" s="15" t="str">
        <x:v>reason</x:v>
      </x:c>
      <x:c r="C27" s="15" t="str">
        <x:v>사유</x:v>
      </x:c>
      <x:c r="D27" s="15" t="str">
        <x:v>varchar</x:v>
      </x:c>
      <x:c r="E27" s="15" t="n">
        <x:v>500</x:v>
      </x:c>
      <x:c r="F27" s="15"/>
      <x:c r="G27" s="15" t="str">
        <x:v>NOT NULL</x:v>
      </x:c>
      <x:c r="H27" s="15"/>
      <x:c r="I27" s="15" t="str">
        <x:v>governance.runtime_catalog_activation_receipts에서 사유 값을 저장한다.</x:v>
      </x:c>
      <x:c r="J27" s="15" t="str">
        <x:v>CHECK | CHECK (btrim(reason::text) &lt;&gt; ''::text)</x:v>
      </x:c>
      <x:c r="K27" s="15" t="str">
        <x:v>보안: INTERNAL</x:v>
      </x:c>
    </x:row>
    <x:row r="28" ht="44" customHeight="1">
      <x:c r="A28" s="15" t="n">
        <x:v>12</x:v>
      </x:c>
      <x:c r="B28" s="15" t="str">
        <x:v>created_at</x:v>
      </x:c>
      <x:c r="C28" s="15" t="str">
        <x:v>생성 시각</x:v>
      </x:c>
      <x:c r="D28" s="15" t="str">
        <x:v>timestamptz</x:v>
      </x:c>
      <x:c r="E28" s="15"/>
      <x:c r="F28" s="15"/>
      <x:c r="G28" s="15" t="str">
        <x:v>NOT NULL</x:v>
      </x:c>
      <x:c r="H28" s="15" t="str">
        <x:v>now()</x:v>
      </x:c>
      <x:c r="I28" s="15" t="str">
        <x:v>governance.runtime_catalog_activation_receipts의 생성 시각을 UTC 기준 시각으로 저장한다.</x:v>
      </x:c>
      <x:c r="J28" s="15"/>
      <x:c r="K28" s="15" t="str">
        <x:v>보안: INTERNAL</x:v>
      </x:c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>
      <x:c r="A30" s="58" t="str">
        <x:v>no</x:v>
      </x:c>
      <x:c r="B30" s="58" t="str">
        <x:v>Index name</x:v>
      </x:c>
      <x:c r="C30" s="58"/>
      <x:c r="D30" s="58" t="str">
        <x:v>Index type</x:v>
      </x:c>
      <x:c r="E30" s="58"/>
      <x:c r="F30" s="58" t="str">
        <x:v>Unique</x:v>
      </x:c>
      <x:c r="G30" s="58"/>
      <x:c r="H30" s="58" t="str">
        <x:v>구성 컬럼</x:v>
      </x:c>
      <x:c r="I30" s="58"/>
      <x:c r="J30" s="58"/>
      <x:c r="K30" s="58"/>
    </x:row>
    <x:row r="31">
      <x:c r="A31" s="15" t="n">
        <x:v>1</x:v>
      </x:c>
      <x:c r="B31" s="15" t="str">
        <x:v>runtime_catalog_activation_receipts_pkey</x:v>
      </x:c>
      <x:c r="C31" s="15"/>
      <x:c r="D31" s="15" t="str">
        <x:v>BTREE</x:v>
      </x:c>
      <x:c r="E31" s="15"/>
      <x:c r="F31" s="15" t="str">
        <x:v>Unique</x:v>
      </x:c>
      <x:c r="G31" s="15"/>
      <x:c r="H31" s="15" t="str">
        <x:v>activation_id</x:v>
      </x:c>
      <x:c r="I31" s="15"/>
      <x:c r="J31" s="15"/>
      <x:c r="K31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0:C30"/>
    <x:mergeCell ref="D30:E30"/>
    <x:mergeCell ref="F30:G30"/>
    <x:mergeCell ref="H30:K30"/>
    <x:mergeCell ref="B31:C31"/>
    <x:mergeCell ref="D31:E31"/>
    <x:mergeCell ref="F31:G31"/>
    <x:mergeCell ref="H31:K3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governance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runtime_catalog_active_pointer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Runtime Catalog 활성 포인터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Application PostgreSQL의 Runtime Catalog 활성 포인터을 관리한다. 현재 Alembic head 20260828_49에서 재현한 물리 구조다.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pointer_name</x:v>
      </x:c>
      <x:c r="C17" s="15" t="str">
        <x:v>포인터 이름</x:v>
      </x:c>
      <x:c r="D17" s="15" t="str">
        <x:v>varchar</x:v>
      </x:c>
      <x:c r="E17" s="15" t="n">
        <x:v>64</x:v>
      </x:c>
      <x:c r="F17" s="15" t="str">
        <x:v>PK</x:v>
      </x:c>
      <x:c r="G17" s="15" t="str">
        <x:v>NOT NULL</x:v>
      </x:c>
      <x:c r="H17" s="15"/>
      <x:c r="I17" s="15" t="str">
        <x:v>governance.runtime_catalog_active_pointer의 한 행을 식별하는 포인터 이름 기본키다.</x:v>
      </x:c>
      <x:c r="J17" s="15" t="str">
        <x:v>CHECK | CHECK (pointer_name::text = 'analysis'::text)</x:v>
      </x:c>
      <x:c r="K17" s="15" t="str">
        <x:v>보안: INTERNAL</x:v>
      </x:c>
    </x:row>
    <x:row r="18" ht="44" customHeight="1">
      <x:c r="A18" s="15" t="n">
        <x:v>2</x:v>
      </x:c>
      <x:c r="B18" s="15" t="str">
        <x:v>projection_id</x:v>
      </x:c>
      <x:c r="C18" s="15" t="str">
        <x:v>후보 ID</x:v>
      </x:c>
      <x:c r="D18" s="15" t="str">
        <x:v>varchar</x:v>
      </x:c>
      <x:c r="E18" s="15" t="n">
        <x:v>160</x:v>
      </x:c>
      <x:c r="F18" s="15" t="str">
        <x:v>FK</x:v>
      </x:c>
      <x:c r="G18" s="15" t="str">
        <x:v>NOT NULL</x:v>
      </x:c>
      <x:c r="H18" s="15"/>
      <x:c r="I18" s="15" t="str">
        <x:v>governance.runtime_catalog_projections.projection_id를 참조해 governance.runtime_catalog_active_pointer의 후보 ID 관계를 연결한다.</x:v>
      </x:c>
      <x:c r="J18" s="15" t="str">
        <x:v>물리 FK | governance.runtime_catalog_projections.projection_id</x:v>
      </x:c>
      <x:c r="K18" s="15" t="str">
        <x:v>보안: INTERNAL</x:v>
      </x:c>
    </x:row>
    <x:row r="19" ht="44" customHeight="1">
      <x:c r="A19" s="15" t="n">
        <x:v>3</x:v>
      </x:c>
      <x:c r="B19" s="15" t="str">
        <x:v>product_release_id</x:v>
      </x:c>
      <x:c r="C19" s="15" t="str">
        <x:v>product 릴리스 ID</x:v>
      </x:c>
      <x:c r="D19" s="15" t="str">
        <x:v>varchar</x:v>
      </x:c>
      <x:c r="E19" s="15" t="n">
        <x:v>160</x:v>
      </x:c>
      <x:c r="F19" s="15" t="str">
        <x:v>FK</x:v>
      </x:c>
      <x:c r="G19" s="15" t="str">
        <x:v>NOT NULL</x:v>
      </x:c>
      <x:c r="H19" s="15"/>
      <x:c r="I19" s="15" t="str">
        <x:v>governance.product_release_manifests.product_release_id를 참조해 governance.runtime_catalog_active_pointer의 product 릴리스 ID 관계를 연결한다.</x:v>
      </x:c>
      <x:c r="J19" s="15" t="str">
        <x:v>물리 FK | governance.product_release_manifests.product_release_id</x:v>
      </x:c>
      <x:c r="K19" s="15" t="str">
        <x:v>보안: INTERNAL</x:v>
      </x:c>
    </x:row>
    <x:row r="20" ht="44" customHeight="1">
      <x:c r="A20" s="15" t="n">
        <x:v>4</x:v>
      </x:c>
      <x:c r="B20" s="15" t="str">
        <x:v>generation</x:v>
      </x:c>
      <x:c r="C20" s="15" t="str">
        <x:v>generation</x:v>
      </x:c>
      <x:c r="D20" s="15" t="str">
        <x:v>bigint</x:v>
      </x:c>
      <x:c r="E20" s="15"/>
      <x:c r="F20" s="15"/>
      <x:c r="G20" s="15" t="str">
        <x:v>NOT NULL</x:v>
      </x:c>
      <x:c r="H20" s="15"/>
      <x:c r="I20" s="15" t="str">
        <x:v>governance.runtime_catalog_active_pointer에서 generation 값을 저장한다.</x:v>
      </x:c>
      <x:c r="J20" s="15" t="str">
        <x:v>CHECK | CHECK (generation &gt;= 1)</x:v>
      </x:c>
      <x:c r="K20" s="15" t="str">
        <x:v>보안: INTERNAL</x:v>
      </x:c>
    </x:row>
    <x:row r="21" ht="44" customHeight="1">
      <x:c r="A21" s="15" t="n">
        <x:v>5</x:v>
      </x:c>
      <x:c r="B21" s="15" t="str">
        <x:v>activated_by</x:v>
      </x:c>
      <x:c r="C21" s="15" t="str">
        <x:v>activated by</x:v>
      </x:c>
      <x:c r="D21" s="15" t="str">
        <x:v>varchar</x:v>
      </x:c>
      <x:c r="E21" s="15" t="n">
        <x:v>160</x:v>
      </x:c>
      <x:c r="F21" s="15"/>
      <x:c r="G21" s="15" t="str">
        <x:v>NOT NULL</x:v>
      </x:c>
      <x:c r="H21" s="15"/>
      <x:c r="I21" s="15" t="str">
        <x:v>governance.runtime_catalog_active_pointer에서 activated by 값을 저장한다.</x:v>
      </x:c>
      <x:c r="J21" s="15" t="str">
        <x:v>CHECK | CHECK (btrim(activated_by::text) &lt;&gt; ''::text)</x:v>
      </x:c>
      <x:c r="K21" s="15" t="str">
        <x:v>보안: INTERNAL</x:v>
      </x:c>
    </x:row>
    <x:row r="22" ht="44" customHeight="1">
      <x:c r="A22" s="15" t="n">
        <x:v>6</x:v>
      </x:c>
      <x:c r="B22" s="15" t="str">
        <x:v>activated_at</x:v>
      </x:c>
      <x:c r="C22" s="15" t="str">
        <x:v>activated 시각</x:v>
      </x:c>
      <x:c r="D22" s="15" t="str">
        <x:v>timestamptz</x:v>
      </x:c>
      <x:c r="E22" s="15"/>
      <x:c r="F22" s="15"/>
      <x:c r="G22" s="15" t="str">
        <x:v>NOT NULL</x:v>
      </x:c>
      <x:c r="H22" s="15" t="str">
        <x:v>now()</x:v>
      </x:c>
      <x:c r="I22" s="15" t="str">
        <x:v>governance.runtime_catalog_active_pointer의 activated 시각을 UTC 기준 시각으로 저장한다.</x:v>
      </x:c>
      <x:c r="J22" s="15"/>
      <x:c r="K22" s="15" t="str">
        <x:v>보안: INTERNAL</x:v>
      </x:c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>
      <x:c r="A24" s="58" t="str">
        <x:v>no</x:v>
      </x:c>
      <x:c r="B24" s="58" t="str">
        <x:v>Index name</x:v>
      </x:c>
      <x:c r="C24" s="58"/>
      <x:c r="D24" s="58" t="str">
        <x:v>Index type</x:v>
      </x:c>
      <x:c r="E24" s="58"/>
      <x:c r="F24" s="58" t="str">
        <x:v>Unique</x:v>
      </x:c>
      <x:c r="G24" s="58"/>
      <x:c r="H24" s="58" t="str">
        <x:v>구성 컬럼</x:v>
      </x:c>
      <x:c r="I24" s="58"/>
      <x:c r="J24" s="58"/>
      <x:c r="K24" s="58"/>
    </x:row>
    <x:row r="25">
      <x:c r="A25" s="15" t="n">
        <x:v>1</x:v>
      </x:c>
      <x:c r="B25" s="15" t="str">
        <x:v>runtime_catalog_active_pointer_pkey</x:v>
      </x:c>
      <x:c r="C25" s="15"/>
      <x:c r="D25" s="15" t="str">
        <x:v>BTREE</x:v>
      </x:c>
      <x:c r="E25" s="15"/>
      <x:c r="F25" s="15" t="str">
        <x:v>Unique</x:v>
      </x:c>
      <x:c r="G25" s="15"/>
      <x:c r="H25" s="15" t="str">
        <x:v>pointer_name</x:v>
      </x:c>
      <x:c r="I25" s="15"/>
      <x:c r="J25" s="15"/>
      <x:c r="K25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24:C24"/>
    <x:mergeCell ref="D24:E24"/>
    <x:mergeCell ref="F24:G24"/>
    <x:mergeCell ref="H24:K24"/>
    <x:mergeCell ref="B25:C25"/>
    <x:mergeCell ref="D25:E25"/>
    <x:mergeCell ref="F25:G25"/>
    <x:mergeCell ref="H25:K25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governance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runtime_catalog_projections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Runtime Catalog 후보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Application PostgreSQL의 Runtime Catalog 후보을 관리한다. 현재 Alembic head 20260828_49에서 재현한 물리 구조다.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projection_id</x:v>
      </x:c>
      <x:c r="C17" s="15" t="str">
        <x:v>후보 ID</x:v>
      </x:c>
      <x:c r="D17" s="15" t="str">
        <x:v>varchar</x:v>
      </x:c>
      <x:c r="E17" s="15" t="n">
        <x:v>160</x:v>
      </x:c>
      <x:c r="F17" s="15" t="str">
        <x:v>PK</x:v>
      </x:c>
      <x:c r="G17" s="15" t="str">
        <x:v>NOT NULL</x:v>
      </x:c>
      <x:c r="H17" s="15"/>
      <x:c r="I17" s="15" t="str">
        <x:v>governance.runtime_catalog_projections의 한 행을 식별하는 후보 ID 기본키다.</x:v>
      </x:c>
      <x:c r="J17" s="15" t="str">
        <x:v>CHECK | CHECK (projection_id::text = ('runtime-catalog:'::text || projection_sha256::text))</x:v>
      </x:c>
      <x:c r="K17" s="15" t="str">
        <x:v>보안: INTERNAL</x:v>
      </x:c>
    </x:row>
    <x:row r="18" ht="44" customHeight="1">
      <x:c r="A18" s="15" t="n">
        <x:v>2</x:v>
      </x:c>
      <x:c r="B18" s="15" t="str">
        <x:v>contract_version</x:v>
      </x:c>
      <x:c r="C18" s="15" t="str">
        <x:v>contract 버전</x:v>
      </x:c>
      <x:c r="D18" s="15" t="str">
        <x:v>varchar</x:v>
      </x:c>
      <x:c r="E18" s="15" t="n">
        <x:v>64</x:v>
      </x:c>
      <x:c r="F18" s="15"/>
      <x:c r="G18" s="15" t="str">
        <x:v>NOT NULL</x:v>
      </x:c>
      <x:c r="H18" s="15"/>
      <x:c r="I18" s="15" t="str">
        <x:v>governance.runtime_catalog_projections에서 contract 버전 값을 저장한다.</x:v>
      </x:c>
      <x:c r="J18" s="15" t="str">
        <x:v>CHECK | CHECK (projection_json ?&amp; ARRAY['schema_version'::text, 'projection_id'::text, 'projection_sha256'::text, 'catalog_release_id'::text, 'catalog_sha256'::text, 'canonical_sha256'::text, 'manifest_sha256'::text, 'membership_sha256'::text, 'source_selection_sha256'::text, 'trino_fingerprint_sha256'::text, 'source_selection'::text, 'trino_fingerprints'::text, 'snapshot'::text] AND (projection_json -&gt;&gt; 'schema_version'::text) = contract_version::text AND (projection_json -&gt;&gt; 'projection_id'::text) = projection_id::text AND (projection_json -&gt;&gt; 'projection_sha256'::text) = projection_sha256::text AND (projection_json -&gt;&gt; 'catalog_release_id'::text) = catalog_release_id::text AND (projection_json -&gt;&gt; 'catalog_sha256'::text) = catalog_sha256::text AND (projection_json -&gt;&gt; 'canonical_sha256'::text) = canonical_sha256::text AND (projection_json -&gt;&gt; 'manifest_sha256'::text) = manifest_sha256::text AND (projection_json -&gt;&gt; 'membership_sha256'::text) = membership_sha256::text AND (projection_json -&gt;&gt; 'source_selection_sha256'::text) = source_selection_sha256::text AND (projection_json -&gt;&gt; 'trino_fingerprint_sha256'::text) = trino_fingerprint_sha256::text AND (projection_json #&gt;&gt; '{source_selection,authority_mode}'::text[]) = authority_mode::text AND jsonb_typeof(projection_json -&gt; 'trino_fingerprints'::text) = 'array'::text AND jsonb_typeof(projection_json -&gt; 'snapshot'::text) = 'object'::text)</x:v>
      </x:c>
      <x:c r="K18" s="15" t="str">
        <x:v>보안: INTERNAL</x:v>
      </x:c>
    </x:row>
    <x:row r="19" ht="44" customHeight="1">
      <x:c r="A19" s="15" t="n">
        <x:v>3</x:v>
      </x:c>
      <x:c r="B19" s="15" t="str">
        <x:v>projection_sha256</x:v>
      </x:c>
      <x:c r="C19" s="15" t="str">
        <x:v>후보 sha256</x:v>
      </x:c>
      <x:c r="D19" s="15" t="str">
        <x:v>character</x:v>
      </x:c>
      <x:c r="E19" s="15" t="n">
        <x:v>64</x:v>
      </x:c>
      <x:c r="F19" s="15" t="str">
        <x:v>UK</x:v>
      </x:c>
      <x:c r="G19" s="15" t="str">
        <x:v>NOT NULL</x:v>
      </x:c>
      <x:c r="H19" s="15"/>
      <x:c r="I19" s="15" t="str">
        <x:v>governance.runtime_catalog_projections에서 후보 sha256 값을 저장한다.</x:v>
      </x:c>
      <x:c r="J19" s="15" t="str">
        <x:v>CHECK | CHECK (projection_id::text = ('runtime-catalog:'::text || projection_sha256::text))</x:v>
      </x:c>
      <x:c r="K19" s="15" t="str">
        <x:v>보안: INTERNAL</x:v>
      </x:c>
    </x:row>
    <x:row r="20" ht="44" customHeight="1">
      <x:c r="A20" s="15" t="n">
        <x:v>4</x:v>
      </x:c>
      <x:c r="B20" s="15" t="str">
        <x:v>catalog_release_id</x:v>
      </x:c>
      <x:c r="C20" s="15" t="str">
        <x:v>catalog 릴리스 ID</x:v>
      </x:c>
      <x:c r="D20" s="15" t="str">
        <x:v>varchar</x:v>
      </x:c>
      <x:c r="E20" s="15" t="n">
        <x:v>256</x:v>
      </x:c>
      <x:c r="F20" s="15"/>
      <x:c r="G20" s="15" t="str">
        <x:v>NOT NULL</x:v>
      </x:c>
      <x:c r="H20" s="15"/>
      <x:c r="I20" s="15" t="str">
        <x:v>governance.runtime_catalog_projections에서 catalog 릴리스 ID 값을 저장한다.</x:v>
      </x:c>
      <x:c r="J20" s="15" t="str">
        <x:v>CHECK | CHECK (btrim(catalog_release_id::text) &lt;&gt; ''::text)</x:v>
      </x:c>
      <x:c r="K20" s="15" t="str">
        <x:v>보안: INTERNAL</x:v>
      </x:c>
    </x:row>
    <x:row r="21" ht="44" customHeight="1">
      <x:c r="A21" s="15" t="n">
        <x:v>5</x:v>
      </x:c>
      <x:c r="B21" s="15" t="str">
        <x:v>catalog_sha256</x:v>
      </x:c>
      <x:c r="C21" s="15" t="str">
        <x:v>catalog sha256</x:v>
      </x:c>
      <x:c r="D21" s="15" t="str">
        <x:v>character</x:v>
      </x:c>
      <x:c r="E21" s="15" t="n">
        <x:v>64</x:v>
      </x:c>
      <x:c r="F21" s="15"/>
      <x:c r="G21" s="15" t="str">
        <x:v>NOT NULL</x:v>
      </x:c>
      <x:c r="H21" s="15"/>
      <x:c r="I21" s="15" t="str">
        <x:v>governance.runtime_catalog_projections에서 catalog sha256 값을 저장한다.</x:v>
      </x:c>
      <x:c r="J21" s="15" t="str">
        <x:v>CHECK | CHECK (catalog_sha256 ~ '^[0-9a-f]{64}$'::text)</x:v>
      </x:c>
      <x:c r="K21" s="15" t="str">
        <x:v>보안: INTERNAL</x:v>
      </x:c>
    </x:row>
    <x:row r="22" ht="44" customHeight="1">
      <x:c r="A22" s="15" t="n">
        <x:v>6</x:v>
      </x:c>
      <x:c r="B22" s="15" t="str">
        <x:v>canonical_sha256</x:v>
      </x:c>
      <x:c r="C22" s="15" t="str">
        <x:v>canonical sha256</x:v>
      </x:c>
      <x:c r="D22" s="15" t="str">
        <x:v>character</x:v>
      </x:c>
      <x:c r="E22" s="15" t="n">
        <x:v>64</x:v>
      </x:c>
      <x:c r="F22" s="15"/>
      <x:c r="G22" s="15" t="str">
        <x:v>NOT NULL</x:v>
      </x:c>
      <x:c r="H22" s="15"/>
      <x:c r="I22" s="15" t="str">
        <x:v>governance.runtime_catalog_projections에서 canonical sha256 값을 저장한다.</x:v>
      </x:c>
      <x:c r="J22" s="15" t="str">
        <x:v>CHECK | CHECK (canonical_sha256 ~ '^[0-9a-f]{64}$'::text)</x:v>
      </x:c>
      <x:c r="K22" s="15" t="str">
        <x:v>보안: INTERNAL</x:v>
      </x:c>
    </x:row>
    <x:row r="23" ht="44" customHeight="1">
      <x:c r="A23" s="15" t="n">
        <x:v>7</x:v>
      </x:c>
      <x:c r="B23" s="15" t="str">
        <x:v>manifest_sha256</x:v>
      </x:c>
      <x:c r="C23" s="15" t="str">
        <x:v>매니페스트 sha256</x:v>
      </x:c>
      <x:c r="D23" s="15" t="str">
        <x:v>character</x:v>
      </x:c>
      <x:c r="E23" s="15" t="n">
        <x:v>64</x:v>
      </x:c>
      <x:c r="F23" s="15"/>
      <x:c r="G23" s="15" t="str">
        <x:v>NOT NULL</x:v>
      </x:c>
      <x:c r="H23" s="15"/>
      <x:c r="I23" s="15" t="str">
        <x:v>governance.runtime_catalog_projections에서 매니페스트 sha256 값을 저장한다.</x:v>
      </x:c>
      <x:c r="J23" s="15" t="str">
        <x:v>CHECK | CHECK (projection_json ?&amp; ARRAY['schema_version'::text, 'projection_id'::text, 'projection_sha256'::text, 'catalog_release_id'::text, 'catalog_sha256'::text, 'canonical_sha256'::text, 'manifest_sha256'::text, 'membership_sha256'::text, 'source_selection_sha256'::text, 'trino_fingerprint_sha256'::text, 'source_selection'::text, 'trino_fingerprints'::text, 'snapshot'::text] AND (projection_json -&gt;&gt; 'schema_version'::text) = contract_version::text AND (projection_json -&gt;&gt; 'projection_id'::text) = projection_id::text AND (projection_json -&gt;&gt; 'projection_sha256'::text) = projection_sha256::text AND (projection_json -&gt;&gt; 'catalog_release_id'::text) = catalog_release_id::text AND (projection_json -&gt;&gt; 'catalog_sha256'::text) = catalog_sha256::text AND (projection_json -&gt;&gt; 'canonical_sha256'::text) = canonical_sha256::text AND (projection_json -&gt;&gt; 'manifest_sha256'::text) = manifest_sha256::text AND (projection_json -&gt;&gt; 'membership_sha256'::text) = membership_sha256::text AND (projection_json -&gt;&gt; 'source_selection_sha256'::text) = source_selection_sha256::text AND (projection_json -&gt;&gt; 'trino_fingerprint_sha256'::text) = trino_fingerprint_sha256::text AND (projection_json #&gt;&gt; '{source_selection,authority_mode}'::text[]) = authority_mode::text AND jsonb_typeof(projection_json -&gt; 'trino_fingerprints'::text) = 'array'::text AND jsonb_typeof(projection_json -&gt; 'snapshot'::text) = 'object'::text)</x:v>
      </x:c>
      <x:c r="K23" s="15" t="str">
        <x:v>보안: INTERNAL</x:v>
      </x:c>
    </x:row>
    <x:row r="24" ht="44" customHeight="1">
      <x:c r="A24" s="15" t="n">
        <x:v>8</x:v>
      </x:c>
      <x:c r="B24" s="15" t="str">
        <x:v>membership_sha256</x:v>
      </x:c>
      <x:c r="C24" s="15" t="str">
        <x:v>membership sha256</x:v>
      </x:c>
      <x:c r="D24" s="15" t="str">
        <x:v>character</x:v>
      </x:c>
      <x:c r="E24" s="15" t="n">
        <x:v>64</x:v>
      </x:c>
      <x:c r="F24" s="15"/>
      <x:c r="G24" s="15" t="str">
        <x:v>NOT NULL</x:v>
      </x:c>
      <x:c r="H24" s="15"/>
      <x:c r="I24" s="15" t="str">
        <x:v>governance.runtime_catalog_projections에서 membership sha256 값을 저장한다.</x:v>
      </x:c>
      <x:c r="J24" s="15" t="str">
        <x:v>CHECK | CHECK (projection_json ?&amp; ARRAY['schema_version'::text, 'projection_id'::text, 'projection_sha256'::text, 'catalog_release_id'::text, 'catalog_sha256'::text, 'canonical_sha256'::text, 'manifest_sha256'::text, 'membership_sha256'::text, 'source_selection_sha256'::text, 'trino_fingerprint_sha256'::text, 'source_selection'::text, 'trino_fingerprints'::text, 'snapshot'::text] AND (projection_json -&gt;&gt; 'schema_version'::text) = contract_version::text AND (projection_json -&gt;&gt; 'projection_id'::text) = projection_id::text AND (projection_json -&gt;&gt; 'projection_sha256'::text) = projection_sha256::text AND (projection_json -&gt;&gt; 'catalog_release_id'::text) = catalog_release_id::text AND (projection_json -&gt;&gt; 'catalog_sha256'::text) = catalog_sha256::text AND (projection_json -&gt;&gt; 'canonical_sha256'::text) = canonical_sha256::text AND (projection_json -&gt;&gt; 'manifest_sha256'::text) = manifest_sha256::text AND (projection_json -&gt;&gt; 'membership_sha256'::text) = membership_sha256::text AND (projection_json -&gt;&gt; 'source_selection_sha256'::text) = source_selection_sha256::text AND (projection_json -&gt;&gt; 'trino_fingerprint_sha256'::text) = trino_fingerprint_sha256::text AND (projection_json #&gt;&gt; '{source_selection,authority_mode}'::text[]) = authority_mode::text AND jsonb_typeof(projection_json -&gt; 'trino_fingerprints'::text) = 'array'::text AND jsonb_typeof(projection_json -&gt; 'snapshot'::text) = 'object'::text)</x:v>
      </x:c>
      <x:c r="K24" s="15" t="str">
        <x:v>보안: INTERNAL</x:v>
      </x:c>
    </x:row>
    <x:row r="25" ht="44" customHeight="1">
      <x:c r="A25" s="15" t="n">
        <x:v>9</x:v>
      </x:c>
      <x:c r="B25" s="15" t="str">
        <x:v>source_selection_sha256</x:v>
      </x:c>
      <x:c r="C25" s="15" t="str">
        <x:v>소스 selection sha256</x:v>
      </x:c>
      <x:c r="D25" s="15" t="str">
        <x:v>character</x:v>
      </x:c>
      <x:c r="E25" s="15" t="n">
        <x:v>64</x:v>
      </x:c>
      <x:c r="F25" s="15"/>
      <x:c r="G25" s="15" t="str">
        <x:v>NOT NULL</x:v>
      </x:c>
      <x:c r="H25" s="15"/>
      <x:c r="I25" s="15" t="str">
        <x:v>governance.runtime_catalog_projections에서 소스 selection sha256 값을 저장한다.</x:v>
      </x:c>
      <x:c r="J25" s="15" t="str">
        <x:v>CHECK | CHECK (projection_json ?&amp; ARRAY['schema_version'::text, 'projection_id'::text, 'projection_sha256'::text, 'catalog_release_id'::text, 'catalog_sha256'::text, 'canonical_sha256'::text, 'manifest_sha256'::text, 'membership_sha256'::text, 'source_selection_sha256'::text, 'trino_fingerprint_sha256'::text, 'source_selection'::text, 'trino_fingerprints'::text, 'snapshot'::text] AND (projection_json -&gt;&gt; 'schema_version'::text) = contract_version::text AND (projection_json -&gt;&gt; 'projection_id'::text) = projection_id::text AND (projection_json -&gt;&gt; 'projection_sha256'::text) = projection_sha256::text AND (projection_json -&gt;&gt; 'catalog_release_id'::text) = catalog_release_id::text AND (projection_json -&gt;&gt; 'catalog_sha256'::text) = catalog_sha256::text AND (projection_json -&gt;&gt; 'canonical_sha256'::text) = canonical_sha256::text AND (projection_json -&gt;&gt; 'manifest_sha256'::text) = manifest_sha256::text AND (projection_json -&gt;&gt; 'membership_sha256'::text) = membership_sha256::text AND (projection_json -&gt;&gt; 'source_selection_sha256'::text) = source_selection_sha256::text AND (projection_json -&gt;&gt; 'trino_fingerprint_sha256'::text) = trino_fingerprint_sha256::text AND (projection_json #&gt;&gt; '{source_selection,authority_mode}'::text[]) = authority_mode::text AND jsonb_typeof(projection_json -&gt; 'trino_fingerprints'::text) = 'array'::text AND jsonb_typeof(projection_json -&gt; 'snapshot'::text) = 'object'::text)</x:v>
      </x:c>
      <x:c r="K25" s="15" t="str">
        <x:v>보안: INTERNAL</x:v>
      </x:c>
    </x:row>
    <x:row r="26" ht="44" customHeight="1">
      <x:c r="A26" s="15" t="n">
        <x:v>10</x:v>
      </x:c>
      <x:c r="B26" s="15" t="str">
        <x:v>trino_fingerprint_sha256</x:v>
      </x:c>
      <x:c r="C26" s="15" t="str">
        <x:v>trino fingerprint sha256</x:v>
      </x:c>
      <x:c r="D26" s="15" t="str">
        <x:v>character</x:v>
      </x:c>
      <x:c r="E26" s="15" t="n">
        <x:v>64</x:v>
      </x:c>
      <x:c r="F26" s="15"/>
      <x:c r="G26" s="15" t="str">
        <x:v>NOT NULL</x:v>
      </x:c>
      <x:c r="H26" s="15"/>
      <x:c r="I26" s="15" t="str">
        <x:v>governance.runtime_catalog_projections에서 trino fingerprint sha256 값을 저장한다.</x:v>
      </x:c>
      <x:c r="J26" s="15" t="str">
        <x:v>CHECK | CHECK (projection_json ?&amp; ARRAY['schema_version'::text, 'projection_id'::text, 'projection_sha256'::text, 'catalog_release_id'::text, 'catalog_sha256'::text, 'canonical_sha256'::text, 'manifest_sha256'::text, 'membership_sha256'::text, 'source_selection_sha256'::text, 'trino_fingerprint_sha256'::text, 'source_selection'::text, 'trino_fingerprints'::text, 'snapshot'::text] AND (projection_json -&gt;&gt; 'schema_version'::text) = contract_version::text AND (projection_json -&gt;&gt; 'projection_id'::text) = projection_id::text AND (projection_json -&gt;&gt; 'projection_sha256'::text) = projection_sha256::text AND (projection_json -&gt;&gt; 'catalog_release_id'::text) = catalog_release_id::text AND (projection_json -&gt;&gt; 'catalog_sha256'::text) = catalog_sha256::text AND (projection_json -&gt;&gt; 'canonical_sha256'::text) = canonical_sha256::text AND (projection_json -&gt;&gt; 'manifest_sha256'::text) = manifest_sha256::text AND (projection_json -&gt;&gt; 'membership_sha256'::text) = membership_sha256::text AND (projection_json -&gt;&gt; 'source_selection_sha256'::text) = source_selection_sha256::text AND (projection_json -&gt;&gt; 'trino_fingerprint_sha256'::text) = trino_fingerprint_sha256::text AND (projection_json #&gt;&gt; '{source_selection,authority_mode}'::text[]) = authority_mode::text AND jsonb_typeof(projection_json -&gt; 'trino_fingerprints'::text) = 'array'::text AND jsonb_typeof(projection_json -&gt; 'snapshot'::text) = 'object'::text)</x:v>
      </x:c>
      <x:c r="K26" s="15" t="str">
        <x:v>보안: INTERNAL</x:v>
      </x:c>
    </x:row>
    <x:row r="27" ht="44" customHeight="1">
      <x:c r="A27" s="15" t="n">
        <x:v>11</x:v>
      </x:c>
      <x:c r="B27" s="15" t="str">
        <x:v>authority_mode</x:v>
      </x:c>
      <x:c r="C27" s="15" t="str">
        <x:v>authority 모드</x:v>
      </x:c>
      <x:c r="D27" s="15" t="str">
        <x:v>varchar</x:v>
      </x:c>
      <x:c r="E27" s="15" t="n">
        <x:v>32</x:v>
      </x:c>
      <x:c r="F27" s="15"/>
      <x:c r="G27" s="15" t="str">
        <x:v>NOT NULL</x:v>
      </x:c>
      <x:c r="H27" s="15"/>
      <x:c r="I27" s="15" t="str">
        <x:v>governance.runtime_catalog_projections에서 authority 모드 값을 저장한다.</x:v>
      </x:c>
      <x:c r="J27" s="15" t="str">
        <x:v>CHECK | CHECK (authority_mode::text = ANY (ARRAY['NATIVE_PRIORITY'::character varying, 'LEGACY_SHADOW'::character varying]::text[]))</x:v>
      </x:c>
      <x:c r="K27" s="15" t="str">
        <x:v>보안: INTERNAL</x:v>
      </x:c>
    </x:row>
    <x:row r="28" ht="44" customHeight="1">
      <x:c r="A28" s="15" t="n">
        <x:v>12</x:v>
      </x:c>
      <x:c r="B28" s="15" t="str">
        <x:v>projection_json</x:v>
      </x:c>
      <x:c r="C28" s="15" t="str">
        <x:v>후보 json</x:v>
      </x:c>
      <x:c r="D28" s="15" t="str">
        <x:v>jsonb</x:v>
      </x:c>
      <x:c r="E28" s="15"/>
      <x:c r="F28" s="15"/>
      <x:c r="G28" s="15" t="str">
        <x:v>NOT NULL</x:v>
      </x:c>
      <x:c r="H28" s="15"/>
      <x:c r="I28" s="15" t="str">
        <x:v>governance.runtime_catalog_projections의 후보 json 구조를 JSONB로 저장하며 승인된 스키마 계약으로 검증한다.</x:v>
      </x:c>
      <x:c r="J28" s="15" t="str">
        <x:v>CHECK | CHECK (projection_json ?&amp; ARRAY['schema_version'::text, 'projection_id'::text, 'projection_sha256'::text, 'catalog_release_id'::text, 'catalog_sha256'::text, 'canonical_sha256'::text, 'manifest_sha256'::text, 'membership_sha256'::text, 'source_selection_sha256'::text, 'trino_fingerprint_sha256'::text, 'source_selection'::text, 'trino_fingerprints'::text, 'snapshot'::text] AND (projection_json -&gt;&gt; 'schema_version'::text) = contract_version::text AND (projection_json -&gt;&gt; 'projection_id'::text) = projection_id::text AND (projection_json -&gt;&gt; 'projection_sha256'::text) = projection_sha256::text AND (projection_json -&gt;&gt; 'catalog_release_id'::text) = catalog_release_id::text AND (projection_json -&gt;&gt; 'catalog_sha256'::text) = catalog_sha256::text AND (projection_json -&gt;&gt; 'canonical_sha256'::text) = canonical_sha256::text AND (projection_json -&gt;&gt; 'manifest_sha256'::text) = manifest_sha256::text AND (projection_json -&gt;&gt; 'membership_sha256'::text) = membership_sha256::text AND (projection_json -&gt;&gt; 'source_selection_sha256'::text) = source_selection_sha256::text AND (projection_json -&gt;&gt; 'trino_fingerprint_sha256'::text) = trino_fingerprint_sha256::text AND (projection_json #&gt;&gt; '{source_selection,authority_mode}'::text[]) = authority_mode::text AND jsonb_typeof(projection_json -&gt; 'trino_fingerprints'::text) = 'array'::text AND jsonb_typeof(projection_json -&gt; 'snapshot'::text) = 'object'::text)</x:v>
      </x:c>
      <x:c r="K28" s="15" t="str">
        <x:v>보안: INTERNAL</x:v>
      </x:c>
    </x:row>
    <x:row r="29" ht="44" customHeight="1">
      <x:c r="A29" s="15" t="n">
        <x:v>13</x:v>
      </x:c>
      <x:c r="B29" s="15" t="str">
        <x:v>created_at</x:v>
      </x:c>
      <x:c r="C29" s="15" t="str">
        <x:v>생성 시각</x:v>
      </x:c>
      <x:c r="D29" s="15" t="str">
        <x:v>timestamptz</x:v>
      </x:c>
      <x:c r="E29" s="15"/>
      <x:c r="F29" s="15"/>
      <x:c r="G29" s="15" t="str">
        <x:v>NOT NULL</x:v>
      </x:c>
      <x:c r="H29" s="15" t="str">
        <x:v>now()</x:v>
      </x:c>
      <x:c r="I29" s="15" t="str">
        <x:v>governance.runtime_catalog_projections의 생성 시각을 UTC 기준 시각으로 저장한다.</x:v>
      </x:c>
      <x:c r="J29" s="15"/>
      <x:c r="K29" s="15" t="str">
        <x:v>보안: INTERNAL</x:v>
      </x:c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>
      <x:c r="A31" s="58" t="str">
        <x:v>no</x:v>
      </x:c>
      <x:c r="B31" s="58" t="str">
        <x:v>Index name</x:v>
      </x:c>
      <x:c r="C31" s="58"/>
      <x:c r="D31" s="58" t="str">
        <x:v>Index type</x:v>
      </x:c>
      <x:c r="E31" s="58"/>
      <x:c r="F31" s="58" t="str">
        <x:v>Unique</x:v>
      </x:c>
      <x:c r="G31" s="58"/>
      <x:c r="H31" s="58" t="str">
        <x:v>구성 컬럼</x:v>
      </x:c>
      <x:c r="I31" s="58"/>
      <x:c r="J31" s="58"/>
      <x:c r="K31" s="58"/>
    </x:row>
    <x:row r="32">
      <x:c r="A32" s="15" t="n">
        <x:v>1</x:v>
      </x:c>
      <x:c r="B32" s="15" t="str">
        <x:v>runtime_catalog_projections_pkey</x:v>
      </x:c>
      <x:c r="C32" s="15"/>
      <x:c r="D32" s="15" t="str">
        <x:v>BTREE</x:v>
      </x:c>
      <x:c r="E32" s="15"/>
      <x:c r="F32" s="15" t="str">
        <x:v>Unique</x:v>
      </x:c>
      <x:c r="G32" s="15"/>
      <x:c r="H32" s="15" t="str">
        <x:v>projection_id</x:v>
      </x:c>
      <x:c r="I32" s="15"/>
      <x:c r="J32" s="15"/>
      <x:c r="K32" s="15"/>
    </x:row>
    <x:row r="33">
      <x:c r="A33" s="15" t="n">
        <x:v>2</x:v>
      </x:c>
      <x:c r="B33" s="15" t="str">
        <x:v>runtime_catalog_projections_projection_sha256_key</x:v>
      </x:c>
      <x:c r="C33" s="15"/>
      <x:c r="D33" s="15" t="str">
        <x:v>BTREE</x:v>
      </x:c>
      <x:c r="E33" s="15"/>
      <x:c r="F33" s="15" t="str">
        <x:v>Unique</x:v>
      </x:c>
      <x:c r="G33" s="15"/>
      <x:c r="H33" s="15" t="str">
        <x:v>projection_sha256</x:v>
      </x:c>
      <x:c r="I33" s="15"/>
      <x:c r="J33" s="15"/>
      <x:c r="K33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1:C31"/>
    <x:mergeCell ref="D31:E31"/>
    <x:mergeCell ref="F31:G31"/>
    <x:mergeCell ref="H31:K31"/>
    <x:mergeCell ref="B32:C32"/>
    <x:mergeCell ref="D32:E32"/>
    <x:mergeCell ref="F32:G32"/>
    <x:mergeCell ref="H32:K32"/>
    <x:mergeCell ref="B33:C33"/>
    <x:mergeCell ref="D33:E33"/>
    <x:mergeCell ref="F33:G33"/>
    <x:mergeCell ref="H33:K33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governance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schema_version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스키마 버전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Application PostgreSQL의 스키마 버전을 관리한다. 현재 Alembic head 20260828_49에서 재현한 물리 구조다.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version</x:v>
      </x:c>
      <x:c r="C17" s="15" t="str">
        <x:v>버전</x:v>
      </x:c>
      <x:c r="D17" s="15" t="str">
        <x:v>varchar</x:v>
      </x:c>
      <x:c r="E17" s="15" t="n">
        <x:v>32</x:v>
      </x:c>
      <x:c r="F17" s="15" t="str">
        <x:v>PK</x:v>
      </x:c>
      <x:c r="G17" s="15" t="str">
        <x:v>NOT NULL</x:v>
      </x:c>
      <x:c r="H17" s="15"/>
      <x:c r="I17" s="15" t="str">
        <x:v>governance.schema_version의 한 행을 식별하는 버전 기본키다.</x:v>
      </x:c>
      <x:c r="J17" s="15"/>
      <x:c r="K17" s="15" t="str">
        <x:v>보안: INTERNAL</x:v>
      </x:c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>
      <x:c r="A19" s="58" t="str">
        <x:v>no</x:v>
      </x:c>
      <x:c r="B19" s="58" t="str">
        <x:v>Index name</x:v>
      </x:c>
      <x:c r="C19" s="58"/>
      <x:c r="D19" s="58" t="str">
        <x:v>Index type</x:v>
      </x:c>
      <x:c r="E19" s="58"/>
      <x:c r="F19" s="58" t="str">
        <x:v>Unique</x:v>
      </x:c>
      <x:c r="G19" s="58"/>
      <x:c r="H19" s="58" t="str">
        <x:v>구성 컬럼</x:v>
      </x:c>
      <x:c r="I19" s="58"/>
      <x:c r="J19" s="58"/>
      <x:c r="K19" s="58"/>
    </x:row>
    <x:row r="20">
      <x:c r="A20" s="15" t="n">
        <x:v>1</x:v>
      </x:c>
      <x:c r="B20" s="15" t="str">
        <x:v>schema_version_pkey</x:v>
      </x:c>
      <x:c r="C20" s="15"/>
      <x:c r="D20" s="15" t="str">
        <x:v>BTREE</x:v>
      </x:c>
      <x:c r="E20" s="15"/>
      <x:c r="F20" s="15" t="str">
        <x:v>Unique</x:v>
      </x:c>
      <x:c r="G20" s="15"/>
      <x:c r="H20" s="15" t="str">
        <x:v>version</x:v>
      </x:c>
      <x:c r="I20" s="15"/>
      <x:c r="J20" s="15"/>
      <x:c r="K20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19:C19"/>
    <x:mergeCell ref="D19:E19"/>
    <x:mergeCell ref="F19:G19"/>
    <x:mergeCell ref="H19:K19"/>
    <x:mergeCell ref="B20:C20"/>
    <x:mergeCell ref="D20:E20"/>
    <x:mergeCell ref="F20:G20"/>
    <x:mergeCell ref="H20:K20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model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evaluation_runs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모델 평가 실행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특정 모델 버전을 고정 평가 세트와 환경에서 실행한 평가 결과를 저장한다. 비교 그룹, Context·SQL 정책, GPU·CUDA 환경, 생성 설정, 정확도·지연·VRAM·실패 유형·비용을 기록해 baseline과 adapter를 동일 조건에서 비교한다.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evaluation_run_id</x:v>
      </x:c>
      <x:c r="C17" s="15" t="str">
        <x:v>평가 실행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 t="str">
        <x:v>gen_random_uuid()</x:v>
      </x:c>
      <x:c r="I17" s="15" t="str">
        <x:v>모델 평가 실행의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15"/>
      <x:c r="K17" s="15" t="str">
        <x:v>보안: INTERNAL</x:v>
      </x:c>
    </x:row>
    <x:row r="18" ht="44" customHeight="1">
      <x:c r="A18" s="15" t="n">
        <x:v>2</x:v>
      </x:c>
      <x:c r="B18" s="15" t="str">
        <x:v>model_version_id</x:v>
      </x:c>
      <x:c r="C18" s="15" t="str">
        <x:v>모델 버전</x:v>
      </x:c>
      <x:c r="D18" s="15" t="str">
        <x:v>uuid</x:v>
      </x:c>
      <x:c r="E18" s="15"/>
      <x:c r="F18" s="15" t="str">
        <x:v>FK</x:v>
      </x:c>
      <x:c r="G18" s="15" t="str">
        <x:v>NOT NULL</x:v>
      </x:c>
      <x:c r="H18" s="15"/>
      <x:c r="I18" s="15" t="str">
        <x:v>모델 버전를 hotel_datahub_app.model.model_versions.model_version_id와 연결하는 물리 외래키다. 반드시 존재하는 상위 행을 참조해야 한다.</x:v>
      </x:c>
      <x:c r="J18" s="15" t="str">
        <x:v>물리 FK | model.model_versions.model_version_id</x:v>
      </x:c>
      <x:c r="K18" s="15" t="str">
        <x:v>보안: INTERNAL</x:v>
      </x:c>
    </x:row>
    <x:row r="19" ht="44" customHeight="1">
      <x:c r="A19" s="15" t="n">
        <x:v>3</x:v>
      </x:c>
      <x:c r="B19" s="15" t="str">
        <x:v>comparison_group_id</x:v>
      </x:c>
      <x:c r="C19" s="15" t="str">
        <x:v>비교 그룹</x:v>
      </x:c>
      <x:c r="D19" s="15" t="str">
        <x:v>uuid</x:v>
      </x:c>
      <x:c r="E19" s="15"/>
      <x:c r="F19" s="15"/>
      <x:c r="G19" s="15"/>
      <x:c r="H19" s="15"/>
      <x:c r="I19" s="15" t="str">
        <x:v>동일 데이터·Context·정책·환경에서 비교할 baseline과 adapter 실행을 묶는 UUID다. 다른 조건의 실행을 같은 성능 비교로 오인하지 않도록 한다.</x:v>
      </x:c>
      <x:c r="J19" s="15"/>
      <x:c r="K19" s="15" t="str">
        <x:v>보안: INTERNAL</x:v>
      </x:c>
    </x:row>
    <x:row r="20" ht="44" customHeight="1">
      <x:c r="A20" s="15" t="n">
        <x:v>4</x:v>
      </x:c>
      <x:c r="B20" s="15" t="str">
        <x:v>evaluation_set_version</x:v>
      </x:c>
      <x:c r="C20" s="15" t="str">
        <x:v>평가 세트 버전</x:v>
      </x:c>
      <x:c r="D20" s="15" t="str">
        <x:v>varchar</x:v>
      </x:c>
      <x:c r="E20" s="15" t="n">
        <x:v>64</x:v>
      </x:c>
      <x:c r="F20" s="15"/>
      <x:c r="G20" s="15" t="str">
        <x:v>NOT NULL</x:v>
      </x:c>
      <x:c r="H20" s="15"/>
      <x:c r="I20" s="15" t="str">
        <x:v>평가에 사용한 fixture의 불변 버전명이다. acceptance-30, gold-120, dev 등 목적을 구분하며 최종 test gold와 prompt 조정 세트를 혼합하지 않는다.</x:v>
      </x:c>
      <x:c r="J20" s="15"/>
      <x:c r="K20" s="15" t="str">
        <x:v>보안: INTERNAL</x:v>
      </x:c>
    </x:row>
    <x:row r="21" ht="44" customHeight="1">
      <x:c r="A21" s="15" t="n">
        <x:v>5</x:v>
      </x:c>
      <x:c r="B21" s="15" t="str">
        <x:v>context_release_id</x:v>
      </x:c>
      <x:c r="C21" s="15" t="str">
        <x:v>Context release</x:v>
      </x:c>
      <x:c r="D21" s="15" t="str">
        <x:v>uuid</x:v>
      </x:c>
      <x:c r="E21" s="15"/>
      <x:c r="F21" s="15" t="str">
        <x:v>FK</x:v>
      </x:c>
      <x:c r="G21" s="15" t="str">
        <x:v>NOT NULL</x:v>
      </x:c>
      <x:c r="H21" s="15"/>
      <x:c r="I21" s="15" t="str">
        <x:v>Context release를 hotel_datahub_app.context.context_releases.context_release_id와 연결하는 물리 외래키다. 반드시 존재하는 상위 행을 참조해야 한다.</x:v>
      </x:c>
      <x:c r="J21" s="15" t="str">
        <x:v>물리 FK | context.context_releases.context_release_id</x:v>
      </x:c>
      <x:c r="K21" s="15" t="str">
        <x:v>보안: INTERNAL</x:v>
      </x:c>
    </x:row>
    <x:row r="22" ht="44" customHeight="1">
      <x:c r="A22" s="15" t="n">
        <x:v>6</x:v>
      </x:c>
      <x:c r="B22" s="15" t="str">
        <x:v>sql_policy_version</x:v>
      </x:c>
      <x:c r="C22" s="15" t="str">
        <x:v>SQL 정책 버전</x:v>
      </x:c>
      <x:c r="D22" s="15" t="str">
        <x:v>varchar</x:v>
      </x:c>
      <x:c r="E22" s="15" t="n">
        <x:v>64</x:v>
      </x:c>
      <x:c r="F22" s="15"/>
      <x:c r="G22" s="15" t="str">
        <x:v>NOT NULL</x:v>
      </x:c>
      <x:c r="H22" s="15"/>
      <x:c r="I22" s="15" t="str">
        <x:v>SQL 정책 버전의 정확한 버전을 식별한다. 최신값을 묵시적으로 사용하지 않고 실행·승인·평가 시 이 값을 함께 고정해 결과를 재현한다.</x:v>
      </x:c>
      <x:c r="J22" s="15" t="str">
        <x:v>정책 참조 | versioned access-policy/sql-policy 산출물</x:v>
      </x:c>
      <x:c r="K22" s="15" t="str">
        <x:v>보안: POLICY</x:v>
      </x:c>
    </x:row>
    <x:row r="23" ht="44" customHeight="1">
      <x:c r="A23" s="15" t="n">
        <x:v>7</x:v>
      </x:c>
      <x:c r="B23" s="15" t="str">
        <x:v>runpod_environment_json</x:v>
      </x:c>
      <x:c r="C23" s="15" t="str">
        <x:v>RunPod 환경</x:v>
      </x:c>
      <x:c r="D23" s="15" t="str">
        <x:v>jsonb</x:v>
      </x:c>
      <x:c r="E23" s="15"/>
      <x:c r="F23" s="15"/>
      <x:c r="G23" s="15" t="str">
        <x:v>NOT NULL</x:v>
      </x:c>
      <x:c r="H23" s="15"/>
      <x:c r="I23" s="15" t="str">
        <x:v>GPU 종류·VRAM, region, Cloud 유형, CUDA·driver·storage 등 실행 환경을 저장한다. 민감 token이나 Pod credential은 포함하지 않는다.</x:v>
      </x:c>
      <x:c r="J23" s="15" t="str">
        <x:v>구조 기준 | 해당 컬럼의 승인 JSON Schema</x:v>
      </x:c>
      <x:c r="K23" s="15" t="str">
        <x:v>보안: INTERNAL</x:v>
      </x:c>
    </x:row>
    <x:row r="24" ht="44" customHeight="1">
      <x:c r="A24" s="15" t="n">
        <x:v>8</x:v>
      </x:c>
      <x:c r="B24" s="15" t="str">
        <x:v>generation_config_json</x:v>
      </x:c>
      <x:c r="C24" s="15" t="str">
        <x:v>생성 설정</x:v>
      </x:c>
      <x:c r="D24" s="15" t="str">
        <x:v>jsonb</x:v>
      </x:c>
      <x:c r="E24" s="15"/>
      <x:c r="F24" s="15"/>
      <x:c r="G24" s="15" t="str">
        <x:v>NOT NULL</x:v>
      </x:c>
      <x:c r="H24" s="15"/>
      <x:c r="I24" s="15" t="str">
        <x:v>max output tokens, temperature, top_p, seed 등 모델 생성 설정을 저장한다. baseline과 adapter 비교 시 동일값을 사용한다.</x:v>
      </x:c>
      <x:c r="J24" s="15" t="str">
        <x:v>구조 기준 | 해당 컬럼의 승인 JSON Schema</x:v>
      </x:c>
      <x:c r="K24" s="15" t="str">
        <x:v>보안: INTERNAL</x:v>
      </x:c>
    </x:row>
    <x:row r="25" ht="44" customHeight="1">
      <x:c r="A25" s="15" t="n">
        <x:v>9</x:v>
      </x:c>
      <x:c r="B25" s="15" t="str">
        <x:v>metrics_json</x:v>
      </x:c>
      <x:c r="C25" s="15" t="str">
        <x:v>평가 지표</x:v>
      </x:c>
      <x:c r="D25" s="15" t="str">
        <x:v>jsonb</x:v>
      </x:c>
      <x:c r="E25" s="15"/>
      <x:c r="F25" s="15"/>
      <x:c r="G25" s="15" t="str">
        <x:v>NOT NULL</x:v>
      </x:c>
      <x:c r="H25" s="15"/>
      <x:c r="I25" s="15" t="str">
        <x:v>정확도·F1·SQL 성공률·차단률·p50/p95 지연·최대 VRAM 등 평가 결과를 구조화해 저장한다. 지표 정의와 분모를 함께 기록한다.</x:v>
      </x:c>
      <x:c r="J25" s="15" t="str">
        <x:v>구조 기준 | 해당 컬럼의 승인 JSON Schema</x:v>
      </x:c>
      <x:c r="K25" s="15" t="str">
        <x:v>보안: INTERNAL</x:v>
      </x:c>
    </x:row>
    <x:row r="26" ht="44" customHeight="1">
      <x:c r="A26" s="15" t="n">
        <x:v>10</x:v>
      </x:c>
      <x:c r="B26" s="15" t="str">
        <x:v>failure_counts_json</x:v>
      </x:c>
      <x:c r="C26" s="15" t="str">
        <x:v>실패 유형</x:v>
      </x:c>
      <x:c r="D26" s="15" t="str">
        <x:v>jsonb</x:v>
      </x:c>
      <x:c r="E26" s="15"/>
      <x:c r="F26" s="15"/>
      <x:c r="G26" s="15" t="str">
        <x:v>NOT NULL</x:v>
      </x:c>
      <x:c r="H26" s="15"/>
      <x:c r="I26" s="15" t="str">
        <x:v>schema, field, join, permission, parse, policy, timeout 등 실패 유형별 건수를 저장한다. 총 실패 건수와 유형 합계가 일치해야 한다.</x:v>
      </x:c>
      <x:c r="J26" s="15" t="str">
        <x:v>구조 기준 | 해당 컬럼의 승인 JSON Schema</x:v>
      </x:c>
      <x:c r="K26" s="15" t="str">
        <x:v>보안: INTERNAL</x:v>
      </x:c>
    </x:row>
    <x:row r="27" ht="44" customHeight="1">
      <x:c r="A27" s="15" t="n">
        <x:v>11</x:v>
      </x:c>
      <x:c r="B27" s="15" t="str">
        <x:v>pod_runtime_seconds</x:v>
      </x:c>
      <x:c r="C27" s="15" t="str">
        <x:v>Pod 실행시간</x:v>
      </x:c>
      <x:c r="D27" s="15" t="str">
        <x:v>integer</x:v>
      </x:c>
      <x:c r="E27" s="15"/>
      <x:c r="F27" s="15"/>
      <x:c r="G27" s="15"/>
      <x:c r="H27" s="15"/>
      <x:c r="I27" s="15" t="str">
        <x:v>Pod 실행시간을 초 단위로 저장한다. 음수는 허용하지 않으며 시작·종료 시각 또는 운영 기준과 계산 결과가 일치하도록 검증한다.</x:v>
      </x:c>
      <x:c r="J27" s="15" t="str">
        <x:v>CHECK | CHECK (pod_runtime_seconds &gt;= 0)</x:v>
      </x:c>
      <x:c r="K27" s="15" t="str">
        <x:v>보안: INTERNAL</x:v>
      </x:c>
    </x:row>
    <x:row r="28" ht="44" customHeight="1">
      <x:c r="A28" s="15" t="n">
        <x:v>12</x:v>
      </x:c>
      <x:c r="B28" s="15" t="str">
        <x:v>experiment_cost</x:v>
      </x:c>
      <x:c r="C28" s="15" t="str">
        <x:v>실험 비용</x:v>
      </x:c>
      <x:c r="D28" s="15" t="str">
        <x:v>numeric</x:v>
      </x:c>
      <x:c r="E28" s="15" t="str">
        <x:v>14,2</x:v>
      </x:c>
      <x:c r="F28" s="15"/>
      <x:c r="G28" s="15"/>
      <x:c r="H28" s="15"/>
      <x:c r="I28" s="15" t="str">
        <x:v>해당 평가 실행의 GPU·스토리지 등 실험 비용이다. 통화와 환산 기준은 metrics 또는 별도 실행 메타데이터에 명시하며 음수는 허용하지 않는다.</x:v>
      </x:c>
      <x:c r="J28" s="15" t="str">
        <x:v>CHECK | CHECK (experiment_cost &gt;= 0::numeric)</x:v>
      </x:c>
      <x:c r="K28" s="15" t="str">
        <x:v>보안: INTERNAL</x:v>
      </x:c>
    </x:row>
    <x:row r="29" ht="44" customHeight="1">
      <x:c r="A29" s="15" t="n">
        <x:v>13</x:v>
      </x:c>
      <x:c r="B29" s="15" t="str">
        <x:v>status</x:v>
      </x:c>
      <x:c r="C29" s="15" t="str">
        <x:v>상태</x:v>
      </x:c>
      <x:c r="D29" s="15" t="str">
        <x:v>varchar</x:v>
      </x:c>
      <x:c r="E29" s="15" t="n">
        <x:v>16</x:v>
      </x:c>
      <x:c r="F29" s="15"/>
      <x:c r="G29" s="15" t="str">
        <x:v>NOT NULL</x:v>
      </x:c>
      <x:c r="H29" s="15"/>
      <x:c r="I29" s="15" t="str">
        <x:v>모델 평가 실행 레코드의 현재 처리 단계 또는 사용 가능 상태를 나타낸다. 허용값은 RUNNING, SUCCEEDED, FAILED, CANCELLED이며 상태 전이는 업무 규칙과 감사 이벤트로 추적한다.</x:v>
      </x:c>
      <x:c r="J29" s="15" t="str">
        <x:v>CHECK | CHECK (status::text = ANY (ARRAY['RUNNING'::character varying, 'SUCCEEDED'::character varying, 'FAILED'::character varying, 'CANCELLED'::character varying]::text[]))</x:v>
      </x:c>
      <x:c r="K29" s="15" t="str">
        <x:v>보안: INTERNAL</x:v>
      </x:c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>
      <x:c r="A31" s="58" t="str">
        <x:v>no</x:v>
      </x:c>
      <x:c r="B31" s="58" t="str">
        <x:v>Index name</x:v>
      </x:c>
      <x:c r="C31" s="58"/>
      <x:c r="D31" s="58" t="str">
        <x:v>Index type</x:v>
      </x:c>
      <x:c r="E31" s="58"/>
      <x:c r="F31" s="58" t="str">
        <x:v>Unique</x:v>
      </x:c>
      <x:c r="G31" s="58"/>
      <x:c r="H31" s="58" t="str">
        <x:v>구성 컬럼</x:v>
      </x:c>
      <x:c r="I31" s="58"/>
      <x:c r="J31" s="58"/>
      <x:c r="K31" s="58"/>
    </x:row>
    <x:row r="32">
      <x:c r="A32" s="15" t="n">
        <x:v>1</x:v>
      </x:c>
      <x:c r="B32" s="15" t="str">
        <x:v>evaluation_runs_pkey</x:v>
      </x:c>
      <x:c r="C32" s="15"/>
      <x:c r="D32" s="15" t="str">
        <x:v>BTREE</x:v>
      </x:c>
      <x:c r="E32" s="15"/>
      <x:c r="F32" s="15" t="str">
        <x:v>Unique</x:v>
      </x:c>
      <x:c r="G32" s="15"/>
      <x:c r="H32" s="15" t="str">
        <x:v>evaluation_run_id</x:v>
      </x:c>
      <x:c r="I32" s="15"/>
      <x:c r="J32" s="15"/>
      <x:c r="K32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1:C31"/>
    <x:mergeCell ref="D31:E31"/>
    <x:mergeCell ref="F31:G31"/>
    <x:mergeCell ref="H31:K31"/>
    <x:mergeCell ref="B32:C32"/>
    <x:mergeCell ref="D32:E32"/>
    <x:mergeCell ref="F32:G32"/>
    <x:mergeCell ref="H32:K3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model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model_versions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모델 버전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SQL 생성, 설명, 임베딩, 재정렬, 객실수요예측 등에 사용하는 모델의 배포 가능한 버전을 관리한다. checkpoint·revision, baseline/LoRA/QLoRA/ONNX 변형, 라이선스, runtime·container digest·정밀도와 artifact 참조를 고정한다.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model_version_id</x:v>
      </x:c>
      <x:c r="C17" s="15" t="str">
        <x:v>모델 버전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 t="str">
        <x:v>gen_random_uuid()</x:v>
      </x:c>
      <x:c r="I17" s="15" t="str">
        <x:v>모델 버전의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15" t="str">
        <x:v>참조됨 | chat.analysis_requests.sql_generation_model_id, governance.audit_events.model_version_id, model.model_versions.parent_model_version_id, model.evaluation_runs.model_version_id, rag.rag_chunks.embedding_model_id</x:v>
      </x:c>
      <x:c r="K17" s="15" t="str">
        <x:v>보안: INTERNAL</x:v>
      </x:c>
    </x:row>
    <x:row r="18" ht="44" customHeight="1">
      <x:c r="A18" s="15" t="n">
        <x:v>2</x:v>
      </x:c>
      <x:c r="B18" s="15" t="str">
        <x:v>model_role</x:v>
      </x:c>
      <x:c r="C18" s="15" t="str">
        <x:v>모델 역할</x:v>
      </x:c>
      <x:c r="D18" s="15" t="str">
        <x:v>varchar</x:v>
      </x:c>
      <x:c r="E18" s="15" t="n">
        <x:v>24</x:v>
      </x:c>
      <x:c r="F18" s="15"/>
      <x:c r="G18" s="15" t="str">
        <x:v>NOT NULL</x:v>
      </x:c>
      <x:c r="H18" s="15"/>
      <x:c r="I18" s="15" t="str">
        <x:v>모델 역할: 승인된 표준 코드 값이다. 허용값은 SQL_GENERATION, EXPLANATION, EMBEDDING, RERANKER, ML_PREDICT이며 값에 따라 모델 버전의 처리 규칙·집계 범위·표시 방식이 달라지므로 자유서술을 허용하지 않는다.</x:v>
      </x:c>
      <x:c r="J18" s="15" t="str">
        <x:v>CHECK | CHECK (model_role::text = ANY (ARRAY['SQL_GENERATION'::character varying, 'EXPLANATION'::character varying, 'EMBEDDING'::character varying, 'RERANKER'::character varying, 'ML_PREDICT'::character varying]::text[]))</x:v>
      </x:c>
      <x:c r="K18" s="15" t="str">
        <x:v>보안: INTERNAL</x:v>
      </x:c>
    </x:row>
    <x:row r="19" ht="44" customHeight="1">
      <x:c r="A19" s="15" t="n">
        <x:v>3</x:v>
      </x:c>
      <x:c r="B19" s="15" t="str">
        <x:v>model_name</x:v>
      </x:c>
      <x:c r="C19" s="15" t="str">
        <x:v>모델명</x:v>
      </x:c>
      <x:c r="D19" s="15" t="str">
        <x:v>varchar</x:v>
      </x:c>
      <x:c r="E19" s="15" t="n">
        <x:v>160</x:v>
      </x:c>
      <x:c r="F19" s="15"/>
      <x:c r="G19" s="15" t="str">
        <x:v>NOT NULL</x:v>
      </x:c>
      <x:c r="H19" s="15"/>
      <x:c r="I19" s="15" t="str">
        <x:v>모델명으로 화면·보고서에 표시하는 사람이 읽을 수 있는 명칭이다. 식별·조인에는 별도 ID 또는 안정 키를 사용하며 민감정보를 포함하지 않는다.</x:v>
      </x:c>
      <x:c r="J19" s="15"/>
      <x:c r="K19" s="15" t="str">
        <x:v>보안: INTERNAL</x:v>
      </x:c>
    </x:row>
    <x:row r="20" ht="44" customHeight="1">
      <x:c r="A20" s="15" t="n">
        <x:v>4</x:v>
      </x:c>
      <x:c r="B20" s="15" t="str">
        <x:v>checkpoint_ref</x:v>
      </x:c>
      <x:c r="C20" s="15" t="str">
        <x:v>checkpoint</x:v>
      </x:c>
      <x:c r="D20" s="15" t="str">
        <x:v>varchar</x:v>
      </x:c>
      <x:c r="E20" s="15" t="n">
        <x:v>255</x:v>
      </x:c>
      <x:c r="F20" s="15"/>
      <x:c r="G20" s="15" t="str">
        <x:v>NOT NULL</x:v>
      </x:c>
      <x:c r="H20" s="15"/>
      <x:c r="I20" s="15" t="str">
        <x:v>기본 모델 또는 adapter checkpoint의 저장소 경로·모델 허브 식별자다. model_revision과 함께 고정해 같은 가중치를 다시 로드할 수 있어야 한다.</x:v>
      </x:c>
      <x:c r="J20" s="15"/>
      <x:c r="K20" s="15" t="str">
        <x:v>보안: INTERNAL</x:v>
      </x:c>
    </x:row>
    <x:row r="21" ht="44" customHeight="1">
      <x:c r="A21" s="15" t="n">
        <x:v>5</x:v>
      </x:c>
      <x:c r="B21" s="15" t="str">
        <x:v>model_revision</x:v>
      </x:c>
      <x:c r="C21" s="15" t="str">
        <x:v>revision/SHA</x:v>
      </x:c>
      <x:c r="D21" s="15" t="str">
        <x:v>varchar</x:v>
      </x:c>
      <x:c r="E21" s="15" t="n">
        <x:v>128</x:v>
      </x:c>
      <x:c r="F21" s="15"/>
      <x:c r="G21" s="15" t="str">
        <x:v>NOT NULL</x:v>
      </x:c>
      <x:c r="H21" s="15"/>
      <x:c r="I21" s="15" t="str">
        <x:v>checkpoint의 정확한 revision, commit SHA 또는 digest다. latest 같은 가변 태그만 저장하지 않고 재현 가능한 불변 식별자를 사용한다.</x:v>
      </x:c>
      <x:c r="J21" s="15"/>
      <x:c r="K21" s="15" t="str">
        <x:v>보안: INTERNAL</x:v>
      </x:c>
    </x:row>
    <x:row r="22" ht="44" customHeight="1">
      <x:c r="A22" s="15" t="n">
        <x:v>6</x:v>
      </x:c>
      <x:c r="B22" s="15" t="str">
        <x:v>variant_type</x:v>
      </x:c>
      <x:c r="C22" s="15" t="str">
        <x:v>variant</x:v>
      </x:c>
      <x:c r="D22" s="15" t="str">
        <x:v>varchar</x:v>
      </x:c>
      <x:c r="E22" s="15" t="n">
        <x:v>16</x:v>
      </x:c>
      <x:c r="F22" s="15"/>
      <x:c r="G22" s="15" t="str">
        <x:v>NOT NULL</x:v>
      </x:c>
      <x:c r="H22" s="15"/>
      <x:c r="I22" s="15" t="str">
        <x:v>variant: 승인된 표준 코드 값이다. 허용값은 BASELINE, LORA, QLORA, ONNX이며 값에 따라 모델 버전의 처리 규칙·집계 범위·표시 방식이 달라지므로 자유서술을 허용하지 않는다.</x:v>
      </x:c>
      <x:c r="J22" s="15" t="str">
        <x:v>CHECK | CHECK (variant_type::text = ANY (ARRAY['BASELINE'::character varying, 'LORA'::character varying, 'QLORA'::character varying, 'ONNX'::character varying]::text[]))</x:v>
      </x:c>
      <x:c r="K22" s="15" t="str">
        <x:v>보안: INTERNAL</x:v>
      </x:c>
    </x:row>
    <x:row r="23" ht="44" customHeight="1">
      <x:c r="A23" s="15" t="n">
        <x:v>7</x:v>
      </x:c>
      <x:c r="B23" s="15" t="str">
        <x:v>parent_model_version_id</x:v>
      </x:c>
      <x:c r="C23" s="15" t="str">
        <x:v>부모 모델</x:v>
      </x:c>
      <x:c r="D23" s="15" t="str">
        <x:v>uuid</x:v>
      </x:c>
      <x:c r="E23" s="15"/>
      <x:c r="F23" s="15" t="str">
        <x:v>FK</x:v>
      </x:c>
      <x:c r="G23" s="15"/>
      <x:c r="H23" s="15"/>
      <x:c r="I23" s="15" t="str">
        <x:v>부모 모델를 hotel_datahub_app.model.model_versions.model_version_id와 연결하는 물리 외래키다. NULL을 허용하므로 연결 대상이 없는 선택 관계를 표현할 수 있다.</x:v>
      </x:c>
      <x:c r="J23" s="15" t="str">
        <x:v>물리 FK | model.model_versions.model_version_id</x:v>
      </x:c>
      <x:c r="K23" s="15" t="str">
        <x:v>보안: INTERNAL</x:v>
      </x:c>
    </x:row>
    <x:row r="24" ht="44" customHeight="1">
      <x:c r="A24" s="15" t="n">
        <x:v>8</x:v>
      </x:c>
      <x:c r="B24" s="15" t="str">
        <x:v>license_name</x:v>
      </x:c>
      <x:c r="C24" s="15" t="str">
        <x:v>라이선스</x:v>
      </x:c>
      <x:c r="D24" s="15" t="str">
        <x:v>varchar</x:v>
      </x:c>
      <x:c r="E24" s="15" t="n">
        <x:v>128</x:v>
      </x:c>
      <x:c r="F24" s="15"/>
      <x:c r="G24" s="15" t="str">
        <x:v>NOT NULL</x:v>
      </x:c>
      <x:c r="H24" s="15"/>
      <x:c r="I24" s="15" t="str">
        <x:v>라이선스으로 화면·보고서에 표시하는 사람이 읽을 수 있는 명칭이다. 식별·조인에는 별도 ID 또는 안정 키를 사용하며 민감정보를 포함하지 않는다.</x:v>
      </x:c>
      <x:c r="J24" s="15"/>
      <x:c r="K24" s="15" t="str">
        <x:v>보안: POLICY</x:v>
      </x:c>
    </x:row>
    <x:row r="25" ht="44" customHeight="1">
      <x:c r="A25" s="15" t="n">
        <x:v>9</x:v>
      </x:c>
      <x:c r="B25" s="15" t="str">
        <x:v>runtime_name</x:v>
      </x:c>
      <x:c r="C25" s="15" t="str">
        <x:v>서빙 runtime</x:v>
      </x:c>
      <x:c r="D25" s="15" t="str">
        <x:v>varchar</x:v>
      </x:c>
      <x:c r="E25" s="15" t="n">
        <x:v>64</x:v>
      </x:c>
      <x:c r="F25" s="15"/>
      <x:c r="G25" s="15" t="str">
        <x:v>NOT NULL</x:v>
      </x:c>
      <x:c r="H25" s="15"/>
      <x:c r="I25" s="15" t="str">
        <x:v>서빙 runtime으로 화면·보고서에 표시하는 사람이 읽을 수 있는 명칭이다. 식별·조인에는 별도 ID 또는 안정 키를 사용하며 민감정보를 포함하지 않는다.</x:v>
      </x:c>
      <x:c r="J25" s="15"/>
      <x:c r="K25" s="15" t="str">
        <x:v>보안: INTERNAL</x:v>
      </x:c>
    </x:row>
    <x:row r="26" ht="44" customHeight="1">
      <x:c r="A26" s="15" t="n">
        <x:v>10</x:v>
      </x:c>
      <x:c r="B26" s="15" t="str">
        <x:v>container_image_digest</x:v>
      </x:c>
      <x:c r="C26" s="15" t="str">
        <x:v>container image</x:v>
      </x:c>
      <x:c r="D26" s="15" t="str">
        <x:v>varchar</x:v>
      </x:c>
      <x:c r="E26" s="15" t="n">
        <x:v>255</x:v>
      </x:c>
      <x:c r="F26" s="15"/>
      <x:c r="G26" s="15" t="str">
        <x:v>NOT NULL</x:v>
      </x:c>
      <x:c r="H26" s="15"/>
      <x:c r="I26" s="15" t="str">
        <x:v>모델 서빙에 사용한 container image의 digest다. 태그가 같아도 이미지 내용이 달라지는 문제를 막기 위해 sha256 digest를 저장한다.</x:v>
      </x:c>
      <x:c r="J26" s="15"/>
      <x:c r="K26" s="15" t="str">
        <x:v>보안: INTERNAL</x:v>
      </x:c>
    </x:row>
    <x:row r="27" ht="44" customHeight="1">
      <x:c r="A27" s="15" t="n">
        <x:v>11</x:v>
      </x:c>
      <x:c r="B27" s="15" t="str">
        <x:v>precision_quantization</x:v>
      </x:c>
      <x:c r="C27" s="15" t="str">
        <x:v>정밀도·양자화</x:v>
      </x:c>
      <x:c r="D27" s="15" t="str">
        <x:v>varchar</x:v>
      </x:c>
      <x:c r="E27" s="15" t="n">
        <x:v>64</x:v>
      </x:c>
      <x:c r="F27" s="15"/>
      <x:c r="G27" s="15"/>
      <x:c r="H27" s="15"/>
      <x:c r="I27" s="15" t="str">
        <x:v>모델 실행 정밀도와 양자화 조합을 기록한다. 예: BF16, FP16, INT8, 4bit-NF4이며 성능·VRAM 비교의 조건으로 사용한다.</x:v>
      </x:c>
      <x:c r="J27" s="15"/>
      <x:c r="K27" s="15" t="str">
        <x:v>보안: INTERNAL</x:v>
      </x:c>
    </x:row>
    <x:row r="28" ht="44" customHeight="1">
      <x:c r="A28" s="15" t="n">
        <x:v>12</x:v>
      </x:c>
      <x:c r="B28" s="15" t="str">
        <x:v>artifact_ref</x:v>
      </x:c>
      <x:c r="C28" s="15" t="str">
        <x:v>모델 위치</x:v>
      </x:c>
      <x:c r="D28" s="15" t="str">
        <x:v>varchar</x:v>
      </x:c>
      <x:c r="E28" s="15" t="n">
        <x:v>512</x:v>
      </x:c>
      <x:c r="F28" s="15"/>
      <x:c r="G28" s="15"/>
      <x:c r="H28" s="15"/>
      <x:c r="I28" s="15" t="str">
        <x:v>모델 파일 또는 adapter가 저장된 영속 storage 참조다. 임시 Pod 경로가 아닌 복구 가능한 위치를 사용하고 접근 credential은 별도 비밀 저장소에 둔다.</x:v>
      </x:c>
      <x:c r="J28" s="15" t="str">
        <x:v>저장소 참조 | 모델 artifact의 영속 storage URI/키; credential 원문 금지</x:v>
      </x:c>
      <x:c r="K28" s="15" t="str">
        <x:v>보안: CONFIDENTIAL</x:v>
      </x:c>
    </x:row>
    <x:row r="29" ht="44" customHeight="1">
      <x:c r="A29" s="15" t="n">
        <x:v>13</x:v>
      </x:c>
      <x:c r="B29" s="15" t="str">
        <x:v>status</x:v>
      </x:c>
      <x:c r="C29" s="15" t="str">
        <x:v>상태</x:v>
      </x:c>
      <x:c r="D29" s="15" t="str">
        <x:v>varchar</x:v>
      </x:c>
      <x:c r="E29" s="15" t="n">
        <x:v>16</x:v>
      </x:c>
      <x:c r="F29" s="15"/>
      <x:c r="G29" s="15" t="str">
        <x:v>NOT NULL</x:v>
      </x:c>
      <x:c r="H29" s="15"/>
      <x:c r="I29" s="15" t="str">
        <x:v>모델 버전 레코드의 현재 처리 단계 또는 사용 가능 상태를 나타낸다. 허용값은 CANDIDATE, APPROVED, REJECTED, DEPLOYED이며 상태 전이는 업무 규칙과 감사 이벤트로 추적한다.</x:v>
      </x:c>
      <x:c r="J29" s="15" t="str">
        <x:v>CHECK | CHECK (status::text = ANY (ARRAY['CANDIDATE'::character varying, 'APPROVED'::character varying, 'REJECTED'::character varying, 'DEPLOYED'::character varying]::text[]))</x:v>
      </x:c>
      <x:c r="K29" s="15" t="str">
        <x:v>보안: INTERNAL</x:v>
      </x:c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>
      <x:c r="A31" s="58" t="str">
        <x:v>no</x:v>
      </x:c>
      <x:c r="B31" s="58" t="str">
        <x:v>Index name</x:v>
      </x:c>
      <x:c r="C31" s="58"/>
      <x:c r="D31" s="58" t="str">
        <x:v>Index type</x:v>
      </x:c>
      <x:c r="E31" s="58"/>
      <x:c r="F31" s="58" t="str">
        <x:v>Unique</x:v>
      </x:c>
      <x:c r="G31" s="58"/>
      <x:c r="H31" s="58" t="str">
        <x:v>구성 컬럼</x:v>
      </x:c>
      <x:c r="I31" s="58"/>
      <x:c r="J31" s="58"/>
      <x:c r="K31" s="58"/>
    </x:row>
    <x:row r="32">
      <x:c r="A32" s="15" t="n">
        <x:v>1</x:v>
      </x:c>
      <x:c r="B32" s="15" t="str">
        <x:v>model_versions_pkey</x:v>
      </x:c>
      <x:c r="C32" s="15"/>
      <x:c r="D32" s="15" t="str">
        <x:v>BTREE</x:v>
      </x:c>
      <x:c r="E32" s="15"/>
      <x:c r="F32" s="15" t="str">
        <x:v>Unique</x:v>
      </x:c>
      <x:c r="G32" s="15"/>
      <x:c r="H32" s="15" t="str">
        <x:v>model_version_id</x:v>
      </x:c>
      <x:c r="I32" s="15"/>
      <x:c r="J32" s="15"/>
      <x:c r="K32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1:C31"/>
    <x:mergeCell ref="D31:E31"/>
    <x:mergeCell ref="F31:G31"/>
    <x:mergeCell ref="H31:K31"/>
    <x:mergeCell ref="B32:C32"/>
    <x:mergeCell ref="D32:E32"/>
    <x:mergeCell ref="F32:G32"/>
    <x:mergeCell ref="H32:K32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query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query_executions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쿼리 실행 이력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하나의 분석 요청에서 생성·검증·실행된 SQL 시도별 이력을 저장한다. 생성 방식, 비식별 SQL, AST·조인·권한 검증, Trino 실행 식별자·통계·결과 checksum·source watermark를 기록해 허용 여부와 재현성을 입증한다.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query_execution_id</x:v>
      </x:c>
      <x:c r="C17" s="15" t="str">
        <x:v>query 실행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 t="str">
        <x:v>gen_random_uuid()</x:v>
      </x:c>
      <x:c r="I17" s="15" t="str">
        <x:v>쿼리 실행 이력의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15" t="str">
        <x:v>참조됨 | artifact.analysis_artifacts.query_execution_id, report_v1.report_block_runs.query_execution_id, governance.audit_events.query_execution_id</x:v>
      </x:c>
      <x:c r="K17" s="15" t="str">
        <x:v>보안: INTERNAL</x:v>
      </x:c>
    </x:row>
    <x:row r="18" ht="44" customHeight="1">
      <x:c r="A18" s="15" t="n">
        <x:v>2</x:v>
      </x:c>
      <x:c r="B18" s="15" t="str">
        <x:v>request_id</x:v>
      </x:c>
      <x:c r="C18" s="15" t="str">
        <x:v>요청 ID</x:v>
      </x:c>
      <x:c r="D18" s="15" t="str">
        <x:v>uuid</x:v>
      </x:c>
      <x:c r="E18" s="15"/>
      <x:c r="F18" s="15" t="str">
        <x:v>FK</x:v>
      </x:c>
      <x:c r="G18" s="15" t="str">
        <x:v>NOT NULL</x:v>
      </x:c>
      <x:c r="H18" s="15"/>
      <x:c r="I18" s="15" t="str">
        <x:v>요청 ID를 hotel_datahub_app.chat.analysis_requests.request_id와 연결하는 물리 외래키다. 반드시 존재하는 상위 행을 참조해야 한다.</x:v>
      </x:c>
      <x:c r="J18" s="15" t="str">
        <x:v>물리 FK | chat.analysis_requests.request_id</x:v>
      </x:c>
      <x:c r="K18" s="15" t="str">
        <x:v>보안: INTERNAL</x:v>
      </x:c>
    </x:row>
    <x:row r="19" ht="44" customHeight="1">
      <x:c r="A19" s="15" t="n">
        <x:v>3</x:v>
      </x:c>
      <x:c r="B19" s="15" t="str">
        <x:v>attempt_no</x:v>
      </x:c>
      <x:c r="C19" s="15" t="str">
        <x:v>시도 번호</x:v>
      </x:c>
      <x:c r="D19" s="15" t="str">
        <x:v>smallint</x:v>
      </x:c>
      <x:c r="E19" s="15"/>
      <x:c r="F19" s="15" t="str">
        <x:v>UK</x:v>
      </x:c>
      <x:c r="G19" s="15" t="str">
        <x:v>NOT NULL</x:v>
      </x:c>
      <x:c r="H19" s="15"/>
      <x:c r="I19" s="15" t="str">
        <x:v>같은 request_id에서 SQL을 생성·수정·재시도한 순서를 나타낸다. 1부터 증가하며 동일 요청·시도번호 조합은 중복될 수 없다.</x:v>
      </x:c>
      <x:c r="J19" s="15" t="str">
        <x:v>CHECK | CHECK (attempt_no &gt; 0)</x:v>
      </x:c>
      <x:c r="K19" s="15" t="str">
        <x:v>보안: INTERNAL</x:v>
      </x:c>
    </x:row>
    <x:row r="20" ht="44" customHeight="1">
      <x:c r="A20" s="15" t="n">
        <x:v>4</x:v>
      </x:c>
      <x:c r="B20" s="15" t="str">
        <x:v>generation_mode</x:v>
      </x:c>
      <x:c r="C20" s="15" t="str">
        <x:v>생성 방식</x:v>
      </x:c>
      <x:c r="D20" s="15" t="str">
        <x:v>varchar</x:v>
      </x:c>
      <x:c r="E20" s="15" t="n">
        <x:v>20</x:v>
      </x:c>
      <x:c r="F20" s="15"/>
      <x:c r="G20" s="15" t="str">
        <x:v>NOT NULL</x:v>
      </x:c>
      <x:c r="H20" s="15"/>
      <x:c r="I20" s="15" t="str">
        <x:v>생성 방식의 승인 코드다. 허용값은 LLM, TEMPLATE이며 모델 생성과 승인 템플릿 경로를 구분한다. Repair·재시도 순서는 attempt_no로 기록한다.</x:v>
      </x:c>
      <x:c r="J20" s="15" t="str">
        <x:v>CHECK | CHECK (generation_mode::text = ANY (ARRAY['LLM'::character varying, 'TEMPLATE'::character varying, 'COMPILER'::character varying]::text[]))</x:v>
      </x:c>
      <x:c r="K20" s="15" t="str">
        <x:v>보안: INTERNAL</x:v>
      </x:c>
    </x:row>
    <x:row r="21" ht="44" customHeight="1">
      <x:c r="A21" s="15" t="n">
        <x:v>5</x:v>
      </x:c>
      <x:c r="B21" s="15" t="str">
        <x:v>generated_sql_redacted</x:v>
      </x:c>
      <x:c r="C21" s="15" t="str">
        <x:v>생성 SQL</x:v>
      </x:c>
      <x:c r="D21" s="15" t="str">
        <x:v>text</x:v>
      </x:c>
      <x:c r="E21" s="15"/>
      <x:c r="F21" s="15"/>
      <x:c r="G21" s="15" t="str">
        <x:v>NOT NULL</x:v>
      </x:c>
      <x:c r="H21" s="15"/>
      <x:c r="I21" s="15" t="str">
        <x:v>검증 대상으로 생성된 SELECT SQL의 저장용 비식별본이다. 민감 literal과 credential은 파라미터 또는 마스킹 값으로 분리하며 DDL·DML은 허용하지 않는다.</x:v>
      </x:c>
      <x:c r="J21" s="15"/>
      <x:c r="K21" s="15" t="str">
        <x:v>보안: CONFIDENTIAL</x:v>
      </x:c>
    </x:row>
    <x:row r="22" ht="44" customHeight="1">
      <x:c r="A22" s="15" t="n">
        <x:v>6</x:v>
      </x:c>
      <x:c r="B22" s="15" t="str">
        <x:v>sql_hash</x:v>
      </x:c>
      <x:c r="C22" s="15" t="str">
        <x:v>SQL hash</x:v>
      </x:c>
      <x:c r="D22" s="15" t="str">
        <x:v>varchar</x:v>
      </x:c>
      <x:c r="E22" s="15" t="n">
        <x:v>64</x:v>
      </x:c>
      <x:c r="F22" s="15"/>
      <x:c r="G22" s="15" t="str">
        <x:v>NOT NULL</x:v>
      </x:c>
      <x:c r="H22" s="15"/>
      <x:c r="I22" s="15" t="str">
        <x:v>SQL hash의 정규화된 내용을 기준으로 계산한 무결성 값이다. 입력 순서·타입 표현을 고정해 동일 내용은 같은 값이 나오도록 하며 변경·재현성 검증에 사용한다.</x:v>
      </x:c>
      <x:c r="J22" s="15" t="str">
        <x:v>무결성 기준 | 정규화 후 SHA-256 또는 승인된 checksum 방식</x:v>
      </x:c>
      <x:c r="K22" s="15" t="str">
        <x:v>보안: INTERNAL</x:v>
      </x:c>
    </x:row>
    <x:row r="23" ht="44" customHeight="1">
      <x:c r="A23" s="15" t="n">
        <x:v>7</x:v>
      </x:c>
      <x:c r="B23" s="15" t="str">
        <x:v>ast_validation_json</x:v>
      </x:c>
      <x:c r="C23" s="15" t="str">
        <x:v>AST 검증</x:v>
      </x:c>
      <x:c r="D23" s="15" t="str">
        <x:v>jsonb</x:v>
      </x:c>
      <x:c r="E23" s="15"/>
      <x:c r="F23" s="15"/>
      <x:c r="G23" s="15" t="str">
        <x:v>NOT NULL</x:v>
      </x:c>
      <x:c r="H23" s="15"/>
      <x:c r="I23" s="15" t="str">
        <x:v>SQL AST에서 statement 유형, 사용 자산·컬럼·함수, limit 존재 여부를 검증한 결과다. 허용/차단 근거와 rule version을 구조화해 저장한다.</x:v>
      </x:c>
      <x:c r="J23" s="15" t="str">
        <x:v>구조 기준 | 해당 컬럼의 승인 JSON Schema</x:v>
      </x:c>
      <x:c r="K23" s="15" t="str">
        <x:v>보안: POLICY</x:v>
      </x:c>
    </x:row>
    <x:row r="24" ht="44" customHeight="1">
      <x:c r="A24" s="15" t="n">
        <x:v>8</x:v>
      </x:c>
      <x:c r="B24" s="15" t="str">
        <x:v>join_validation_json</x:v>
      </x:c>
      <x:c r="C24" s="15" t="str">
        <x:v>JOIN 검증</x:v>
      </x:c>
      <x:c r="D24" s="15" t="str">
        <x:v>jsonb</x:v>
      </x:c>
      <x:c r="E24" s="15"/>
      <x:c r="F24" s="15"/>
      <x:c r="G24" s="15" t="str">
        <x:v>NOT NULL</x:v>
      </x:c>
      <x:c r="H24" s="15"/>
      <x:c r="I24" s="15" t="str">
        <x:v>SQL의 각 JOIN이 승인 JOIN_POLICY의 키·방향·cardinality·유효기간 조건과 일치하는지 검증한 결과다. 미승인 cross-source 조인은 BLOCKED 처리한다.</x:v>
      </x:c>
      <x:c r="J24" s="15" t="str">
        <x:v>구조 기준 | 해당 컬럼의 승인 JSON Schema</x:v>
      </x:c>
      <x:c r="K24" s="15" t="str">
        <x:v>보안: POLICY</x:v>
      </x:c>
    </x:row>
    <x:row r="25" ht="44" customHeight="1">
      <x:c r="A25" s="15" t="n">
        <x:v>9</x:v>
      </x:c>
      <x:c r="B25" s="15" t="str">
        <x:v>permission_validation_json</x:v>
      </x:c>
      <x:c r="C25" s="15" t="str">
        <x:v>권한 검증</x:v>
      </x:c>
      <x:c r="D25" s="15" t="str">
        <x:v>jsonb</x:v>
      </x:c>
      <x:c r="E25" s="15"/>
      <x:c r="F25" s="15"/>
      <x:c r="G25" s="15" t="str">
        <x:v>NOT NULL</x:v>
      </x:c>
      <x:c r="H25" s="15"/>
      <x:c r="I25" s="15" t="str">
        <x:v>요청 역할이 데이터셋·컬럼·행 범위를 조회할 수 있는지 access policy로 검증한 결과다. 마스킹·차단된 컬럼과 적용 정책 버전을 포함한다.</x:v>
      </x:c>
      <x:c r="J25" s="15" t="str">
        <x:v>구조 기준 | 해당 컬럼의 승인 JSON Schema</x:v>
      </x:c>
      <x:c r="K25" s="15" t="str">
        <x:v>보안: POLICY</x:v>
      </x:c>
    </x:row>
    <x:row r="26" ht="44" customHeight="1">
      <x:c r="A26" s="15" t="n">
        <x:v>10</x:v>
      </x:c>
      <x:c r="B26" s="15" t="str">
        <x:v>explain_json</x:v>
      </x:c>
      <x:c r="C26" s="15" t="str">
        <x:v>Trino EXPLAIN</x:v>
      </x:c>
      <x:c r="D26" s="15" t="str">
        <x:v>jsonb</x:v>
      </x:c>
      <x:c r="E26" s="15"/>
      <x:c r="F26" s="15"/>
      <x:c r="G26" s="15" t="str">
        <x:v>NOT NULL</x:v>
      </x:c>
      <x:c r="H26" s="15"/>
      <x:c r="I26" s="15" t="str">
        <x:v>Trino EXPLAIN 결과 중 계획 유효성, 예상 scan, 경고를 비식별 구조로 저장한다. 실행 전 비용·금지 연산·과도한 scan을 차단하는 근거다.</x:v>
      </x:c>
      <x:c r="J26" s="15" t="str">
        <x:v>구조 기준 | 해당 컬럼의 승인 JSON Schema</x:v>
      </x:c>
      <x:c r="K26" s="15" t="str">
        <x:v>보안: INTERNAL</x:v>
      </x:c>
    </x:row>
    <x:row r="27" ht="44" customHeight="1">
      <x:c r="A27" s="15" t="n">
        <x:v>11</x:v>
      </x:c>
      <x:c r="B27" s="15" t="str">
        <x:v>validation_status</x:v>
      </x:c>
      <x:c r="C27" s="15" t="str">
        <x:v>검증 상태</x:v>
      </x:c>
      <x:c r="D27" s="15" t="str">
        <x:v>varchar</x:v>
      </x:c>
      <x:c r="E27" s="15" t="n">
        <x:v>16</x:v>
      </x:c>
      <x:c r="F27" s="15"/>
      <x:c r="G27" s="15" t="str">
        <x:v>NOT NULL</x:v>
      </x:c>
      <x:c r="H27" s="15"/>
      <x:c r="I27" s="15" t="str">
        <x:v>검증 상태의 현재 업무 상태를 나타내는 코드다. 허용값은 PENDING, ALLOWED, BLOCKED, FAILED이며 관련 시각·금액·결과 컬럼과 모순되지 않도록 검증한다.</x:v>
      </x:c>
      <x:c r="J27" s="15" t="str">
        <x:v>CHECK | CHECK (validation_status::text = ANY (ARRAY['PENDING'::character varying, 'ALLOWED'::character varying, 'BLOCKED'::character varying, 'FAILED'::character varying]::text[]))</x:v>
      </x:c>
      <x:c r="K27" s="15" t="str">
        <x:v>보안: INTERNAL</x:v>
      </x:c>
    </x:row>
    <x:row r="28" ht="44" customHeight="1">
      <x:c r="A28" s="15" t="n">
        <x:v>12</x:v>
      </x:c>
      <x:c r="B28" s="15" t="str">
        <x:v>trino_query_id</x:v>
      </x:c>
      <x:c r="C28" s="15" t="str">
        <x:v>Trino query ID</x:v>
      </x:c>
      <x:c r="D28" s="15" t="str">
        <x:v>varchar</x:v>
      </x:c>
      <x:c r="E28" s="15" t="n">
        <x:v>128</x:v>
      </x:c>
      <x:c r="F28" s="15"/>
      <x:c r="G28" s="15"/>
      <x:c r="H28" s="15"/>
      <x:c r="I28" s="15" t="str">
        <x:v>Trino가 실제 실행에 부여한 query ID다. Trino UI·서버 로그·취소 요청과 Application 실행 이력을 연결하며 실행 시작 전에는 NULL일 수 있다.</x:v>
      </x:c>
      <x:c r="J28" s="15" t="str">
        <x:v>CHECK | CHECK (execution_status::text &lt;&gt; 'RUNNING'::text OR trino_query_id IS NOT NULL AND btrim(trino_query_id::text) &lt;&gt; ''::text AND trino_cancel_uri IS NOT NULL AND btrim(trino_cancel_uri) &lt;&gt; ''::text) NOT VALID</x:v>
      </x:c>
      <x:c r="K28" s="15" t="str">
        <x:v>보안: INTERNAL</x:v>
      </x:c>
    </x:row>
    <x:row r="29" ht="44" customHeight="1">
      <x:c r="A29" s="15" t="n">
        <x:v>13</x:v>
      </x:c>
      <x:c r="B29" s="15" t="str">
        <x:v>execution_status</x:v>
      </x:c>
      <x:c r="C29" s="15" t="str">
        <x:v>실행 상태</x:v>
      </x:c>
      <x:c r="D29" s="15" t="str">
        <x:v>varchar</x:v>
      </x:c>
      <x:c r="E29" s="15" t="n">
        <x:v>16</x:v>
      </x:c>
      <x:c r="F29" s="15"/>
      <x:c r="G29" s="15" t="str">
        <x:v>NOT NULL</x:v>
      </x:c>
      <x:c r="H29" s="15"/>
      <x:c r="I29" s="15" t="str">
        <x:v>실행 상태의 현재 업무 상태를 나타내는 코드다. 허용값은 NOT_STARTED, RUNNING, SUCCEEDED, FAILED, CANCELLED이며 관련 시각·금액·결과 컬럼과 모순되지 않도록 검증한다.</x:v>
      </x:c>
      <x:c r="J29" s="15" t="str">
        <x:v>CHECK | CHECK (execution_status::text = ANY (ARRAY['NOT_STARTED'::character varying, 'RUNNING'::character varying, 'SUCCEEDED'::character varying, 'FAILED'::character varying, 'CANCELLED'::character varying]::text[]))</x:v>
      </x:c>
      <x:c r="K29" s="15" t="str">
        <x:v>보안: INTERNAL</x:v>
      </x:c>
    </x:row>
    <x:row r="30" ht="44" customHeight="1">
      <x:c r="A30" s="15" t="n">
        <x:v>14</x:v>
      </x:c>
      <x:c r="B30" s="15" t="str">
        <x:v>row_count</x:v>
      </x:c>
      <x:c r="C30" s="15" t="str">
        <x:v>행수</x:v>
      </x:c>
      <x:c r="D30" s="15" t="str">
        <x:v>integer</x:v>
      </x:c>
      <x:c r="E30" s="15"/>
      <x:c r="F30" s="15"/>
      <x:c r="G30" s="15" t="str">
        <x:v>NOT NULL</x:v>
      </x:c>
      <x:c r="H30" s="15"/>
      <x:c r="I30" s="15" t="str">
        <x:v>Trino 실행 결과로 반환된 행 수다. 0 이상 정수이며 row limit 적용 여부와 결과 snapshot의 실제 행 수를 대조하는 데 사용한다.</x:v>
      </x:c>
      <x:c r="J30" s="15" t="str">
        <x:v>CHECK | CHECK (row_count &gt;= 0)</x:v>
      </x:c>
      <x:c r="K30" s="15" t="str">
        <x:v>보안: INTERNAL</x:v>
      </x:c>
    </x:row>
    <x:row r="31" ht="44" customHeight="1">
      <x:c r="A31" s="15" t="n">
        <x:v>15</x:v>
      </x:c>
      <x:c r="B31" s="15" t="str">
        <x:v>scan_bytes</x:v>
      </x:c>
      <x:c r="C31" s="15" t="str">
        <x:v>scan bytes</x:v>
      </x:c>
      <x:c r="D31" s="15" t="str">
        <x:v>bigint</x:v>
      </x:c>
      <x:c r="E31" s="15"/>
      <x:c r="F31" s="15"/>
      <x:c r="G31" s="15" t="str">
        <x:v>NOT NULL</x:v>
      </x:c>
      <x:c r="H31" s="15"/>
      <x:c r="I31" s="15" t="str">
        <x:v>Trino가 해당 실행에서 스캔한 원천 데이터 크기를 byte 단위로 저장한다. EXPLAIN 예상값과 실제값을 비교해 과도한 전체 스캔을 탐지하고 쿼리 비용 제한에 사용한다.</x:v>
      </x:c>
      <x:c r="J31" s="15" t="str">
        <x:v>CHECK | CHECK (scan_bytes &gt;= 0)</x:v>
      </x:c>
      <x:c r="K31" s="15" t="str">
        <x:v>보안: INTERNAL</x:v>
      </x:c>
    </x:row>
    <x:row r="32" ht="44" customHeight="1">
      <x:c r="A32" s="15" t="n">
        <x:v>16</x:v>
      </x:c>
      <x:c r="B32" s="15" t="str">
        <x:v>duration_ms</x:v>
      </x:c>
      <x:c r="C32" s="15" t="str">
        <x:v>실행시간</x:v>
      </x:c>
      <x:c r="D32" s="15" t="str">
        <x:v>integer</x:v>
      </x:c>
      <x:c r="E32" s="15"/>
      <x:c r="F32" s="15"/>
      <x:c r="G32" s="15"/>
      <x:c r="H32" s="15"/>
      <x:c r="I32" s="15" t="str">
        <x:v>실행시간을 밀리초 단위로 저장한다. 음수는 허용하지 않으며 시작·종료 시각 또는 운영 기준과 계산 결과가 일치하도록 검증한다.</x:v>
      </x:c>
      <x:c r="J32" s="15" t="str">
        <x:v>CHECK | CHECK (duration_ms &gt;= 0)</x:v>
      </x:c>
      <x:c r="K32" s="15" t="str">
        <x:v>보안: INTERNAL</x:v>
      </x:c>
    </x:row>
    <x:row r="33" ht="44" customHeight="1">
      <x:c r="A33" s="15" t="n">
        <x:v>17</x:v>
      </x:c>
      <x:c r="B33" s="15" t="str">
        <x:v>result_checksum</x:v>
      </x:c>
      <x:c r="C33" s="15" t="str">
        <x:v>결과 checksum</x:v>
      </x:c>
      <x:c r="D33" s="15" t="str">
        <x:v>varchar</x:v>
      </x:c>
      <x:c r="E33" s="15" t="n">
        <x:v>64</x:v>
      </x:c>
      <x:c r="F33" s="15"/>
      <x:c r="G33" s="15"/>
      <x:c r="H33" s="15"/>
      <x:c r="I33" s="15" t="str">
        <x:v>정렬·타입·NULL 표현을 정규화한 쿼리 결과의 checksum이다. Gold fixture와 보고서 재실행 결과가 같은지 비교할 때 사용한다.</x:v>
      </x:c>
      <x:c r="J33" s="15" t="str">
        <x:v>무결성 기준 | 정규화 후 SHA-256 또는 승인된 checksum 방식</x:v>
      </x:c>
      <x:c r="K33" s="15" t="str">
        <x:v>보안: INTERNAL</x:v>
      </x:c>
    </x:row>
    <x:row r="34" ht="44" customHeight="1">
      <x:c r="A34" s="15" t="n">
        <x:v>18</x:v>
      </x:c>
      <x:c r="B34" s="15" t="str">
        <x:v>source_urns_json</x:v>
      </x:c>
      <x:c r="C34" s="15" t="str">
        <x:v>사용 source URN</x:v>
      </x:c>
      <x:c r="D34" s="15" t="str">
        <x:v>jsonb</x:v>
      </x:c>
      <x:c r="E34" s="15"/>
      <x:c r="F34" s="15"/>
      <x:c r="G34" s="15" t="str">
        <x:v>NOT NULL</x:v>
      </x:c>
      <x:c r="H34" s="15"/>
      <x:c r="I34" s="15" t="str">
        <x:v>실제 쿼리가 읽은 DataHub source URN 목록이다. Context package의 허용 자산과 대조해 승인되지 않은 원천 접근이 없었음을 확인한다.</x:v>
      </x:c>
      <x:c r="J34" s="15" t="str">
        <x:v>구조 기준 | 해당 컬럼의 승인 JSON Schema</x:v>
      </x:c>
      <x:c r="K34" s="15" t="str">
        <x:v>보안: INTERNAL</x:v>
      </x:c>
    </x:row>
    <x:row r="35" ht="44" customHeight="1">
      <x:c r="A35" s="15" t="n">
        <x:v>19</x:v>
      </x:c>
      <x:c r="B35" s="15" t="str">
        <x:v>source_cutoff_json</x:v>
      </x:c>
      <x:c r="C35" s="15" t="str">
        <x:v>source 기준 시각</x:v>
      </x:c>
      <x:c r="D35" s="15" t="str">
        <x:v>jsonb</x:v>
      </x:c>
      <x:c r="E35" s="15"/>
      <x:c r="F35" s="15"/>
      <x:c r="G35" s="15" t="str">
        <x:v>NOT NULL</x:v>
      </x:c>
      <x:c r="H35" s="15"/>
      <x:c r="I35" s="15" t="str">
        <x:v>원천별 데이터 기준 시각과 freshness·watermark를 저장한다. 같은 SQL이라도 데이터 시점이 다른 결과를 구분하고 point-in-time 재현에 사용한다.</x:v>
      </x:c>
      <x:c r="J35" s="15" t="str">
        <x:v>구조 기준 | 해당 컬럼의 승인 JSON Schema</x:v>
      </x:c>
      <x:c r="K35" s="15" t="str">
        <x:v>보안: INTERNAL</x:v>
      </x:c>
    </x:row>
    <x:row r="36" ht="44" customHeight="1">
      <x:c r="A36" s="15" t="n">
        <x:v>20</x:v>
      </x:c>
      <x:c r="B36" s="15" t="str">
        <x:v>error_code</x:v>
      </x:c>
      <x:c r="C36" s="15" t="str">
        <x:v>오류 코드</x:v>
      </x:c>
      <x:c r="D36" s="15" t="str">
        <x:v>varchar</x:v>
      </x:c>
      <x:c r="E36" s="15" t="n">
        <x:v>64</x:v>
      </x:c>
      <x:c r="F36" s="15"/>
      <x:c r="G36" s="15"/>
      <x:c r="H36" s="15"/>
      <x:c r="I36" s="15" t="str">
        <x:v>오류 코드: 자유서술이 아닌 승인 코드로 저장한다. 자유서술 대신 승인된 코드 도메인을 사용해 source 간 집계와 필터 조건을 일관되게 유지한다.</x:v>
      </x:c>
      <x:c r="J36" s="15"/>
      <x:c r="K36" s="15" t="str">
        <x:v>보안: INTERNAL</x:v>
      </x:c>
    </x:row>
    <x:row r="37" ht="44" customHeight="1">
      <x:c r="A37" s="15" t="n">
        <x:v>21</x:v>
      </x:c>
      <x:c r="B37" s="15" t="str">
        <x:v>error_message_redacted</x:v>
      </x:c>
      <x:c r="C37" s="15" t="str">
        <x:v>비식별 오류</x:v>
      </x:c>
      <x:c r="D37" s="15" t="str">
        <x:v>text</x:v>
      </x:c>
      <x:c r="E37" s="15"/>
      <x:c r="F37" s="15"/>
      <x:c r="G37" s="15"/>
      <x:c r="H37" s="15"/>
      <x:c r="I37" s="15" t="str">
        <x:v>쿼리 실행 이력 실패 원인을 운영자가 확인할 수 있도록 비식별화한 설명이다. credential, PII, 원문 SQL 파라미터와 내부 경로를 제거한 뒤 저장한다.</x:v>
      </x:c>
      <x:c r="J37" s="15"/>
      <x:c r="K37" s="15" t="str">
        <x:v>보안: CONFIDENTIAL</x:v>
      </x:c>
    </x:row>
    <x:row r="38" ht="44" customHeight="1">
      <x:c r="A38" s="15" t="n">
        <x:v>22</x:v>
      </x:c>
      <x:c r="B38" s="15" t="str">
        <x:v>trino_cancel_uri</x:v>
      </x:c>
      <x:c r="C38" s="15" t="str">
        <x:v>trino cancel uri</x:v>
      </x:c>
      <x:c r="D38" s="15" t="str">
        <x:v>text</x:v>
      </x:c>
      <x:c r="E38" s="15"/>
      <x:c r="F38" s="15"/>
      <x:c r="G38" s="15"/>
      <x:c r="H38" s="15"/>
      <x:c r="I38" s="15" t="str">
        <x:v>query.query_executions에서 trino cancel uri 값을 저장한다.</x:v>
      </x:c>
      <x:c r="J38" s="15" t="str">
        <x:v>CHECK | CHECK (execution_status::text &lt;&gt; 'RUNNING'::text OR trino_query_id IS NOT NULL AND btrim(trino_query_id::text) &lt;&gt; ''::text AND trino_cancel_uri IS NOT NULL AND btrim(trino_cancel_uri) &lt;&gt; ''::text) NOT VALID</x:v>
      </x:c>
      <x:c r="K38" s="15" t="str">
        <x:v>보안: INTERNAL</x:v>
      </x:c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</x:row>
    <x:row r="40">
      <x:c r="A40" s="58" t="str">
        <x:v>no</x:v>
      </x:c>
      <x:c r="B40" s="58" t="str">
        <x:v>Index name</x:v>
      </x:c>
      <x:c r="C40" s="58"/>
      <x:c r="D40" s="58" t="str">
        <x:v>Index type</x:v>
      </x:c>
      <x:c r="E40" s="58"/>
      <x:c r="F40" s="58" t="str">
        <x:v>Unique</x:v>
      </x:c>
      <x:c r="G40" s="58"/>
      <x:c r="H40" s="58" t="str">
        <x:v>구성 컬럼</x:v>
      </x:c>
      <x:c r="I40" s="58"/>
      <x:c r="J40" s="58"/>
      <x:c r="K40" s="58"/>
    </x:row>
    <x:row r="41">
      <x:c r="A41" s="15" t="n">
        <x:v>1</x:v>
      </x:c>
      <x:c r="B41" s="15" t="str">
        <x:v>idx_query_executions_request</x:v>
      </x:c>
      <x:c r="C41" s="15"/>
      <x:c r="D41" s="15" t="str">
        <x:v>BTREE</x:v>
      </x:c>
      <x:c r="E41" s="15"/>
      <x:c r="F41" s="15" t="str">
        <x:v>Non-Unique</x:v>
      </x:c>
      <x:c r="G41" s="15"/>
      <x:c r="H41" s="15" t="str">
        <x:v>request_id, execution_status</x:v>
      </x:c>
      <x:c r="I41" s="15"/>
      <x:c r="J41" s="15"/>
      <x:c r="K41" s="15"/>
    </x:row>
    <x:row r="42">
      <x:c r="A42" s="15" t="n">
        <x:v>2</x:v>
      </x:c>
      <x:c r="B42" s="15" t="str">
        <x:v>query_executions_pkey</x:v>
      </x:c>
      <x:c r="C42" s="15"/>
      <x:c r="D42" s="15" t="str">
        <x:v>BTREE</x:v>
      </x:c>
      <x:c r="E42" s="15"/>
      <x:c r="F42" s="15" t="str">
        <x:v>Unique</x:v>
      </x:c>
      <x:c r="G42" s="15"/>
      <x:c r="H42" s="15" t="str">
        <x:v>query_execution_id</x:v>
      </x:c>
      <x:c r="I42" s="15"/>
      <x:c r="J42" s="15"/>
      <x:c r="K42" s="15"/>
    </x:row>
    <x:row r="43">
      <x:c r="A43" s="15" t="n">
        <x:v>3</x:v>
      </x:c>
      <x:c r="B43" s="15" t="str">
        <x:v>query_executions_request_id_attempt_no_key</x:v>
      </x:c>
      <x:c r="C43" s="15"/>
      <x:c r="D43" s="15" t="str">
        <x:v>BTREE</x:v>
      </x:c>
      <x:c r="E43" s="15"/>
      <x:c r="F43" s="15" t="str">
        <x:v>Unique</x:v>
      </x:c>
      <x:c r="G43" s="15"/>
      <x:c r="H43" s="15" t="str">
        <x:v>request_id, attempt_no</x:v>
      </x:c>
      <x:c r="I43" s="15"/>
      <x:c r="J43" s="15"/>
      <x:c r="K43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40:C40"/>
    <x:mergeCell ref="D40:E40"/>
    <x:mergeCell ref="F40:G40"/>
    <x:mergeCell ref="H40:K40"/>
    <x:mergeCell ref="B41:C41"/>
    <x:mergeCell ref="D41:E41"/>
    <x:mergeCell ref="F41:G41"/>
    <x:mergeCell ref="H41:K41"/>
    <x:mergeCell ref="B42:C42"/>
    <x:mergeCell ref="D42:E42"/>
    <x:mergeCell ref="F42:G42"/>
    <x:mergeCell ref="H42:K42"/>
    <x:mergeCell ref="B43:C43"/>
    <x:mergeCell ref="D43:E43"/>
    <x:mergeCell ref="F43:G43"/>
    <x:mergeCell ref="H43:K43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reference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calendar_daily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영업일 달력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2022~2026 영업일별 달력·수요 시나리오·실적/예측 구분의 기준 차원을 저장한다. 모든 일별 source fact가 business_date를 기준으로 기간 상태와 forecast 여부를 일관되게 판정할 때 사용한다.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business_date</x:v>
      </x:c>
      <x:c r="C17" s="15" t="str">
        <x:v>영업일자</x:v>
      </x:c>
      <x:c r="D17" s="15" t="str">
        <x:v>date</x:v>
      </x:c>
      <x:c r="E17" s="15"/>
      <x:c r="F17" s="15" t="str">
        <x:v>PK</x:v>
      </x:c>
      <x:c r="G17" s="15" t="str">
        <x:v>NOT NULL</x:v>
      </x:c>
      <x:c r="H17" s="15"/>
      <x:c r="I17" s="15" t="str">
        <x:v>모든 일별 운영 fact의 기준이 되는 영업일자 기본키다. 2024-01-01부터 2026-08-31까지 날짜당 정확히 1행을 유지한다.</x:v>
      </x:c>
      <x:c r="J17" s="15" t="str">
        <x:v>논리 기준 | hotel_datahub_app.reference.calendar_daily.business_date</x:v>
      </x:c>
      <x:c r="K17" s="15" t="str">
        <x:v>보안: INTERNAL</x:v>
      </x:c>
    </x:row>
    <x:row r="18" ht="44" customHeight="1">
      <x:c r="A18" s="15" t="n">
        <x:v>2</x:v>
      </x:c>
      <x:c r="B18" s="15" t="str">
        <x:v>year</x:v>
      </x:c>
      <x:c r="C18" s="15" t="str">
        <x:v>연도</x:v>
      </x:c>
      <x:c r="D18" s="15" t="str">
        <x:v>smallint</x:v>
      </x:c>
      <x:c r="E18" s="15"/>
      <x:c r="F18" s="15"/>
      <x:c r="G18" s="15" t="str">
        <x:v>NOT NULL</x:v>
      </x:c>
      <x:c r="H18" s="15"/>
      <x:c r="I18" s="15" t="str">
        <x:v>연도를 4자리 연도로 저장한다. 관련 날짜·월 컬럼에서 파생되며 서로 다른 값이 되지 않도록 검증한다.</x:v>
      </x:c>
      <x:c r="J18" s="15" t="str">
        <x:v>CHECK | CHECK (week_of_year &gt;= 1 AND week_of_year &lt;= 53)</x:v>
      </x:c>
      <x:c r="K18" s="15" t="str">
        <x:v>보안: INTERNAL</x:v>
      </x:c>
    </x:row>
    <x:row r="19" ht="44" customHeight="1">
      <x:c r="A19" s="15" t="n">
        <x:v>3</x:v>
      </x:c>
      <x:c r="B19" s="15" t="str">
        <x:v>quarter</x:v>
      </x:c>
      <x:c r="C19" s="15" t="str">
        <x:v>분기</x:v>
      </x:c>
      <x:c r="D19" s="15" t="str">
        <x:v>smallint</x:v>
      </x:c>
      <x:c r="E19" s="15"/>
      <x:c r="F19" s="15"/>
      <x:c r="G19" s="15" t="str">
        <x:v>NOT NULL</x:v>
      </x:c>
      <x:c r="H19" s="15"/>
      <x:c r="I19" s="15" t="str">
        <x:v>영업일자가 속한 분기를 1~4 정수로 저장한다. month에서 일관되게 파생하며 임의 입력하지 않는다.</x:v>
      </x:c>
      <x:c r="J19" s="15" t="str">
        <x:v>CHECK | CHECK (quarter &gt;= 1 AND quarter &lt;= 4)</x:v>
      </x:c>
      <x:c r="K19" s="15" t="str">
        <x:v>보안: INTERNAL</x:v>
      </x:c>
    </x:row>
    <x:row r="20" ht="44" customHeight="1">
      <x:c r="A20" s="15" t="n">
        <x:v>4</x:v>
      </x:c>
      <x:c r="B20" s="15" t="str">
        <x:v>month</x:v>
      </x:c>
      <x:c r="C20" s="15" t="str">
        <x:v>월</x:v>
      </x:c>
      <x:c r="D20" s="15" t="str">
        <x:v>smallint</x:v>
      </x:c>
      <x:c r="E20" s="15"/>
      <x:c r="F20" s="15"/>
      <x:c r="G20" s="15" t="str">
        <x:v>NOT NULL</x:v>
      </x:c>
      <x:c r="H20" s="15"/>
      <x:c r="I20" s="15" t="str">
        <x:v>월을 1~12 정수로 저장한다. 관련 날짜 또는 year와 결합해 월별 집계 기준으로 사용한다.</x:v>
      </x:c>
      <x:c r="J20" s="15" t="str">
        <x:v>CHECK | CHECK (month &gt;= 1 AND month &lt;= 12)</x:v>
      </x:c>
      <x:c r="K20" s="15" t="str">
        <x:v>보안: INTERNAL</x:v>
      </x:c>
    </x:row>
    <x:row r="21" ht="44" customHeight="1">
      <x:c r="A21" s="15" t="n">
        <x:v>5</x:v>
      </x:c>
      <x:c r="B21" s="15" t="str">
        <x:v>week_of_year</x:v>
      </x:c>
      <x:c r="C21" s="15" t="str">
        <x:v>주차</x:v>
      </x:c>
      <x:c r="D21" s="15" t="str">
        <x:v>smallint</x:v>
      </x:c>
      <x:c r="E21" s="15"/>
      <x:c r="F21" s="15"/>
      <x:c r="G21" s="15" t="str">
        <x:v>NOT NULL</x:v>
      </x:c>
      <x:c r="H21" s="15"/>
      <x:c r="I21" s="15" t="str">
        <x:v>해당 영업일자의 ISO 또는 프로젝트 표준 주차 번호다. 연말·연초 경계에서 사용하는 주차 규칙을 데이터 생성 코드와 동일하게 유지한다.</x:v>
      </x:c>
      <x:c r="J21" s="15" t="str">
        <x:v>CHECK | CHECK (week_of_year &gt;= 1 AND week_of_year &lt;= 53)</x:v>
      </x:c>
      <x:c r="K21" s="15" t="str">
        <x:v>보안: INTERNAL</x:v>
      </x:c>
    </x:row>
    <x:row r="22" ht="44" customHeight="1">
      <x:c r="A22" s="15" t="n">
        <x:v>6</x:v>
      </x:c>
      <x:c r="B22" s="15" t="str">
        <x:v>day_of_week</x:v>
      </x:c>
      <x:c r="C22" s="15" t="str">
        <x:v>요일</x:v>
      </x:c>
      <x:c r="D22" s="15" t="str">
        <x:v>smallint</x:v>
      </x:c>
      <x:c r="E22" s="15"/>
      <x:c r="F22" s="15"/>
      <x:c r="G22" s="15" t="str">
        <x:v>NOT NULL</x:v>
      </x:c>
      <x:c r="H22" s="15"/>
      <x:c r="I22" s="15" t="str">
        <x:v>요일을 1~7의 표준 숫자로 저장한다. 1의 기준 요일은 생성 규칙에서 고정하고 주말 여부와 모순되지 않아야 한다.</x:v>
      </x:c>
      <x:c r="J22" s="15" t="str">
        <x:v>CHECK | CHECK (day_of_week &gt;= 1 AND day_of_week &lt;= 7)</x:v>
      </x:c>
      <x:c r="K22" s="15" t="str">
        <x:v>보안: INTERNAL</x:v>
      </x:c>
    </x:row>
    <x:row r="23" ht="44" customHeight="1">
      <x:c r="A23" s="15" t="n">
        <x:v>7</x:v>
      </x:c>
      <x:c r="B23" s="15" t="str">
        <x:v>is_weekend</x:v>
      </x:c>
      <x:c r="C23" s="15" t="str">
        <x:v>주말 여부</x:v>
      </x:c>
      <x:c r="D23" s="15" t="str">
        <x:v>boolean</x:v>
      </x:c>
      <x:c r="E23" s="15"/>
      <x:c r="F23" s="15"/>
      <x:c r="G23" s="15" t="str">
        <x:v>NOT NULL</x:v>
      </x:c>
      <x:c r="H23" s="15"/>
      <x:c r="I23" s="15" t="str">
        <x:v>주말 여부 조건의 충족 여부를 boolean으로 저장한다. true/false의 업무 의미를 명확히 고정하고 NULL로 미정 상태를 표현하지 않는다.</x:v>
      </x:c>
      <x:c r="J23" s="15"/>
      <x:c r="K23" s="15" t="str">
        <x:v>보안: INTERNAL</x:v>
      </x:c>
    </x:row>
    <x:row r="24" ht="44" customHeight="1">
      <x:c r="A24" s="15" t="n">
        <x:v>8</x:v>
      </x:c>
      <x:c r="B24" s="15" t="str">
        <x:v>is_public_holiday</x:v>
      </x:c>
      <x:c r="C24" s="15" t="str">
        <x:v>공휴일 여부</x:v>
      </x:c>
      <x:c r="D24" s="15" t="str">
        <x:v>boolean</x:v>
      </x:c>
      <x:c r="E24" s="15"/>
      <x:c r="F24" s="15"/>
      <x:c r="G24" s="15" t="str">
        <x:v>NOT NULL</x:v>
      </x:c>
      <x:c r="H24" s="15"/>
      <x:c r="I24" s="15" t="str">
        <x:v>공휴일 여부 조건의 충족 여부를 boolean으로 저장한다. true/false의 업무 의미를 명확히 고정하고 NULL로 미정 상태를 표현하지 않는다.</x:v>
      </x:c>
      <x:c r="J24" s="15"/>
      <x:c r="K24" s="15" t="str">
        <x:v>보안: INTERNAL</x:v>
      </x:c>
    </x:row>
    <x:row r="25" ht="44" customHeight="1">
      <x:c r="A25" s="15" t="n">
        <x:v>9</x:v>
      </x:c>
      <x:c r="B25" s="15" t="str">
        <x:v>is_holiday_eve</x:v>
      </x:c>
      <x:c r="C25" s="15" t="str">
        <x:v>연휴 전일 여부</x:v>
      </x:c>
      <x:c r="D25" s="15" t="str">
        <x:v>boolean</x:v>
      </x:c>
      <x:c r="E25" s="15"/>
      <x:c r="F25" s="15"/>
      <x:c r="G25" s="15" t="str">
        <x:v>NOT NULL</x:v>
      </x:c>
      <x:c r="H25" s="15"/>
      <x:c r="I25" s="15" t="str">
        <x:v>연휴 전일 여부 조건의 충족 여부를 boolean으로 저장한다. true/false의 업무 의미를 명확히 고정하고 NULL로 미정 상태를 표현하지 않는다.</x:v>
      </x:c>
      <x:c r="J25" s="15"/>
      <x:c r="K25" s="15" t="str">
        <x:v>보안: INTERNAL</x:v>
      </x:c>
    </x:row>
    <x:row r="26" ht="44" customHeight="1">
      <x:c r="A26" s="15" t="n">
        <x:v>10</x:v>
      </x:c>
      <x:c r="B26" s="15" t="str">
        <x:v>season_code</x:v>
      </x:c>
      <x:c r="C26" s="15" t="str">
        <x:v>계절 코드</x:v>
      </x:c>
      <x:c r="D26" s="15" t="str">
        <x:v>varchar</x:v>
      </x:c>
      <x:c r="E26" s="15" t="n">
        <x:v>24</x:v>
      </x:c>
      <x:c r="F26" s="15"/>
      <x:c r="G26" s="15" t="str">
        <x:v>NOT NULL</x:v>
      </x:c>
      <x:c r="H26" s="15"/>
      <x:c r="I26" s="15" t="str">
        <x:v>계절 코드: 자유서술이 아닌 승인 코드로 저장한다. 자유서술 대신 승인된 코드 도메인을 사용해 source 간 집계와 필터 조건을 일관되게 유지한다. 허용값은 SPRING, SUMMER, AUTUMN, WINTER이다.</x:v>
      </x:c>
      <x:c r="J26" s="15" t="str">
        <x:v>CHECK | CHECK (season_code::text = ANY (ARRAY['SPRING'::character varying, 'SUMMER'::character varying, 'AUTUMN'::character varying, 'WINTER'::character varying]::text[]))</x:v>
      </x:c>
      <x:c r="K26" s="15" t="str">
        <x:v>보안: INTERNAL</x:v>
      </x:c>
    </x:row>
    <x:row r="27" ht="44" customHeight="1">
      <x:c r="A27" s="15" t="n">
        <x:v>11</x:v>
      </x:c>
      <x:c r="B27" s="15" t="str">
        <x:v>school_vacation_code</x:v>
      </x:c>
      <x:c r="C27" s="15" t="str">
        <x:v>방학 코드</x:v>
      </x:c>
      <x:c r="D27" s="15" t="str">
        <x:v>varchar</x:v>
      </x:c>
      <x:c r="E27" s="15" t="n">
        <x:v>24</x:v>
      </x:c>
      <x:c r="F27" s="15"/>
      <x:c r="G27" s="15"/>
      <x:c r="H27" s="15"/>
      <x:c r="I27" s="15" t="str">
        <x:v>방학 코드: 자유서술이 아닌 승인 코드로 저장한다. 자유서술 대신 승인된 코드 도메인을 사용해 source 간 집계와 필터 조건을 일관되게 유지한다.</x:v>
      </x:c>
      <x:c r="J27" s="15"/>
      <x:c r="K27" s="15" t="str">
        <x:v>보안: INTERNAL</x:v>
      </x:c>
    </x:row>
    <x:row r="28" ht="44" customHeight="1">
      <x:c r="A28" s="15" t="n">
        <x:v>12</x:v>
      </x:c>
      <x:c r="B28" s="15" t="str">
        <x:v>domestic_travel_index</x:v>
      </x:c>
      <x:c r="C28" s="15" t="str">
        <x:v>국내여행 지수</x:v>
      </x:c>
      <x:c r="D28" s="15" t="str">
        <x:v>numeric</x:v>
      </x:c>
      <x:c r="E28" s="15" t="str">
        <x:v>12,6</x:v>
      </x:c>
      <x:c r="F28" s="15"/>
      <x:c r="G28" s="15" t="str">
        <x:v>NOT NULL</x:v>
      </x:c>
      <x:c r="H28" s="15"/>
      <x:c r="I28" s="15" t="str">
        <x:v>해당 영업일에 적용할 국내여행 수요 가중 지수다. demand_index_monthly의 DOMESTIC 월 지수를 날짜 단위로 전개하며 호텔 실적값을 직접 복사하지 않는다.</x:v>
      </x:c>
      <x:c r="J28" s="15" t="str">
        <x:v>산출 기준 | reference.demand_index_monthly 중 demand_type=DOMESTIC</x:v>
      </x:c>
      <x:c r="K28" s="15" t="str">
        <x:v>보안: INTERNAL</x:v>
      </x:c>
    </x:row>
    <x:row r="29" ht="44" customHeight="1">
      <x:c r="A29" s="15" t="n">
        <x:v>13</x:v>
      </x:c>
      <x:c r="B29" s="15" t="str">
        <x:v>inbound_travel_index</x:v>
      </x:c>
      <x:c r="C29" s="15" t="str">
        <x:v>외래관광 지수</x:v>
      </x:c>
      <x:c r="D29" s="15" t="str">
        <x:v>numeric</x:v>
      </x:c>
      <x:c r="E29" s="15" t="str">
        <x:v>12,6</x:v>
      </x:c>
      <x:c r="F29" s="15"/>
      <x:c r="G29" s="15" t="str">
        <x:v>NOT NULL</x:v>
      </x:c>
      <x:c r="H29" s="15"/>
      <x:c r="I29" s="15" t="str">
        <x:v>해당 영업일에 적용할 외래관광 수요 가중 지수다. demand_index_monthly의 INBOUND 월 지수를 날짜 단위로 전개하며 합성 수요의 약한 보정값으로만 사용한다.</x:v>
      </x:c>
      <x:c r="J29" s="15" t="str">
        <x:v>산출 기준 | reference.demand_index_monthly 중 demand_type=INBOUND</x:v>
      </x:c>
      <x:c r="K29" s="15" t="str">
        <x:v>보안: INTERNAL</x:v>
      </x:c>
    </x:row>
    <x:row r="30" ht="44" customHeight="1">
      <x:c r="A30" s="15" t="n">
        <x:v>14</x:v>
      </x:c>
      <x:c r="B30" s="15" t="str">
        <x:v>event_demand_index</x:v>
      </x:c>
      <x:c r="C30" s="15" t="str">
        <x:v>행사 수요 지수</x:v>
      </x:c>
      <x:c r="D30" s="15" t="str">
        <x:v>numeric</x:v>
      </x:c>
      <x:c r="E30" s="15" t="str">
        <x:v>12,6</x:v>
      </x:c>
      <x:c r="F30" s="15"/>
      <x:c r="G30" s="15" t="str">
        <x:v>NOT NULL</x:v>
      </x:c>
      <x:c r="H30" s="15"/>
      <x:c r="I30" s="15" t="str">
        <x:v>해당 영업일의 행사·연휴 등 이벤트 수요 가중 지수다. demand_index_monthly의 EVENT 지수와 달력 이벤트를 결합해 합성 수요 변동에 제한적으로 반영한다.</x:v>
      </x:c>
      <x:c r="J30" s="15" t="str">
        <x:v>산출 기준 | reference.demand_index_monthly 중 demand_type=EVENT</x:v>
      </x:c>
      <x:c r="K30" s="15" t="str">
        <x:v>보안: INTERNAL</x:v>
      </x:c>
    </x:row>
    <x:row r="31" ht="44" customHeight="1">
      <x:c r="A31" s="15" t="n">
        <x:v>15</x:v>
      </x:c>
      <x:c r="B31" s="15" t="str">
        <x:v>weather_scenario_code</x:v>
      </x:c>
      <x:c r="C31" s="15" t="str">
        <x:v>기상 시나리오</x:v>
      </x:c>
      <x:c r="D31" s="15" t="str">
        <x:v>varchar</x:v>
      </x:c>
      <x:c r="E31" s="15" t="n">
        <x:v>32</x:v>
      </x:c>
      <x:c r="F31" s="15"/>
      <x:c r="G31" s="15" t="str">
        <x:v>NOT NULL</x:v>
      </x:c>
      <x:c r="H31" s="15"/>
      <x:c r="I31" s="15" t="str">
        <x:v>실제 관측치가 아닌 합성 기상 시나리오 코드다. 수요 생성 가중치에 사용하되 실제 날씨 또는 예보로 표시하지 않는다.</x:v>
      </x:c>
      <x:c r="J31" s="15"/>
      <x:c r="K31" s="15" t="str">
        <x:v>보안: INTERNAL</x:v>
      </x:c>
    </x:row>
    <x:row r="32" ht="44" customHeight="1">
      <x:c r="A32" s="15" t="n">
        <x:v>16</x:v>
      </x:c>
      <x:c r="B32" s="15" t="str">
        <x:v>data_period_status</x:v>
      </x:c>
      <x:c r="C32" s="15" t="str">
        <x:v>기간 상태</x:v>
      </x:c>
      <x:c r="D32" s="15" t="str">
        <x:v>varchar</x:v>
      </x:c>
      <x:c r="E32" s="15" t="n">
        <x:v>32</x:v>
      </x:c>
      <x:c r="F32" s="15"/>
      <x:c r="G32" s="15" t="str">
        <x:v>NOT NULL</x:v>
      </x:c>
      <x:c r="H32" s="15"/>
      <x:c r="I32" s="1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32" s="15" t="str">
        <x:v>기준 테이블 | hotel_datahub_app.reference.calendar_daily.data_period_status</x:v>
      </x:c>
      <x:c r="K32" s="15" t="str">
        <x:v>보안: POLICY</x:v>
      </x:c>
    </x:row>
    <x:row r="33" ht="44" customHeight="1">
      <x:c r="A33" s="15" t="n">
        <x:v>17</x:v>
      </x:c>
      <x:c r="B33" s="15" t="str">
        <x:v>is_forecast</x:v>
      </x:c>
      <x:c r="C33" s="15" t="str">
        <x:v>전망 여부</x:v>
      </x:c>
      <x:c r="D33" s="15" t="str">
        <x:v>boolean</x:v>
      </x:c>
      <x:c r="E33" s="15"/>
      <x:c r="F33" s="15"/>
      <x:c r="G33" s="15" t="str">
        <x:v>NOT NULL</x:v>
      </x:c>
      <x:c r="H33" s="15"/>
      <x:c r="I33" s="15" t="str">
        <x:v>해당 행을 실제·유사 실적이 아닌 미래 전망 시나리오로 취급할지 나타낸다. 2026-08-16 이후 FORECAST_SCENARIO만 true/1이며 실제 실적 기본 조회에서는 제외한다.</x:v>
      </x:c>
      <x:c r="J33" s="15" t="str">
        <x:v>기준 테이블 | hotel_datahub_app.reference.calendar_daily.is_forecast</x:v>
      </x:c>
      <x:c r="K33" s="15" t="str">
        <x:v>보안: POLICY</x:v>
      </x:c>
    </x:row>
    <x:row r="34" ht="44" customHeight="1">
      <x:c r="A34" s="15" t="n">
        <x:v>18</x:v>
      </x:c>
      <x:c r="B34" s="15" t="str">
        <x:v>created_at</x:v>
      </x:c>
      <x:c r="C34" s="15" t="str">
        <x:v>생성 시각</x:v>
      </x:c>
      <x:c r="D34" s="15" t="str">
        <x:v>timestamptz</x:v>
      </x:c>
      <x:c r="E34" s="15"/>
      <x:c r="F34" s="15"/>
      <x:c r="G34" s="15" t="str">
        <x:v>NOT NULL</x:v>
      </x:c>
      <x:c r="H34" s="15"/>
      <x:c r="I34" s="15" t="str">
        <x:v>생성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34" s="15"/>
      <x:c r="K34" s="15" t="str">
        <x:v>보안: INTERNAL</x:v>
      </x:c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</x:row>
    <x:row r="36">
      <x:c r="A36" s="58" t="str">
        <x:v>no</x:v>
      </x:c>
      <x:c r="B36" s="58" t="str">
        <x:v>Index name</x:v>
      </x:c>
      <x:c r="C36" s="58"/>
      <x:c r="D36" s="58" t="str">
        <x:v>Index type</x:v>
      </x:c>
      <x:c r="E36" s="58"/>
      <x:c r="F36" s="58" t="str">
        <x:v>Unique</x:v>
      </x:c>
      <x:c r="G36" s="58"/>
      <x:c r="H36" s="58" t="str">
        <x:v>구성 컬럼</x:v>
      </x:c>
      <x:c r="I36" s="58"/>
      <x:c r="J36" s="58"/>
      <x:c r="K36" s="58"/>
    </x:row>
    <x:row r="37">
      <x:c r="A37" s="15" t="n">
        <x:v>1</x:v>
      </x:c>
      <x:c r="B37" s="15" t="str">
        <x:v>calendar_daily_pkey</x:v>
      </x:c>
      <x:c r="C37" s="15"/>
      <x:c r="D37" s="15" t="str">
        <x:v>BTREE</x:v>
      </x:c>
      <x:c r="E37" s="15"/>
      <x:c r="F37" s="15" t="str">
        <x:v>Unique</x:v>
      </x:c>
      <x:c r="G37" s="15"/>
      <x:c r="H37" s="15" t="str">
        <x:v>business_date</x:v>
      </x:c>
      <x:c r="I37" s="15"/>
      <x:c r="J37" s="15"/>
      <x:c r="K37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6:C36"/>
    <x:mergeCell ref="D36:E36"/>
    <x:mergeCell ref="F36:G36"/>
    <x:mergeCell ref="H36:K36"/>
    <x:mergeCell ref="B37:C37"/>
    <x:mergeCell ref="D37:E37"/>
    <x:mergeCell ref="F37:G37"/>
    <x:mergeCell ref="H37:K37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reference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demand_index_monthly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월별 외부 수요 지수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국내여행·외래관광·행사 수요의 월별 외부 지수를 저장한다. 원지표를 직접 운영값으로 복사하지 않고 index_value와 influence_weight를 통해 합성 수요에 제한적으로 반영하며 출처와 자료 상태를 추적한다.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demand_index_id</x:v>
      </x:c>
      <x:c r="C17" s="15" t="str">
        <x:v>수요지수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 t="str">
        <x:v>gen_random_uuid()</x:v>
      </x:c>
      <x:c r="I17" s="15" t="str">
        <x:v>월별 외부 수요 지수의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15"/>
      <x:c r="K17" s="15" t="str">
        <x:v>보안: INTERNAL</x:v>
      </x:c>
    </x:row>
    <x:row r="18" ht="44" customHeight="1">
      <x:c r="A18" s="15" t="n">
        <x:v>2</x:v>
      </x:c>
      <x:c r="B18" s="15" t="str">
        <x:v>year</x:v>
      </x:c>
      <x:c r="C18" s="15" t="str">
        <x:v>연도</x:v>
      </x:c>
      <x:c r="D18" s="15" t="str">
        <x:v>smallint</x:v>
      </x:c>
      <x:c r="E18" s="15"/>
      <x:c r="F18" s="15" t="str">
        <x:v>UK</x:v>
      </x:c>
      <x:c r="G18" s="15" t="str">
        <x:v>NOT NULL</x:v>
      </x:c>
      <x:c r="H18" s="15"/>
      <x:c r="I18" s="15" t="str">
        <x:v>연도를 4자리 연도로 저장한다. 관련 날짜·월 컬럼에서 파생되며 서로 다른 값이 되지 않도록 검증한다.</x:v>
      </x:c>
      <x:c r="J18" s="15" t="str">
        <x:v>CHECK | CHECK (year &gt;= 1 AND year &lt;= 9999)</x:v>
      </x:c>
      <x:c r="K18" s="15" t="str">
        <x:v>보안: INTERNAL</x:v>
      </x:c>
    </x:row>
    <x:row r="19" ht="44" customHeight="1">
      <x:c r="A19" s="15" t="n">
        <x:v>3</x:v>
      </x:c>
      <x:c r="B19" s="15" t="str">
        <x:v>month</x:v>
      </x:c>
      <x:c r="C19" s="15" t="str">
        <x:v>월</x:v>
      </x:c>
      <x:c r="D19" s="15" t="str">
        <x:v>smallint</x:v>
      </x:c>
      <x:c r="E19" s="15"/>
      <x:c r="F19" s="15" t="str">
        <x:v>UK</x:v>
      </x:c>
      <x:c r="G19" s="15" t="str">
        <x:v>NOT NULL</x:v>
      </x:c>
      <x:c r="H19" s="15"/>
      <x:c r="I19" s="15" t="str">
        <x:v>월을 1~12 정수로 저장한다. 관련 날짜 또는 year와 결합해 월별 집계 기준으로 사용한다.</x:v>
      </x:c>
      <x:c r="J19" s="15" t="str">
        <x:v>CHECK | CHECK (month &gt;= 1 AND month &lt;= 12)</x:v>
      </x:c>
      <x:c r="K19" s="15" t="str">
        <x:v>보안: INTERNAL</x:v>
      </x:c>
    </x:row>
    <x:row r="20" ht="44" customHeight="1">
      <x:c r="A20" s="15" t="n">
        <x:v>4</x:v>
      </x:c>
      <x:c r="B20" s="15" t="str">
        <x:v>demand_type</x:v>
      </x:c>
      <x:c r="C20" s="15" t="str">
        <x:v>수요 유형</x:v>
      </x:c>
      <x:c r="D20" s="15" t="str">
        <x:v>varchar</x:v>
      </x:c>
      <x:c r="E20" s="15" t="n">
        <x:v>24</x:v>
      </x:c>
      <x:c r="F20" s="15" t="str">
        <x:v>UK</x:v>
      </x:c>
      <x:c r="G20" s="15" t="str">
        <x:v>NOT NULL</x:v>
      </x:c>
      <x:c r="H20" s="15"/>
      <x:c r="I20" s="15" t="str">
        <x:v>수요 유형: 승인된 표준 코드 값이다. 허용값은 DOMESTIC, INBOUND, EVENT이며 값에 따라 월별 외부 수요 지수의 처리 규칙·집계 범위·표시 방식이 달라지므로 자유서술을 허용하지 않는다.</x:v>
      </x:c>
      <x:c r="J20" s="15" t="str">
        <x:v>CHECK | CHECK (demand_type::text = ANY (ARRAY['DOMESTIC'::character varying, 'INBOUND'::character varying, 'EVENT'::character varying]::text[]))</x:v>
      </x:c>
      <x:c r="K20" s="15" t="str">
        <x:v>보안: POLICY</x:v>
      </x:c>
    </x:row>
    <x:row r="21" ht="44" customHeight="1">
      <x:c r="A21" s="15" t="n">
        <x:v>5</x:v>
      </x:c>
      <x:c r="B21" s="15" t="str">
        <x:v>index_value</x:v>
      </x:c>
      <x:c r="C21" s="15" t="str">
        <x:v>정규화 지수</x:v>
      </x:c>
      <x:c r="D21" s="15" t="str">
        <x:v>numeric</x:v>
      </x:c>
      <x:c r="E21" s="15" t="str">
        <x:v>12,6</x:v>
      </x:c>
      <x:c r="F21" s="15"/>
      <x:c r="G21" s="15" t="str">
        <x:v>NOT NULL</x:v>
      </x:c>
      <x:c r="H21" s="15"/>
      <x:c r="I21" s="15" t="str">
        <x:v>수요 유형별 월 값을 장기 평균 약 1이 되도록 정규화한 지수다. 1보다 크면 평균 대비 강한 수요, 작으면 약한 수요를 의미한다.</x:v>
      </x:c>
      <x:c r="J21" s="15" t="str">
        <x:v>CHECK | CHECK (index_value &gt;= 0::numeric)</x:v>
      </x:c>
      <x:c r="K21" s="15" t="str">
        <x:v>보안: INTERNAL</x:v>
      </x:c>
    </x:row>
    <x:row r="22" ht="44" customHeight="1">
      <x:c r="A22" s="15" t="n">
        <x:v>6</x:v>
      </x:c>
      <x:c r="B22" s="15" t="str">
        <x:v>yoy_growth_rate</x:v>
      </x:c>
      <x:c r="C22" s="15" t="str">
        <x:v>전년동월 증감률</x:v>
      </x:c>
      <x:c r="D22" s="15" t="str">
        <x:v>numeric</x:v>
      </x:c>
      <x:c r="E22" s="15" t="str">
        <x:v>12,6</x:v>
      </x:c>
      <x:c r="F22" s="15"/>
      <x:c r="G22" s="15"/>
      <x:c r="H22" s="15"/>
      <x:c r="I22" s="15" t="str">
        <x:v>원 출처의 전년 동월 대비 증감률을 소수 비율로 저장한다. 비교 가능한 전년 값이 없거나 미공표인 경우 NULL을 허용한다.</x:v>
      </x:c>
      <x:c r="J22" s="15"/>
      <x:c r="K22" s="15" t="str">
        <x:v>보안: INTERNAL</x:v>
      </x:c>
    </x:row>
    <x:row r="23" ht="44" customHeight="1">
      <x:c r="A23" s="15" t="n">
        <x:v>7</x:v>
      </x:c>
      <x:c r="B23" s="15" t="str">
        <x:v>influence_weight</x:v>
      </x:c>
      <x:c r="C23" s="15" t="str">
        <x:v>호텔 반영 가중치</x:v>
      </x:c>
      <x:c r="D23" s="15" t="str">
        <x:v>numeric</x:v>
      </x:c>
      <x:c r="E23" s="15" t="str">
        <x:v>12,6</x:v>
      </x:c>
      <x:c r="F23" s="15"/>
      <x:c r="G23" s="15" t="str">
        <x:v>NOT NULL</x:v>
      </x:c>
      <x:c r="H23" s="15"/>
      <x:c r="I23" s="15" t="str">
        <x:v>외부 수요지수가 합성 운영 데이터에 미치는 영향 강도다. 공개 통계를 호텔 실적에 직접 복사하지 않도록 제한된 가중치로 적용한다.</x:v>
      </x:c>
      <x:c r="J23" s="15" t="str">
        <x:v>CHECK | CHECK (influence_weight &gt;= 0::numeric AND influence_weight &lt;= 1::numeric)</x:v>
      </x:c>
      <x:c r="K23" s="15" t="str">
        <x:v>보안: POLICY</x:v>
      </x:c>
    </x:row>
    <x:row r="24" ht="44" customHeight="1">
      <x:c r="A24" s="15" t="n">
        <x:v>8</x:v>
      </x:c>
      <x:c r="B24" s="15" t="str">
        <x:v>population_code</x:v>
      </x:c>
      <x:c r="C24" s="15" t="str">
        <x:v>모집단 코드</x:v>
      </x:c>
      <x:c r="D24" s="15" t="str">
        <x:v>varchar</x:v>
      </x:c>
      <x:c r="E24" s="15" t="n">
        <x:v>64</x:v>
      </x:c>
      <x:c r="F24" s="15"/>
      <x:c r="G24" s="15" t="str">
        <x:v>NOT NULL</x:v>
      </x:c>
      <x:c r="H24" s="15"/>
      <x:c r="I24" s="15" t="str">
        <x:v>모집단 코드: 자유서술이 아닌 승인 코드로 저장한다. 자유서술 대신 승인된 코드 도메인을 사용해 source 간 집계와 필터 조건을 일관되게 유지한다.</x:v>
      </x:c>
      <x:c r="J24" s="15"/>
      <x:c r="K24" s="15" t="str">
        <x:v>보안: POLICY</x:v>
      </x:c>
    </x:row>
    <x:row r="25" ht="44" customHeight="1">
      <x:c r="A25" s="15" t="n">
        <x:v>9</x:v>
      </x:c>
      <x:c r="B25" s="15" t="str">
        <x:v>data_status</x:v>
      </x:c>
      <x:c r="C25" s="15" t="str">
        <x:v>자료 상태</x:v>
      </x:c>
      <x:c r="D25" s="15" t="str">
        <x:v>varchar</x:v>
      </x:c>
      <x:c r="E25" s="15" t="n">
        <x:v>32</x:v>
      </x:c>
      <x:c r="F25" s="15"/>
      <x:c r="G25" s="15" t="str">
        <x:v>NOT NULL</x:v>
      </x:c>
      <x:c r="H25" s="15"/>
      <x:c r="I25" s="15" t="str">
        <x:v>자료 상태의 현재 업무 상태를 나타내는 코드다. 허용값은 FINAL, PRELIMINARY, FORECAST이며 관련 시각·금액·결과 컬럼과 모순되지 않도록 검증한다.</x:v>
      </x:c>
      <x:c r="J25" s="15" t="str">
        <x:v>CHECK | CHECK (data_status::text = ANY (ARRAY['FINAL'::character varying, 'PRELIMINARY'::character varying, 'FORECAST'::character varying]::text[]))</x:v>
      </x:c>
      <x:c r="K25" s="15" t="str">
        <x:v>보안: POLICY</x:v>
      </x:c>
    </x:row>
    <x:row r="26" ht="44" customHeight="1">
      <x:c r="A26" s="15" t="n">
        <x:v>10</x:v>
      </x:c>
      <x:c r="B26" s="15" t="str">
        <x:v>source_name</x:v>
      </x:c>
      <x:c r="C26" s="15" t="str">
        <x:v>출처명</x:v>
      </x:c>
      <x:c r="D26" s="15" t="str">
        <x:v>varchar</x:v>
      </x:c>
      <x:c r="E26" s="15" t="n">
        <x:v>255</x:v>
      </x:c>
      <x:c r="F26" s="15"/>
      <x:c r="G26" s="15" t="str">
        <x:v>NOT NULL</x:v>
      </x:c>
      <x:c r="H26" s="15"/>
      <x:c r="I26" s="15" t="str">
        <x:v>출처명으로 화면·보고서에 표시하는 사람이 읽을 수 있는 명칭이다. 식별·조인에는 별도 ID 또는 안정 키를 사용하며 민감정보를 포함하지 않는다.</x:v>
      </x:c>
      <x:c r="J26" s="15"/>
      <x:c r="K26" s="15" t="str">
        <x:v>보안: INTERNAL</x:v>
      </x:c>
    </x:row>
    <x:row r="27" ht="44" customHeight="1">
      <x:c r="A27" s="15" t="n">
        <x:v>11</x:v>
      </x:c>
      <x:c r="B27" s="15" t="str">
        <x:v>source_url</x:v>
      </x:c>
      <x:c r="C27" s="15" t="str">
        <x:v>출처 URL</x:v>
      </x:c>
      <x:c r="D27" s="15" t="str">
        <x:v>text</x:v>
      </x:c>
      <x:c r="E27" s="15"/>
      <x:c r="F27" s="15"/>
      <x:c r="G27" s="15" t="str">
        <x:v>NOT NULL</x:v>
      </x:c>
      <x:c r="H27" s="15"/>
      <x:c r="I27" s="15" t="str">
        <x:v>월별 국내여행·외래관광·행사 지수의 공식 원문 URL이다. 지수 산출 근거를 재확인할 수 있는 공개 주소를 저장하며 임의 블로그·재가공 자료는 기준으로 사용하지 않는다.</x:v>
      </x:c>
      <x:c r="J27" s="15" t="str">
        <x:v>외부 출처 | 공식 관광·수요 통계 원문 URL</x:v>
      </x:c>
      <x:c r="K27" s="15" t="str">
        <x:v>보안: INTERNAL</x:v>
      </x:c>
    </x:row>
    <x:row r="28" ht="44" customHeight="1">
      <x:c r="A28" s="15" t="n">
        <x:v>12</x:v>
      </x:c>
      <x:c r="B28" s="15" t="str">
        <x:v>published_at</x:v>
      </x:c>
      <x:c r="C28" s="15" t="str">
        <x:v>공표일</x:v>
      </x:c>
      <x:c r="D28" s="15" t="str">
        <x:v>date</x:v>
      </x:c>
      <x:c r="E28" s="15"/>
      <x:c r="F28" s="15"/>
      <x:c r="G28" s="15"/>
      <x:c r="H28" s="15"/>
      <x:c r="I28" s="15" t="str">
        <x:v>공표일을 나타내는 업무 시각이다. 관련 상태 전이와 다른 시각 컬럼의 선후관계가 일치해야 하며 point-in-time 분석을 위해 timezone 기준을 일관되게 적용한다. 시각 없이 영업일자만 저장한다.</x:v>
      </x:c>
      <x:c r="J28" s="15"/>
      <x:c r="K28" s="15" t="str">
        <x:v>보안: INTERNAL</x:v>
      </x:c>
    </x:row>
    <x:row r="29" ht="44" customHeight="1">
      <x:c r="A29" s="15" t="n">
        <x:v>13</x:v>
      </x:c>
      <x:c r="B29" s="15" t="str">
        <x:v>extracted_at</x:v>
      </x:c>
      <x:c r="C29" s="15" t="str">
        <x:v>확인 시각</x:v>
      </x:c>
      <x:c r="D29" s="15" t="str">
        <x:v>timestamptz</x:v>
      </x:c>
      <x:c r="E29" s="15"/>
      <x:c r="F29" s="15"/>
      <x:c r="G29" s="15" t="str">
        <x:v>NOT NULL</x:v>
      </x:c>
      <x:c r="H29" s="15"/>
      <x:c r="I29" s="15" t="str">
        <x:v>확인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9" s="15"/>
      <x:c r="K29" s="15" t="str">
        <x:v>보안: INTERNAL</x:v>
      </x:c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>
      <x:c r="A31" s="58" t="str">
        <x:v>no</x:v>
      </x:c>
      <x:c r="B31" s="58" t="str">
        <x:v>Index name</x:v>
      </x:c>
      <x:c r="C31" s="58"/>
      <x:c r="D31" s="58" t="str">
        <x:v>Index type</x:v>
      </x:c>
      <x:c r="E31" s="58"/>
      <x:c r="F31" s="58" t="str">
        <x:v>Unique</x:v>
      </x:c>
      <x:c r="G31" s="58"/>
      <x:c r="H31" s="58" t="str">
        <x:v>구성 컬럼</x:v>
      </x:c>
      <x:c r="I31" s="58"/>
      <x:c r="J31" s="58"/>
      <x:c r="K31" s="58"/>
    </x:row>
    <x:row r="32">
      <x:c r="A32" s="15" t="n">
        <x:v>1</x:v>
      </x:c>
      <x:c r="B32" s="15" t="str">
        <x:v>demand_index_monthly_pkey</x:v>
      </x:c>
      <x:c r="C32" s="15"/>
      <x:c r="D32" s="15" t="str">
        <x:v>BTREE</x:v>
      </x:c>
      <x:c r="E32" s="15"/>
      <x:c r="F32" s="15" t="str">
        <x:v>Unique</x:v>
      </x:c>
      <x:c r="G32" s="15"/>
      <x:c r="H32" s="15" t="str">
        <x:v>demand_index_id</x:v>
      </x:c>
      <x:c r="I32" s="15"/>
      <x:c r="J32" s="15"/>
      <x:c r="K32" s="15"/>
    </x:row>
    <x:row r="33">
      <x:c r="A33" s="15" t="n">
        <x:v>2</x:v>
      </x:c>
      <x:c r="B33" s="15" t="str">
        <x:v>demand_index_monthly_year_month_demand_type_key</x:v>
      </x:c>
      <x:c r="C33" s="15"/>
      <x:c r="D33" s="15" t="str">
        <x:v>BTREE</x:v>
      </x:c>
      <x:c r="E33" s="15"/>
      <x:c r="F33" s="15" t="str">
        <x:v>Unique</x:v>
      </x:c>
      <x:c r="G33" s="15"/>
      <x:c r="H33" s="15" t="str">
        <x:v>year, month, demand_type</x:v>
      </x:c>
      <x:c r="I33" s="15"/>
      <x:c r="J33" s="15"/>
      <x:c r="K33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1:C31"/>
    <x:mergeCell ref="D31:E31"/>
    <x:mergeCell ref="F31:G31"/>
    <x:mergeCell ref="H31:K31"/>
    <x:mergeCell ref="B32:C32"/>
    <x:mergeCell ref="D32:E32"/>
    <x:mergeCell ref="F32:G32"/>
    <x:mergeCell ref="H32:K32"/>
    <x:mergeCell ref="B33:C33"/>
    <x:mergeCell ref="D33:E33"/>
    <x:mergeCell ref="F33:G33"/>
    <x:mergeCell ref="H33:K33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reference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market_benchmark_annual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연도별 시장 운영 기준점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공식 통계·공시에서 확인한 연도별 호텔 산업 운영 기준점을 저장한다. 모집단별 OCC·ADR·RevPAR, 공표 상태·출처·공표일·확인 시각과 사용 제한을 기록하며 합성 운영값 보정의 참고값으로만 사용한다.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benchmark_id</x:v>
      </x:c>
      <x:c r="C17" s="15" t="str">
        <x:v>기준점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 t="str">
        <x:v>gen_random_uuid()</x:v>
      </x:c>
      <x:c r="I17" s="15" t="str">
        <x:v>연도별 시장 운영 기준점의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15"/>
      <x:c r="K17" s="15" t="str">
        <x:v>보안: INTERNAL</x:v>
      </x:c>
    </x:row>
    <x:row r="18" ht="44" customHeight="1">
      <x:c r="A18" s="15" t="n">
        <x:v>2</x:v>
      </x:c>
      <x:c r="B18" s="15" t="str">
        <x:v>benchmark_year</x:v>
      </x:c>
      <x:c r="C18" s="15" t="str">
        <x:v>기준연도</x:v>
      </x:c>
      <x:c r="D18" s="15" t="str">
        <x:v>smallint</x:v>
      </x:c>
      <x:c r="E18" s="15"/>
      <x:c r="F18" s="15" t="str">
        <x:v>UK</x:v>
      </x:c>
      <x:c r="G18" s="15" t="str">
        <x:v>NOT NULL</x:v>
      </x:c>
      <x:c r="H18" s="15"/>
      <x:c r="I18" s="15" t="str">
        <x:v>시장 운영 기준점이 적용되는 기준연도다. 2022~2026 범위에서 population_code와 조합해 한 기준점을 식별하며 출처의 공표연도와 일치해야 한다.</x:v>
      </x:c>
      <x:c r="J18" s="15" t="str">
        <x:v>CHECK | CHECK (benchmark_year &gt;= 1 AND benchmark_year &lt;= 9999)</x:v>
      </x:c>
      <x:c r="K18" s="15" t="str">
        <x:v>보안: INTERNAL</x:v>
      </x:c>
    </x:row>
    <x:row r="19" ht="44" customHeight="1">
      <x:c r="A19" s="15" t="n">
        <x:v>3</x:v>
      </x:c>
      <x:c r="B19" s="15" t="str">
        <x:v>population_code</x:v>
      </x:c>
      <x:c r="C19" s="15" t="str">
        <x:v>모집단 코드</x:v>
      </x:c>
      <x:c r="D19" s="15" t="str">
        <x:v>varchar</x:v>
      </x:c>
      <x:c r="E19" s="15" t="n">
        <x:v>64</x:v>
      </x:c>
      <x:c r="F19" s="15" t="str">
        <x:v>UK</x:v>
      </x:c>
      <x:c r="G19" s="15" t="str">
        <x:v>NOT NULL</x:v>
      </x:c>
      <x:c r="H19" s="15"/>
      <x:c r="I19" s="15" t="str">
        <x:v>모집단 코드: 자유서술이 아닌 승인 코드로 저장한다. 자유서술 대신 승인된 코드 도메인을 사용해 source 간 집계와 필터 조건을 일관되게 유지한다.</x:v>
      </x:c>
      <x:c r="J19" s="15"/>
      <x:c r="K19" s="15" t="str">
        <x:v>보안: POLICY</x:v>
      </x:c>
    </x:row>
    <x:row r="20" ht="44" customHeight="1">
      <x:c r="A20" s="15" t="n">
        <x:v>4</x:v>
      </x:c>
      <x:c r="B20" s="15" t="str">
        <x:v>occupancy_rate</x:v>
      </x:c>
      <x:c r="C20" s="15" t="str">
        <x:v>OCC 기준점</x:v>
      </x:c>
      <x:c r="D20" s="15" t="str">
        <x:v>numeric</x:v>
      </x:c>
      <x:c r="E20" s="15" t="str">
        <x:v>9,6</x:v>
      </x:c>
      <x:c r="F20" s="15"/>
      <x:c r="G20" s="15"/>
      <x:c r="H20" s="15"/>
      <x:c r="I20" s="15" t="str">
        <x:v>해당 모집단·연도의 객실 점유율 기준점이다. 0~1 비율로 저장하며 공개 기준값이 없는 2025·2026은 NULL로 두고 임의 추정값으로 채우지 않는다.</x:v>
      </x:c>
      <x:c r="J20" s="15" t="str">
        <x:v>CHECK | CHECK (occupancy_rate &gt;= 0::numeric AND occupancy_rate &lt;= 1::numeric)</x:v>
      </x:c>
      <x:c r="K20" s="15" t="str">
        <x:v>보안: INTERNAL</x:v>
      </x:c>
    </x:row>
    <x:row r="21" ht="44" customHeight="1">
      <x:c r="A21" s="15" t="n">
        <x:v>5</x:v>
      </x:c>
      <x:c r="B21" s="15" t="str">
        <x:v>adr_krw</x:v>
      </x:c>
      <x:c r="C21" s="15" t="str">
        <x:v>ADR 기준점</x:v>
      </x:c>
      <x:c r="D21" s="15" t="str">
        <x:v>numeric</x:v>
      </x:c>
      <x:c r="E21" s="15" t="str">
        <x:v>14,2</x:v>
      </x:c>
      <x:c r="F21" s="15"/>
      <x:c r="G21" s="15"/>
      <x:c r="H21" s="15"/>
      <x:c r="I21" s="15" t="str">
        <x:v>해당 모집단·연도의 평균객실단가 ADR 기준점이다. 원화 금액으로 저장하며 출처에서 공표하지 않은 연도는 NULL을 허용한다.</x:v>
      </x:c>
      <x:c r="J21" s="15" t="str">
        <x:v>CHECK | CHECK (adr_krw &gt;= 0::numeric)</x:v>
      </x:c>
      <x:c r="K21" s="15" t="str">
        <x:v>보안: INTERNAL</x:v>
      </x:c>
    </x:row>
    <x:row r="22" ht="44" customHeight="1">
      <x:c r="A22" s="15" t="n">
        <x:v>6</x:v>
      </x:c>
      <x:c r="B22" s="15" t="str">
        <x:v>revpar_krw</x:v>
      </x:c>
      <x:c r="C22" s="15" t="str">
        <x:v>RevPAR 기준점</x:v>
      </x:c>
      <x:c r="D22" s="15" t="str">
        <x:v>numeric</x:v>
      </x:c>
      <x:c r="E22" s="15" t="str">
        <x:v>14,2</x:v>
      </x:c>
      <x:c r="F22" s="15"/>
      <x:c r="G22" s="15"/>
      <x:c r="H22" s="15"/>
      <x:c r="I22" s="15" t="str">
        <x:v>해당 모집단·연도의 판매가능객실당매출 RevPAR 기준점이다. 원화 금액으로 저장하고 OCC·ADR과 모집단·연도가 동일해야 한다.</x:v>
      </x:c>
      <x:c r="J22" s="15" t="str">
        <x:v>CHECK | CHECK (revpar_krw &gt;= 0::numeric)</x:v>
      </x:c>
      <x:c r="K22" s="15" t="str">
        <x:v>보안: INTERNAL</x:v>
      </x:c>
    </x:row>
    <x:row r="23" ht="44" customHeight="1">
      <x:c r="A23" s="15" t="n">
        <x:v>7</x:v>
      </x:c>
      <x:c r="B23" s="15" t="str">
        <x:v>reference_status</x:v>
      </x:c>
      <x:c r="C23" s="15" t="str">
        <x:v>기준 상태</x:v>
      </x:c>
      <x:c r="D23" s="15" t="str">
        <x:v>varchar</x:v>
      </x:c>
      <x:c r="E23" s="15" t="n">
        <x:v>32</x:v>
      </x:c>
      <x:c r="F23" s="15"/>
      <x:c r="G23" s="15" t="str">
        <x:v>NOT NULL</x:v>
      </x:c>
      <x:c r="H23" s="15"/>
      <x:c r="I23" s="15" t="str">
        <x:v>기준 상태의 현재 업무 상태를 나타내는 코드다. 허용값은 PUBLISHED, NOT_AVAILABLE이며 관련 시각·금액·결과 컬럼과 모순되지 않도록 검증한다.</x:v>
      </x:c>
      <x:c r="J23" s="15" t="str">
        <x:v>CHECK | CHECK (reference_status::text = ANY (ARRAY['PUBLISHED'::character varying, 'NOT_AVAILABLE'::character varying]::text[]))</x:v>
      </x:c>
      <x:c r="K23" s="15" t="str">
        <x:v>보안: POLICY</x:v>
      </x:c>
    </x:row>
    <x:row r="24" ht="44" customHeight="1">
      <x:c r="A24" s="15" t="n">
        <x:v>8</x:v>
      </x:c>
      <x:c r="B24" s="15" t="str">
        <x:v>source_name</x:v>
      </x:c>
      <x:c r="C24" s="15" t="str">
        <x:v>출처명</x:v>
      </x:c>
      <x:c r="D24" s="15" t="str">
        <x:v>varchar</x:v>
      </x:c>
      <x:c r="E24" s="15" t="n">
        <x:v>255</x:v>
      </x:c>
      <x:c r="F24" s="15"/>
      <x:c r="G24" s="15" t="str">
        <x:v>NOT NULL</x:v>
      </x:c>
      <x:c r="H24" s="15"/>
      <x:c r="I24" s="15" t="str">
        <x:v>출처명으로 화면·보고서에 표시하는 사람이 읽을 수 있는 명칭이다. 식별·조인에는 별도 ID 또는 안정 키를 사용하며 민감정보를 포함하지 않는다.</x:v>
      </x:c>
      <x:c r="J24" s="15"/>
      <x:c r="K24" s="15" t="str">
        <x:v>보안: INTERNAL</x:v>
      </x:c>
    </x:row>
    <x:row r="25" ht="44" customHeight="1">
      <x:c r="A25" s="15" t="n">
        <x:v>9</x:v>
      </x:c>
      <x:c r="B25" s="15" t="str">
        <x:v>source_url</x:v>
      </x:c>
      <x:c r="C25" s="15" t="str">
        <x:v>출처 URL</x:v>
      </x:c>
      <x:c r="D25" s="15" t="str">
        <x:v>text</x:v>
      </x:c>
      <x:c r="E25" s="15"/>
      <x:c r="F25" s="15"/>
      <x:c r="G25" s="15" t="str">
        <x:v>NOT NULL</x:v>
      </x:c>
      <x:c r="H25" s="15"/>
      <x:c r="I25" s="15" t="str">
        <x:v>OCC·ADR·RevPAR 기준값을 확인한 공식 통계 또는 공시의 원문 URL이다. 추적 가능한 공개 주소를 저장하고 검색 결과·요약 페이지보다 원 출처를 우선한다.</x:v>
      </x:c>
      <x:c r="J25" s="15" t="str">
        <x:v>외부 출처 | 공식 통계·공시 원문 URL</x:v>
      </x:c>
      <x:c r="K25" s="15" t="str">
        <x:v>보안: INTERNAL</x:v>
      </x:c>
    </x:row>
    <x:row r="26" ht="44" customHeight="1">
      <x:c r="A26" s="15" t="n">
        <x:v>10</x:v>
      </x:c>
      <x:c r="B26" s="15" t="str">
        <x:v>published_at</x:v>
      </x:c>
      <x:c r="C26" s="15" t="str">
        <x:v>공표일</x:v>
      </x:c>
      <x:c r="D26" s="15" t="str">
        <x:v>date</x:v>
      </x:c>
      <x:c r="E26" s="15"/>
      <x:c r="F26" s="15"/>
      <x:c r="G26" s="15"/>
      <x:c r="H26" s="15"/>
      <x:c r="I26" s="15" t="str">
        <x:v>공표일을 나타내는 업무 시각이다. 관련 상태 전이와 다른 시각 컬럼의 선후관계가 일치해야 하며 point-in-time 분석을 위해 timezone 기준을 일관되게 적용한다. 시각 없이 영업일자만 저장한다.</x:v>
      </x:c>
      <x:c r="J26" s="15"/>
      <x:c r="K26" s="15" t="str">
        <x:v>보안: INTERNAL</x:v>
      </x:c>
    </x:row>
    <x:row r="27" ht="44" customHeight="1">
      <x:c r="A27" s="15" t="n">
        <x:v>11</x:v>
      </x:c>
      <x:c r="B27" s="15" t="str">
        <x:v>extracted_at</x:v>
      </x:c>
      <x:c r="C27" s="15" t="str">
        <x:v>확인 시각</x:v>
      </x:c>
      <x:c r="D27" s="15" t="str">
        <x:v>timestamptz</x:v>
      </x:c>
      <x:c r="E27" s="15"/>
      <x:c r="F27" s="15"/>
      <x:c r="G27" s="15" t="str">
        <x:v>NOT NULL</x:v>
      </x:c>
      <x:c r="H27" s="15"/>
      <x:c r="I27" s="15" t="str">
        <x:v>확인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7" s="15"/>
      <x:c r="K27" s="15" t="str">
        <x:v>보안: INTERNAL</x:v>
      </x:c>
    </x:row>
    <x:row r="28" ht="44" customHeight="1">
      <x:c r="A28" s="15" t="n">
        <x:v>12</x:v>
      </x:c>
      <x:c r="B28" s="15" t="str">
        <x:v>notes</x:v>
      </x:c>
      <x:c r="C28" s="15" t="str">
        <x:v>비고</x:v>
      </x:c>
      <x:c r="D28" s="15" t="str">
        <x:v>text</x:v>
      </x:c>
      <x:c r="E28" s="15"/>
      <x:c r="F28" s="15"/>
      <x:c r="G28" s="15"/>
      <x:c r="H28" s="15"/>
      <x:c r="I28" s="15" t="str">
        <x:v>출처의 모집단 범위, 산식 차이, 환율·세금 포함 여부와 Answervice 합성 데이터에 사용할 때의 제한을 기록한다.</x:v>
      </x:c>
      <x:c r="J28" s="15"/>
      <x:c r="K28" s="15" t="str">
        <x:v>보안: INTERNAL</x:v>
      </x:c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>
      <x:c r="A30" s="58" t="str">
        <x:v>no</x:v>
      </x:c>
      <x:c r="B30" s="58" t="str">
        <x:v>Index name</x:v>
      </x:c>
      <x:c r="C30" s="58"/>
      <x:c r="D30" s="58" t="str">
        <x:v>Index type</x:v>
      </x:c>
      <x:c r="E30" s="58"/>
      <x:c r="F30" s="58" t="str">
        <x:v>Unique</x:v>
      </x:c>
      <x:c r="G30" s="58"/>
      <x:c r="H30" s="58" t="str">
        <x:v>구성 컬럼</x:v>
      </x:c>
      <x:c r="I30" s="58"/>
      <x:c r="J30" s="58"/>
      <x:c r="K30" s="58"/>
    </x:row>
    <x:row r="31">
      <x:c r="A31" s="15" t="n">
        <x:v>1</x:v>
      </x:c>
      <x:c r="B31" s="15" t="str">
        <x:v>market_benchmark_annual_benchmark_year_population_code_key</x:v>
      </x:c>
      <x:c r="C31" s="15"/>
      <x:c r="D31" s="15" t="str">
        <x:v>BTREE</x:v>
      </x:c>
      <x:c r="E31" s="15"/>
      <x:c r="F31" s="15" t="str">
        <x:v>Unique</x:v>
      </x:c>
      <x:c r="G31" s="15"/>
      <x:c r="H31" s="15" t="str">
        <x:v>benchmark_year, population_code</x:v>
      </x:c>
      <x:c r="I31" s="15"/>
      <x:c r="J31" s="15"/>
      <x:c r="K31" s="15"/>
    </x:row>
    <x:row r="32">
      <x:c r="A32" s="15" t="n">
        <x:v>2</x:v>
      </x:c>
      <x:c r="B32" s="15" t="str">
        <x:v>market_benchmark_annual_pkey</x:v>
      </x:c>
      <x:c r="C32" s="15"/>
      <x:c r="D32" s="15" t="str">
        <x:v>BTREE</x:v>
      </x:c>
      <x:c r="E32" s="15"/>
      <x:c r="F32" s="15" t="str">
        <x:v>Unique</x:v>
      </x:c>
      <x:c r="G32" s="15"/>
      <x:c r="H32" s="15" t="str">
        <x:v>benchmark_id</x:v>
      </x:c>
      <x:c r="I32" s="15"/>
      <x:c r="J32" s="15"/>
      <x:c r="K32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0:C30"/>
    <x:mergeCell ref="D30:E30"/>
    <x:mergeCell ref="F30:G30"/>
    <x:mergeCell ref="H30:K30"/>
    <x:mergeCell ref="B31:C31"/>
    <x:mergeCell ref="D31:E31"/>
    <x:mergeCell ref="F31:G31"/>
    <x:mergeCell ref="H31:K31"/>
    <x:mergeCell ref="B32:C32"/>
    <x:mergeCell ref="D32:E32"/>
    <x:mergeCell ref="F32:G32"/>
    <x:mergeCell ref="H32:K32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report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block_runs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블록 실행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블록 실행을 보존하는 레거시 호환 테이블이다. 신규 보고서 경로는 report_v1 계약을 사용한다.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block_run_id</x:v>
      </x:c>
      <x:c r="C17" s="15" t="str">
        <x:v>블록 실행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 t="str">
        <x:v>gen_random_uuid()</x:v>
      </x:c>
      <x:c r="I17" s="15" t="str">
        <x:v>report.block_runs의 한 행을 식별하는 블록 실행 ID 기본키다.</x:v>
      </x:c>
      <x:c r="J17" s="15"/>
      <x:c r="K17" s="15" t="str">
        <x:v>보안: INTERNAL</x:v>
      </x:c>
    </x:row>
    <x:row r="18" ht="44" customHeight="1">
      <x:c r="A18" s="15" t="n">
        <x:v>2</x:v>
      </x:c>
      <x:c r="B18" s="15" t="str">
        <x:v>report_run_id</x:v>
      </x:c>
      <x:c r="C18" s="15" t="str">
        <x:v>보고서 실행 ID</x:v>
      </x:c>
      <x:c r="D18" s="15" t="str">
        <x:v>uuid</x:v>
      </x:c>
      <x:c r="E18" s="15"/>
      <x:c r="F18" s="15" t="str">
        <x:v>FK</x:v>
      </x:c>
      <x:c r="G18" s="15" t="str">
        <x:v>NOT NULL</x:v>
      </x:c>
      <x:c r="H18" s="15"/>
      <x:c r="I18" s="15" t="str">
        <x:v>report.report_runs.report_run_id를 참조해 report.block_runs의 보고서 실행 ID 관계를 연결한다.</x:v>
      </x:c>
      <x:c r="J18" s="15" t="str">
        <x:v>물리 FK | report.report_runs.report_run_id</x:v>
      </x:c>
      <x:c r="K18" s="15" t="str">
        <x:v>보안: INTERNAL</x:v>
      </x:c>
    </x:row>
    <x:row r="19" ht="44" customHeight="1">
      <x:c r="A19" s="15" t="n">
        <x:v>3</x:v>
      </x:c>
      <x:c r="B19" s="15" t="str">
        <x:v>report_block_id</x:v>
      </x:c>
      <x:c r="C19" s="15" t="str">
        <x:v>보고서 블록 ID</x:v>
      </x:c>
      <x:c r="D19" s="15" t="str">
        <x:v>uuid</x:v>
      </x:c>
      <x:c r="E19" s="15"/>
      <x:c r="F19" s="15" t="str">
        <x:v>FK</x:v>
      </x:c>
      <x:c r="G19" s="15" t="str">
        <x:v>NOT NULL</x:v>
      </x:c>
      <x:c r="H19" s="15"/>
      <x:c r="I19" s="15" t="str">
        <x:v>report.report_blocks.report_block_id를 참조해 report.block_runs의 보고서 블록 ID 관계를 연결한다.</x:v>
      </x:c>
      <x:c r="J19" s="15" t="str">
        <x:v>물리 FK | report.report_blocks.report_block_id</x:v>
      </x:c>
      <x:c r="K19" s="15" t="str">
        <x:v>보안: INTERNAL</x:v>
      </x:c>
    </x:row>
    <x:row r="20" ht="44" customHeight="1">
      <x:c r="A20" s="15" t="n">
        <x:v>4</x:v>
      </x:c>
      <x:c r="B20" s="15" t="str">
        <x:v>request_id</x:v>
      </x:c>
      <x:c r="C20" s="15" t="str">
        <x:v>요청 ID</x:v>
      </x:c>
      <x:c r="D20" s="15" t="str">
        <x:v>uuid</x:v>
      </x:c>
      <x:c r="E20" s="15"/>
      <x:c r="F20" s="15" t="str">
        <x:v>FK</x:v>
      </x:c>
      <x:c r="G20" s="15"/>
      <x:c r="H20" s="15"/>
      <x:c r="I20" s="15" t="str">
        <x:v>chat.analysis_requests.request_id를 참조해 report.block_runs의 요청 ID 관계를 연결한다.</x:v>
      </x:c>
      <x:c r="J20" s="15" t="str">
        <x:v>물리 FK | chat.analysis_requests.request_id</x:v>
      </x:c>
      <x:c r="K20" s="15" t="str">
        <x:v>보안: INTERNAL</x:v>
      </x:c>
    </x:row>
    <x:row r="21" ht="44" customHeight="1">
      <x:c r="A21" s="15" t="n">
        <x:v>5</x:v>
      </x:c>
      <x:c r="B21" s="15" t="str">
        <x:v>query_execution_id</x:v>
      </x:c>
      <x:c r="C21" s="15" t="str">
        <x:v>쿼리 execution ID</x:v>
      </x:c>
      <x:c r="D21" s="15" t="str">
        <x:v>uuid</x:v>
      </x:c>
      <x:c r="E21" s="15"/>
      <x:c r="F21" s="15" t="str">
        <x:v>FK</x:v>
      </x:c>
      <x:c r="G21" s="15"/>
      <x:c r="H21" s="15"/>
      <x:c r="I21" s="15" t="str">
        <x:v>query.query_executions.query_execution_id를 참조해 report.block_runs의 쿼리 execution ID 관계를 연결한다.</x:v>
      </x:c>
      <x:c r="J21" s="15" t="str">
        <x:v>물리 FK | query.query_executions.query_execution_id</x:v>
      </x:c>
      <x:c r="K21" s="15" t="str">
        <x:v>보안: INTERNAL</x:v>
      </x:c>
    </x:row>
    <x:row r="22" ht="44" customHeight="1">
      <x:c r="A22" s="15" t="n">
        <x:v>6</x:v>
      </x:c>
      <x:c r="B22" s="15" t="str">
        <x:v>artifact_id</x:v>
      </x:c>
      <x:c r="C22" s="15" t="str">
        <x:v>산출물 ID</x:v>
      </x:c>
      <x:c r="D22" s="15" t="str">
        <x:v>uuid</x:v>
      </x:c>
      <x:c r="E22" s="15"/>
      <x:c r="F22" s="15" t="str">
        <x:v>FK</x:v>
      </x:c>
      <x:c r="G22" s="15"/>
      <x:c r="H22" s="15"/>
      <x:c r="I22" s="15" t="str">
        <x:v>artifact.analysis_artifacts.artifact_id를 참조해 report.block_runs의 산출물 ID 관계를 연결한다.</x:v>
      </x:c>
      <x:c r="J22" s="15" t="str">
        <x:v>물리 FK | artifact.analysis_artifacts.artifact_id</x:v>
      </x:c>
      <x:c r="K22" s="15" t="str">
        <x:v>보안: INTERNAL</x:v>
      </x:c>
    </x:row>
    <x:row r="23" ht="44" customHeight="1">
      <x:c r="A23" s="15" t="n">
        <x:v>7</x:v>
      </x:c>
      <x:c r="B23" s="15" t="str">
        <x:v>status</x:v>
      </x:c>
      <x:c r="C23" s="15" t="str">
        <x:v>상태</x:v>
      </x:c>
      <x:c r="D23" s="15" t="str">
        <x:v>varchar</x:v>
      </x:c>
      <x:c r="E23" s="15" t="n">
        <x:v>16</x:v>
      </x:c>
      <x:c r="F23" s="15"/>
      <x:c r="G23" s="15" t="str">
        <x:v>NOT NULL</x:v>
      </x:c>
      <x:c r="H23" s="15"/>
      <x:c r="I23" s="15" t="str">
        <x:v>report.block_runs의 현재 상태를 저장한다. 허용 범위는 연결된 CHECK 제약과 서비스 계약을 따른다.</x:v>
      </x:c>
      <x:c r="J23" s="15" t="str">
        <x:v>CHECK | CHECK (status::text = ANY (ARRAY['PENDING'::character varying, 'RUNNING'::character varying, 'SUCCEEDED'::character varying, 'FAILED'::character varying, 'SKIPPED'::character varying]::text[]))</x:v>
      </x:c>
      <x:c r="K23" s="15" t="str">
        <x:v>보안: INTERNAL</x:v>
      </x:c>
    </x:row>
    <x:row r="24" ht="44" customHeight="1">
      <x:c r="A24" s="15" t="n">
        <x:v>8</x:v>
      </x:c>
      <x:c r="B24" s="15" t="str">
        <x:v>fallback_mode</x:v>
      </x:c>
      <x:c r="C24" s="15" t="str">
        <x:v>fallback 모드</x:v>
      </x:c>
      <x:c r="D24" s="15" t="str">
        <x:v>varchar</x:v>
      </x:c>
      <x:c r="E24" s="15" t="n">
        <x:v>24</x:v>
      </x:c>
      <x:c r="F24" s="15"/>
      <x:c r="G24" s="15" t="str">
        <x:v>NOT NULL</x:v>
      </x:c>
      <x:c r="H24" s="15"/>
      <x:c r="I24" s="15" t="str">
        <x:v>report.block_runs에서 fallback 모드 값을 저장한다.</x:v>
      </x:c>
      <x:c r="J24" s="15" t="str">
        <x:v>CHECK | CHECK (fallback_mode::text = ANY (ARRAY['NONE'::character varying, 'LAST_SUCCESS'::character varying, 'TEMPLATE'::character varying]::text[]))</x:v>
      </x:c>
      <x:c r="K24" s="15" t="str">
        <x:v>보안: INTERNAL</x:v>
      </x:c>
    </x:row>
    <x:row r="25" ht="44" customHeight="1">
      <x:c r="A25" s="15" t="n">
        <x:v>9</x:v>
      </x:c>
      <x:c r="B25" s="15" t="str">
        <x:v>source_cutoff_json</x:v>
      </x:c>
      <x:c r="C25" s="15" t="str">
        <x:v>소스 cutoff json</x:v>
      </x:c>
      <x:c r="D25" s="15" t="str">
        <x:v>jsonb</x:v>
      </x:c>
      <x:c r="E25" s="15"/>
      <x:c r="F25" s="15"/>
      <x:c r="G25" s="15" t="str">
        <x:v>NOT NULL</x:v>
      </x:c>
      <x:c r="H25" s="15"/>
      <x:c r="I25" s="15" t="str">
        <x:v>report.block_runs의 소스 cutoff json 구조를 JSONB로 저장하며 승인된 스키마 계약으로 검증한다.</x:v>
      </x:c>
      <x:c r="J25" s="15"/>
      <x:c r="K25" s="15" t="str">
        <x:v>보안: INTERNAL</x:v>
      </x:c>
    </x:row>
    <x:row r="26" ht="44" customHeight="1">
      <x:c r="A26" s="15" t="n">
        <x:v>10</x:v>
      </x:c>
      <x:c r="B26" s="15" t="str">
        <x:v>result_checksum</x:v>
      </x:c>
      <x:c r="C26" s="15" t="str">
        <x:v>결과 checksum</x:v>
      </x:c>
      <x:c r="D26" s="15" t="str">
        <x:v>varchar</x:v>
      </x:c>
      <x:c r="E26" s="15" t="n">
        <x:v>64</x:v>
      </x:c>
      <x:c r="F26" s="15"/>
      <x:c r="G26" s="15"/>
      <x:c r="H26" s="15"/>
      <x:c r="I26" s="15" t="str">
        <x:v>report.block_runs에서 결과 checksum 값을 저장한다.</x:v>
      </x:c>
      <x:c r="J26" s="15"/>
      <x:c r="K26" s="15" t="str">
        <x:v>보안: INTERNAL</x:v>
      </x:c>
    </x:row>
    <x:row r="27" ht="44" customHeight="1">
      <x:c r="A27" s="15" t="n">
        <x:v>11</x:v>
      </x:c>
      <x:c r="B27" s="15" t="str">
        <x:v>error_code</x:v>
      </x:c>
      <x:c r="C27" s="15" t="str">
        <x:v>오류 코드</x:v>
      </x:c>
      <x:c r="D27" s="15" t="str">
        <x:v>varchar</x:v>
      </x:c>
      <x:c r="E27" s="15" t="n">
        <x:v>64</x:v>
      </x:c>
      <x:c r="F27" s="15"/>
      <x:c r="G27" s="15"/>
      <x:c r="H27" s="15"/>
      <x:c r="I27" s="15" t="str">
        <x:v>report.block_runs에서 오류 코드 값을 저장한다.</x:v>
      </x:c>
      <x:c r="J27" s="15"/>
      <x:c r="K27" s="15" t="str">
        <x:v>보안: INTERNAL</x:v>
      </x:c>
    </x:row>
    <x:row r="28" ht="44" customHeight="1">
      <x:c r="A28" s="15" t="n">
        <x:v>12</x:v>
      </x:c>
      <x:c r="B28" s="15" t="str">
        <x:v>error_message_redacted</x:v>
      </x:c>
      <x:c r="C28" s="15" t="str">
        <x:v>오류 메시지 redacted</x:v>
      </x:c>
      <x:c r="D28" s="15" t="str">
        <x:v>text</x:v>
      </x:c>
      <x:c r="E28" s="15"/>
      <x:c r="F28" s="15"/>
      <x:c r="G28" s="15"/>
      <x:c r="H28" s="15"/>
      <x:c r="I28" s="15" t="str">
        <x:v>report.block_runs에서 오류 메시지 redacted 값을 저장한다.</x:v>
      </x:c>
      <x:c r="J28" s="15"/>
      <x:c r="K28" s="15" t="str">
        <x:v>보안: CONFIDENTIAL</x:v>
      </x:c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>
      <x:c r="A30" s="58" t="str">
        <x:v>no</x:v>
      </x:c>
      <x:c r="B30" s="58" t="str">
        <x:v>Index name</x:v>
      </x:c>
      <x:c r="C30" s="58"/>
      <x:c r="D30" s="58" t="str">
        <x:v>Index type</x:v>
      </x:c>
      <x:c r="E30" s="58"/>
      <x:c r="F30" s="58" t="str">
        <x:v>Unique</x:v>
      </x:c>
      <x:c r="G30" s="58"/>
      <x:c r="H30" s="58" t="str">
        <x:v>구성 컬럼</x:v>
      </x:c>
      <x:c r="I30" s="58"/>
      <x:c r="J30" s="58"/>
      <x:c r="K30" s="58"/>
    </x:row>
    <x:row r="31">
      <x:c r="A31" s="15" t="n">
        <x:v>1</x:v>
      </x:c>
      <x:c r="B31" s="15" t="str">
        <x:v>block_runs_pkey</x:v>
      </x:c>
      <x:c r="C31" s="15"/>
      <x:c r="D31" s="15" t="str">
        <x:v>BTREE</x:v>
      </x:c>
      <x:c r="E31" s="15"/>
      <x:c r="F31" s="15" t="str">
        <x:v>Unique</x:v>
      </x:c>
      <x:c r="G31" s="15"/>
      <x:c r="H31" s="15" t="str">
        <x:v>block_run_id</x:v>
      </x:c>
      <x:c r="I31" s="15"/>
      <x:c r="J31" s="15"/>
      <x:c r="K31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0:C30"/>
    <x:mergeCell ref="D30:E30"/>
    <x:mergeCell ref="F30:G30"/>
    <x:mergeCell ref="H30:K30"/>
    <x:mergeCell ref="B31:C31"/>
    <x:mergeCell ref="D31:E31"/>
    <x:mergeCell ref="F31:G31"/>
    <x:mergeCell ref="H31:K31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report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report_blocks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보고서 블록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보고서 블록을 보존하는 레거시 호환 테이블이다. 신규 보고서 경로는 report_v1 계약을 사용한다.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report_block_id</x:v>
      </x:c>
      <x:c r="C17" s="15" t="str">
        <x:v>보고서 블록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 t="str">
        <x:v>gen_random_uuid()</x:v>
      </x:c>
      <x:c r="I17" s="15" t="str">
        <x:v>report.report_blocks의 한 행을 식별하는 보고서 블록 ID 기본키다.</x:v>
      </x:c>
      <x:c r="J17" s="15"/>
      <x:c r="K17" s="15" t="str">
        <x:v>보안: INTERNAL</x:v>
      </x:c>
    </x:row>
    <x:row r="18" ht="44" customHeight="1">
      <x:c r="A18" s="15" t="n">
        <x:v>2</x:v>
      </x:c>
      <x:c r="B18" s="15" t="str">
        <x:v>report_definition_id</x:v>
      </x:c>
      <x:c r="C18" s="15" t="str">
        <x:v>보고서 정의 ID</x:v>
      </x:c>
      <x:c r="D18" s="15" t="str">
        <x:v>uuid</x:v>
      </x:c>
      <x:c r="E18" s="15"/>
      <x:c r="F18" s="15" t="str">
        <x:v>FK</x:v>
      </x:c>
      <x:c r="G18" s="15" t="str">
        <x:v>NOT NULL</x:v>
      </x:c>
      <x:c r="H18" s="15"/>
      <x:c r="I18" s="15" t="str">
        <x:v>report.report_definitions.report_definition_id를 참조해 report.report_blocks의 보고서 정의 ID 관계를 연결한다.</x:v>
      </x:c>
      <x:c r="J18" s="15" t="str">
        <x:v>물리 FK | report.report_definitions.report_definition_id</x:v>
      </x:c>
      <x:c r="K18" s="15" t="str">
        <x:v>보안: INTERNAL</x:v>
      </x:c>
    </x:row>
    <x:row r="19" ht="44" customHeight="1">
      <x:c r="A19" s="15" t="n">
        <x:v>3</x:v>
      </x:c>
      <x:c r="B19" s="15" t="str">
        <x:v>block_key</x:v>
      </x:c>
      <x:c r="C19" s="15" t="str">
        <x:v>블록 키</x:v>
      </x:c>
      <x:c r="D19" s="15" t="str">
        <x:v>varchar</x:v>
      </x:c>
      <x:c r="E19" s="15" t="n">
        <x:v>128</x:v>
      </x:c>
      <x:c r="F19" s="15" t="str">
        <x:v>UK</x:v>
      </x:c>
      <x:c r="G19" s="15" t="str">
        <x:v>NOT NULL</x:v>
      </x:c>
      <x:c r="H19" s="15"/>
      <x:c r="I19" s="15" t="str">
        <x:v>report.report_blocks에서 블록 키 값을 저장한다.</x:v>
      </x:c>
      <x:c r="J19" s="15"/>
      <x:c r="K19" s="15" t="str">
        <x:v>보안: INTERNAL</x:v>
      </x:c>
    </x:row>
    <x:row r="20" ht="44" customHeight="1">
      <x:c r="A20" s="15" t="n">
        <x:v>4</x:v>
      </x:c>
      <x:c r="B20" s="15" t="str">
        <x:v>block_type</x:v>
      </x:c>
      <x:c r="C20" s="15" t="str">
        <x:v>블록 유형</x:v>
      </x:c>
      <x:c r="D20" s="15" t="str">
        <x:v>varchar</x:v>
      </x:c>
      <x:c r="E20" s="15" t="n">
        <x:v>16</x:v>
      </x:c>
      <x:c r="F20" s="15"/>
      <x:c r="G20" s="15" t="str">
        <x:v>NOT NULL</x:v>
      </x:c>
      <x:c r="H20" s="15"/>
      <x:c r="I20" s="15" t="str">
        <x:v>report.report_blocks에서 블록 유형 값을 저장한다.</x:v>
      </x:c>
      <x:c r="J20" s="15" t="str">
        <x:v>CHECK | CHECK (block_type::text = ANY (ARRAY['TEXT'::character varying, 'KPI'::character varying, 'TABLE'::character varying, 'CHART'::character varying]::text[]))</x:v>
      </x:c>
      <x:c r="K20" s="15" t="str">
        <x:v>보안: INTERNAL</x:v>
      </x:c>
    </x:row>
    <x:row r="21" ht="44" customHeight="1">
      <x:c r="A21" s="15" t="n">
        <x:v>5</x:v>
      </x:c>
      <x:c r="B21" s="15" t="str">
        <x:v>source_mode</x:v>
      </x:c>
      <x:c r="C21" s="15" t="str">
        <x:v>소스 모드</x:v>
      </x:c>
      <x:c r="D21" s="15" t="str">
        <x:v>varchar</x:v>
      </x:c>
      <x:c r="E21" s="15" t="n">
        <x:v>16</x:v>
      </x:c>
      <x:c r="F21" s="15"/>
      <x:c r="G21" s="15" t="str">
        <x:v>NOT NULL</x:v>
      </x:c>
      <x:c r="H21" s="15"/>
      <x:c r="I21" s="15" t="str">
        <x:v>report.report_blocks에서 소스 모드 값을 저장한다.</x:v>
      </x:c>
      <x:c r="J21" s="15" t="str">
        <x:v>CHECK | CHECK (source_mode::text = ANY (ARRAY['ARTIFACT'::character varying, 'QUESTION'::character varying]::text[]))</x:v>
      </x:c>
      <x:c r="K21" s="15" t="str">
        <x:v>보안: INTERNAL</x:v>
      </x:c>
    </x:row>
    <x:row r="22" ht="44" customHeight="1">
      <x:c r="A22" s="15" t="n">
        <x:v>6</x:v>
      </x:c>
      <x:c r="B22" s="15" t="str">
        <x:v>source_artifact_id</x:v>
      </x:c>
      <x:c r="C22" s="15" t="str">
        <x:v>소스 산출물 ID</x:v>
      </x:c>
      <x:c r="D22" s="15" t="str">
        <x:v>uuid</x:v>
      </x:c>
      <x:c r="E22" s="15"/>
      <x:c r="F22" s="15" t="str">
        <x:v>FK</x:v>
      </x:c>
      <x:c r="G22" s="15"/>
      <x:c r="H22" s="15"/>
      <x:c r="I22" s="15" t="str">
        <x:v>artifact.analysis_artifacts.artifact_id를 참조해 report.report_blocks의 소스 산출물 ID 관계를 연결한다.</x:v>
      </x:c>
      <x:c r="J22" s="15" t="str">
        <x:v>물리 FK | artifact.analysis_artifacts.artifact_id</x:v>
      </x:c>
      <x:c r="K22" s="15" t="str">
        <x:v>보안: INTERNAL</x:v>
      </x:c>
    </x:row>
    <x:row r="23" ht="44" customHeight="1">
      <x:c r="A23" s="15" t="n">
        <x:v>7</x:v>
      </x:c>
      <x:c r="B23" s="15" t="str">
        <x:v>question_text_redacted</x:v>
      </x:c>
      <x:c r="C23" s="15" t="str">
        <x:v>question text redacted</x:v>
      </x:c>
      <x:c r="D23" s="15" t="str">
        <x:v>text</x:v>
      </x:c>
      <x:c r="E23" s="15"/>
      <x:c r="F23" s="15"/>
      <x:c r="G23" s="15"/>
      <x:c r="H23" s="15"/>
      <x:c r="I23" s="15" t="str">
        <x:v>report.report_blocks에서 question text redacted 값을 저장한다.</x:v>
      </x:c>
      <x:c r="J23" s="15"/>
      <x:c r="K23" s="15" t="str">
        <x:v>보안: INTERNAL</x:v>
      </x:c>
    </x:row>
    <x:row r="24" ht="44" customHeight="1">
      <x:c r="A24" s="15" t="n">
        <x:v>8</x:v>
      </x:c>
      <x:c r="B24" s="15" t="str">
        <x:v>filter_json</x:v>
      </x:c>
      <x:c r="C24" s="15" t="str">
        <x:v>filter json</x:v>
      </x:c>
      <x:c r="D24" s="15" t="str">
        <x:v>jsonb</x:v>
      </x:c>
      <x:c r="E24" s="15"/>
      <x:c r="F24" s="15"/>
      <x:c r="G24" s="15" t="str">
        <x:v>NOT NULL</x:v>
      </x:c>
      <x:c r="H24" s="15"/>
      <x:c r="I24" s="15" t="str">
        <x:v>report.report_blocks의 filter json 구조를 JSONB로 저장하며 승인된 스키마 계약으로 검증한다.</x:v>
      </x:c>
      <x:c r="J24" s="15"/>
      <x:c r="K24" s="15" t="str">
        <x:v>보안: INTERNAL</x:v>
      </x:c>
    </x:row>
    <x:row r="25" ht="44" customHeight="1">
      <x:c r="A25" s="15" t="n">
        <x:v>9</x:v>
      </x:c>
      <x:c r="B25" s="15" t="str">
        <x:v>grid_x</x:v>
      </x:c>
      <x:c r="C25" s="15" t="str">
        <x:v>grid x</x:v>
      </x:c>
      <x:c r="D25" s="15" t="str">
        <x:v>smallint</x:v>
      </x:c>
      <x:c r="E25" s="15"/>
      <x:c r="F25" s="15"/>
      <x:c r="G25" s="15" t="str">
        <x:v>NOT NULL</x:v>
      </x:c>
      <x:c r="H25" s="15"/>
      <x:c r="I25" s="15" t="str">
        <x:v>report.report_blocks에서 grid x 값을 저장한다.</x:v>
      </x:c>
      <x:c r="J25" s="15" t="str">
        <x:v>CHECK | CHECK (grid_x &gt;= 0 AND grid_x &lt;= 11)</x:v>
      </x:c>
      <x:c r="K25" s="15" t="str">
        <x:v>보안: INTERNAL</x:v>
      </x:c>
    </x:row>
    <x:row r="26" ht="44" customHeight="1">
      <x:c r="A26" s="15" t="n">
        <x:v>10</x:v>
      </x:c>
      <x:c r="B26" s="15" t="str">
        <x:v>grid_y</x:v>
      </x:c>
      <x:c r="C26" s="15" t="str">
        <x:v>grid y</x:v>
      </x:c>
      <x:c r="D26" s="15" t="str">
        <x:v>smallint</x:v>
      </x:c>
      <x:c r="E26" s="15"/>
      <x:c r="F26" s="15"/>
      <x:c r="G26" s="15" t="str">
        <x:v>NOT NULL</x:v>
      </x:c>
      <x:c r="H26" s="15"/>
      <x:c r="I26" s="15" t="str">
        <x:v>report.report_blocks에서 grid y 값을 저장한다.</x:v>
      </x:c>
      <x:c r="J26" s="15" t="str">
        <x:v>CHECK | CHECK (grid_y &gt;= 0)</x:v>
      </x:c>
      <x:c r="K26" s="15" t="str">
        <x:v>보안: INTERNAL</x:v>
      </x:c>
    </x:row>
    <x:row r="27" ht="44" customHeight="1">
      <x:c r="A27" s="15" t="n">
        <x:v>11</x:v>
      </x:c>
      <x:c r="B27" s="15" t="str">
        <x:v>grid_w</x:v>
      </x:c>
      <x:c r="C27" s="15" t="str">
        <x:v>grid w</x:v>
      </x:c>
      <x:c r="D27" s="15" t="str">
        <x:v>smallint</x:v>
      </x:c>
      <x:c r="E27" s="15"/>
      <x:c r="F27" s="15"/>
      <x:c r="G27" s="15" t="str">
        <x:v>NOT NULL</x:v>
      </x:c>
      <x:c r="H27" s="15"/>
      <x:c r="I27" s="15" t="str">
        <x:v>report.report_blocks에서 grid w 값을 저장한다.</x:v>
      </x:c>
      <x:c r="J27" s="15" t="str">
        <x:v>CHECK | CHECK (grid_w &gt;= 1 AND grid_w &lt;= 12)</x:v>
      </x:c>
      <x:c r="K27" s="15" t="str">
        <x:v>보안: INTERNAL</x:v>
      </x:c>
    </x:row>
    <x:row r="28" ht="44" customHeight="1">
      <x:c r="A28" s="15" t="n">
        <x:v>12</x:v>
      </x:c>
      <x:c r="B28" s="15" t="str">
        <x:v>grid_h</x:v>
      </x:c>
      <x:c r="C28" s="15" t="str">
        <x:v>grid h</x:v>
      </x:c>
      <x:c r="D28" s="15" t="str">
        <x:v>smallint</x:v>
      </x:c>
      <x:c r="E28" s="15"/>
      <x:c r="F28" s="15"/>
      <x:c r="G28" s="15" t="str">
        <x:v>NOT NULL</x:v>
      </x:c>
      <x:c r="H28" s="15"/>
      <x:c r="I28" s="15" t="str">
        <x:v>report.report_blocks에서 grid h 값을 저장한다.</x:v>
      </x:c>
      <x:c r="J28" s="15" t="str">
        <x:v>CHECK | CHECK (grid_h &gt;= 1)</x:v>
      </x:c>
      <x:c r="K28" s="15" t="str">
        <x:v>보안: INTERNAL</x:v>
      </x:c>
    </x:row>
    <x:row r="29" ht="44" customHeight="1">
      <x:c r="A29" s="15" t="n">
        <x:v>13</x:v>
      </x:c>
      <x:c r="B29" s="15" t="str">
        <x:v>display_config_json</x:v>
      </x:c>
      <x:c r="C29" s="15" t="str">
        <x:v>display config json</x:v>
      </x:c>
      <x:c r="D29" s="15" t="str">
        <x:v>jsonb</x:v>
      </x:c>
      <x:c r="E29" s="15"/>
      <x:c r="F29" s="15"/>
      <x:c r="G29" s="15" t="str">
        <x:v>NOT NULL</x:v>
      </x:c>
      <x:c r="H29" s="15"/>
      <x:c r="I29" s="15" t="str">
        <x:v>report.report_blocks의 display config json 구조를 JSONB로 저장하며 승인된 스키마 계약으로 검증한다.</x:v>
      </x:c>
      <x:c r="J29" s="15"/>
      <x:c r="K29" s="15" t="str">
        <x:v>보안: INTERNAL</x:v>
      </x:c>
    </x:row>
    <x:row r="30" ht="44" customHeight="1">
      <x:c r="A30" s="15" t="n">
        <x:v>14</x:v>
      </x:c>
      <x:c r="B30" s="15" t="str">
        <x:v>approval_status</x:v>
      </x:c>
      <x:c r="C30" s="15" t="str">
        <x:v>approval 상태</x:v>
      </x:c>
      <x:c r="D30" s="15" t="str">
        <x:v>varchar</x:v>
      </x:c>
      <x:c r="E30" s="15" t="n">
        <x:v>16</x:v>
      </x:c>
      <x:c r="F30" s="15"/>
      <x:c r="G30" s="15" t="str">
        <x:v>NOT NULL</x:v>
      </x:c>
      <x:c r="H30" s="15"/>
      <x:c r="I30" s="15" t="str">
        <x:v>report.report_blocks의 현재 approval 상태를 저장한다. 허용 범위는 연결된 CHECK 제약과 서비스 계약을 따른다.</x:v>
      </x:c>
      <x:c r="J30" s="15" t="str">
        <x:v>CHECK | CHECK (approval_status::text = ANY (ARRAY['DRAFT'::character varying, 'APPROVED'::character varying, 'REJECTED'::character varying]::text[]))</x:v>
      </x:c>
      <x:c r="K30" s="15" t="str">
        <x:v>보안: INTERNAL</x:v>
      </x:c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>
      <x:c r="A32" s="58" t="str">
        <x:v>no</x:v>
      </x:c>
      <x:c r="B32" s="58" t="str">
        <x:v>Index name</x:v>
      </x:c>
      <x:c r="C32" s="58"/>
      <x:c r="D32" s="58" t="str">
        <x:v>Index type</x:v>
      </x:c>
      <x:c r="E32" s="58"/>
      <x:c r="F32" s="58" t="str">
        <x:v>Unique</x:v>
      </x:c>
      <x:c r="G32" s="58"/>
      <x:c r="H32" s="58" t="str">
        <x:v>구성 컬럼</x:v>
      </x:c>
      <x:c r="I32" s="58"/>
      <x:c r="J32" s="58"/>
      <x:c r="K32" s="58"/>
    </x:row>
    <x:row r="33">
      <x:c r="A33" s="15" t="n">
        <x:v>1</x:v>
      </x:c>
      <x:c r="B33" s="15" t="str">
        <x:v>report_blocks_pkey</x:v>
      </x:c>
      <x:c r="C33" s="15"/>
      <x:c r="D33" s="15" t="str">
        <x:v>BTREE</x:v>
      </x:c>
      <x:c r="E33" s="15"/>
      <x:c r="F33" s="15" t="str">
        <x:v>Unique</x:v>
      </x:c>
      <x:c r="G33" s="15"/>
      <x:c r="H33" s="15" t="str">
        <x:v>report_block_id</x:v>
      </x:c>
      <x:c r="I33" s="15"/>
      <x:c r="J33" s="15"/>
      <x:c r="K33" s="15"/>
    </x:row>
    <x:row r="34">
      <x:c r="A34" s="15" t="n">
        <x:v>2</x:v>
      </x:c>
      <x:c r="B34" s="15" t="str">
        <x:v>report_blocks_report_definition_id_block_key_key</x:v>
      </x:c>
      <x:c r="C34" s="15"/>
      <x:c r="D34" s="15" t="str">
        <x:v>BTREE</x:v>
      </x:c>
      <x:c r="E34" s="15"/>
      <x:c r="F34" s="15" t="str">
        <x:v>Unique</x:v>
      </x:c>
      <x:c r="G34" s="15"/>
      <x:c r="H34" s="15" t="str">
        <x:v>report_definition_id, block_key</x:v>
      </x:c>
      <x:c r="I34" s="15"/>
      <x:c r="J34" s="15"/>
      <x:c r="K34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2:C32"/>
    <x:mergeCell ref="D32:E32"/>
    <x:mergeCell ref="F32:G32"/>
    <x:mergeCell ref="H32:K32"/>
    <x:mergeCell ref="B33:C33"/>
    <x:mergeCell ref="D33:E33"/>
    <x:mergeCell ref="F33:G33"/>
    <x:mergeCell ref="H33:K33"/>
    <x:mergeCell ref="B34:C34"/>
    <x:mergeCell ref="D34:E34"/>
    <x:mergeCell ref="F34:G34"/>
    <x:mergeCell ref="H34:K34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report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report_definitions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보고서 정의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보고서 정의을 보존하는 레거시 호환 테이블이다. 신규 보고서 경로는 report_v1 계약을 사용한다.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report_definition_id</x:v>
      </x:c>
      <x:c r="C17" s="15" t="str">
        <x:v>보고서 정의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 t="str">
        <x:v>gen_random_uuid()</x:v>
      </x:c>
      <x:c r="I17" s="15" t="str">
        <x:v>report.report_definitions의 한 행을 식별하는 보고서 정의 ID 기본키다.</x:v>
      </x:c>
      <x:c r="J17" s="15"/>
      <x:c r="K17" s="15" t="str">
        <x:v>보안: INTERNAL</x:v>
      </x:c>
    </x:row>
    <x:row r="18" ht="44" customHeight="1">
      <x:c r="A18" s="15" t="n">
        <x:v>2</x:v>
      </x:c>
      <x:c r="B18" s="15" t="str">
        <x:v>report_key</x:v>
      </x:c>
      <x:c r="C18" s="15" t="str">
        <x:v>보고서 키</x:v>
      </x:c>
      <x:c r="D18" s="15" t="str">
        <x:v>varchar</x:v>
      </x:c>
      <x:c r="E18" s="15" t="n">
        <x:v>128</x:v>
      </x:c>
      <x:c r="F18" s="15" t="str">
        <x:v>UK</x:v>
      </x:c>
      <x:c r="G18" s="15" t="str">
        <x:v>NOT NULL</x:v>
      </x:c>
      <x:c r="H18" s="15"/>
      <x:c r="I18" s="15" t="str">
        <x:v>report.report_definitions에서 보고서 키 값을 저장한다.</x:v>
      </x:c>
      <x:c r="J18" s="15"/>
      <x:c r="K18" s="15" t="str">
        <x:v>보안: INTERNAL</x:v>
      </x:c>
    </x:row>
    <x:row r="19" ht="44" customHeight="1">
      <x:c r="A19" s="15" t="n">
        <x:v>3</x:v>
      </x:c>
      <x:c r="B19" s="15" t="str">
        <x:v>version_no</x:v>
      </x:c>
      <x:c r="C19" s="15" t="str">
        <x:v>버전 no</x:v>
      </x:c>
      <x:c r="D19" s="15" t="str">
        <x:v>integer</x:v>
      </x:c>
      <x:c r="E19" s="15"/>
      <x:c r="F19" s="15" t="str">
        <x:v>UK</x:v>
      </x:c>
      <x:c r="G19" s="15" t="str">
        <x:v>NOT NULL</x:v>
      </x:c>
      <x:c r="H19" s="15"/>
      <x:c r="I19" s="15" t="str">
        <x:v>report.report_definitions에서 버전 no 값을 저장한다.</x:v>
      </x:c>
      <x:c r="J19" s="15" t="str">
        <x:v>CHECK | CHECK (version_no &gt; 0)</x:v>
      </x:c>
      <x:c r="K19" s="15" t="str">
        <x:v>보안: INTERNAL</x:v>
      </x:c>
    </x:row>
    <x:row r="20" ht="44" customHeight="1">
      <x:c r="A20" s="15" t="n">
        <x:v>4</x:v>
      </x:c>
      <x:c r="B20" s="15" t="str">
        <x:v>title</x:v>
      </x:c>
      <x:c r="C20" s="15" t="str">
        <x:v>title</x:v>
      </x:c>
      <x:c r="D20" s="15" t="str">
        <x:v>varchar</x:v>
      </x:c>
      <x:c r="E20" s="15" t="n">
        <x:v>255</x:v>
      </x:c>
      <x:c r="F20" s="15"/>
      <x:c r="G20" s="15" t="str">
        <x:v>NOT NULL</x:v>
      </x:c>
      <x:c r="H20" s="15"/>
      <x:c r="I20" s="15" t="str">
        <x:v>report.report_definitions에서 title 값을 저장한다.</x:v>
      </x:c>
      <x:c r="J20" s="15"/>
      <x:c r="K20" s="15" t="str">
        <x:v>보안: INTERNAL</x:v>
      </x:c>
    </x:row>
    <x:row r="21" ht="44" customHeight="1">
      <x:c r="A21" s="15" t="n">
        <x:v>5</x:v>
      </x:c>
      <x:c r="B21" s="15" t="str">
        <x:v>period_type</x:v>
      </x:c>
      <x:c r="C21" s="15" t="str">
        <x:v>period 유형</x:v>
      </x:c>
      <x:c r="D21" s="15" t="str">
        <x:v>varchar</x:v>
      </x:c>
      <x:c r="E21" s="15" t="n">
        <x:v>16</x:v>
      </x:c>
      <x:c r="F21" s="15"/>
      <x:c r="G21" s="15" t="str">
        <x:v>NOT NULL</x:v>
      </x:c>
      <x:c r="H21" s="15"/>
      <x:c r="I21" s="15" t="str">
        <x:v>report.report_definitions에서 period 유형 값을 저장한다.</x:v>
      </x:c>
      <x:c r="J21" s="15" t="str">
        <x:v>CHECK | CHECK (period_type::text = ANY (ARRAY['DAILY'::character varying, 'WEEKLY'::character varying, 'MONTHLY'::character varying]::text[]))</x:v>
      </x:c>
      <x:c r="K21" s="15" t="str">
        <x:v>보안: INTERNAL</x:v>
      </x:c>
    </x:row>
    <x:row r="22" ht="44" customHeight="1">
      <x:c r="A22" s="15" t="n">
        <x:v>6</x:v>
      </x:c>
      <x:c r="B22" s="15" t="str">
        <x:v>owner_user_id</x:v>
      </x:c>
      <x:c r="C22" s="15" t="str">
        <x:v>owner 사용자 ID</x:v>
      </x:c>
      <x:c r="D22" s="15" t="str">
        <x:v>uuid</x:v>
      </x:c>
      <x:c r="E22" s="15"/>
      <x:c r="F22" s="15"/>
      <x:c r="G22" s="15" t="str">
        <x:v>NOT NULL</x:v>
      </x:c>
      <x:c r="H22" s="15"/>
      <x:c r="I22" s="15" t="str">
        <x:v>report.report_definitions에서 owner 사용자 ID 값을 저장한다.</x:v>
      </x:c>
      <x:c r="J22" s="15"/>
      <x:c r="K22" s="15" t="str">
        <x:v>보안: INTERNAL</x:v>
      </x:c>
    </x:row>
    <x:row r="23" ht="44" customHeight="1">
      <x:c r="A23" s="15" t="n">
        <x:v>7</x:v>
      </x:c>
      <x:c r="B23" s="15" t="str">
        <x:v>timezone_name</x:v>
      </x:c>
      <x:c r="C23" s="15" t="str">
        <x:v>timezone 이름</x:v>
      </x:c>
      <x:c r="D23" s="15" t="str">
        <x:v>varchar</x:v>
      </x:c>
      <x:c r="E23" s="15" t="n">
        <x:v>64</x:v>
      </x:c>
      <x:c r="F23" s="15"/>
      <x:c r="G23" s="15" t="str">
        <x:v>NOT NULL</x:v>
      </x:c>
      <x:c r="H23" s="15"/>
      <x:c r="I23" s="15" t="str">
        <x:v>report.report_definitions에서 timezone 이름 값을 저장한다.</x:v>
      </x:c>
      <x:c r="J23" s="15"/>
      <x:c r="K23" s="15" t="str">
        <x:v>보안: INTERNAL</x:v>
      </x:c>
    </x:row>
    <x:row r="24" ht="44" customHeight="1">
      <x:c r="A24" s="15" t="n">
        <x:v>8</x:v>
      </x:c>
      <x:c r="B24" s="15" t="str">
        <x:v>layout_columns</x:v>
      </x:c>
      <x:c r="C24" s="15" t="str">
        <x:v>layout columns</x:v>
      </x:c>
      <x:c r="D24" s="15" t="str">
        <x:v>smallint</x:v>
      </x:c>
      <x:c r="E24" s="15"/>
      <x:c r="F24" s="15"/>
      <x:c r="G24" s="15" t="str">
        <x:v>NOT NULL</x:v>
      </x:c>
      <x:c r="H24" s="15"/>
      <x:c r="I24" s="15" t="str">
        <x:v>report.report_definitions에서 layout columns 값을 저장한다.</x:v>
      </x:c>
      <x:c r="J24" s="15" t="str">
        <x:v>CHECK | CHECK (layout_columns = 12)</x:v>
      </x:c>
      <x:c r="K24" s="15" t="str">
        <x:v>보안: INTERNAL</x:v>
      </x:c>
    </x:row>
    <x:row r="25" ht="44" customHeight="1">
      <x:c r="A25" s="15" t="n">
        <x:v>9</x:v>
      </x:c>
      <x:c r="B25" s="15" t="str">
        <x:v>schedule_cron</x:v>
      </x:c>
      <x:c r="C25" s="15" t="str">
        <x:v>일정 cron</x:v>
      </x:c>
      <x:c r="D25" s="15" t="str">
        <x:v>varchar</x:v>
      </x:c>
      <x:c r="E25" s="15" t="n">
        <x:v>64</x:v>
      </x:c>
      <x:c r="F25" s="15"/>
      <x:c r="G25" s="15"/>
      <x:c r="H25" s="15"/>
      <x:c r="I25" s="15" t="str">
        <x:v>report.report_definitions에서 일정 cron 값을 저장한다.</x:v>
      </x:c>
      <x:c r="J25" s="15"/>
      <x:c r="K25" s="15" t="str">
        <x:v>보안: INTERNAL</x:v>
      </x:c>
    </x:row>
    <x:row r="26" ht="44" customHeight="1">
      <x:c r="A26" s="15" t="n">
        <x:v>10</x:v>
      </x:c>
      <x:c r="B26" s="15" t="str">
        <x:v>schedule_enabled</x:v>
      </x:c>
      <x:c r="C26" s="15" t="str">
        <x:v>일정 활성 여부</x:v>
      </x:c>
      <x:c r="D26" s="15" t="str">
        <x:v>boolean</x:v>
      </x:c>
      <x:c r="E26" s="15"/>
      <x:c r="F26" s="15"/>
      <x:c r="G26" s="15" t="str">
        <x:v>NOT NULL</x:v>
      </x:c>
      <x:c r="H26" s="15" t="str">
        <x:v>false</x:v>
      </x:c>
      <x:c r="I26" s="15" t="str">
        <x:v>report.report_definitions에서 일정 활성 여부 값을 저장한다.</x:v>
      </x:c>
      <x:c r="J26" s="15"/>
      <x:c r="K26" s="15" t="str">
        <x:v>보안: INTERNAL</x:v>
      </x:c>
    </x:row>
    <x:row r="27" ht="44" customHeight="1">
      <x:c r="A27" s="15" t="n">
        <x:v>11</x:v>
      </x:c>
      <x:c r="B27" s="15" t="str">
        <x:v>status</x:v>
      </x:c>
      <x:c r="C27" s="15" t="str">
        <x:v>상태</x:v>
      </x:c>
      <x:c r="D27" s="15" t="str">
        <x:v>varchar</x:v>
      </x:c>
      <x:c r="E27" s="15" t="n">
        <x:v>16</x:v>
      </x:c>
      <x:c r="F27" s="15"/>
      <x:c r="G27" s="15" t="str">
        <x:v>NOT NULL</x:v>
      </x:c>
      <x:c r="H27" s="15"/>
      <x:c r="I27" s="15" t="str">
        <x:v>report.report_definitions의 현재 상태를 저장한다. 허용 범위는 연결된 CHECK 제약과 서비스 계약을 따른다.</x:v>
      </x:c>
      <x:c r="J27" s="15" t="str">
        <x:v>CHECK | CHECK (status::text = ANY (ARRAY['DRAFT'::character varying, 'APPROVED'::character varying, 'RETIRED'::character varying]::text[]))</x:v>
      </x:c>
      <x:c r="K27" s="15" t="str">
        <x:v>보안: INTERNAL</x:v>
      </x:c>
    </x:row>
    <x:row r="28" ht="44" customHeight="1">
      <x:c r="A28" s="15" t="n">
        <x:v>12</x:v>
      </x:c>
      <x:c r="B28" s="15" t="str">
        <x:v>approved_by</x:v>
      </x:c>
      <x:c r="C28" s="15" t="str">
        <x:v>approved by</x:v>
      </x:c>
      <x:c r="D28" s="15" t="str">
        <x:v>uuid</x:v>
      </x:c>
      <x:c r="E28" s="15"/>
      <x:c r="F28" s="15"/>
      <x:c r="G28" s="15"/>
      <x:c r="H28" s="15"/>
      <x:c r="I28" s="15" t="str">
        <x:v>report.report_definitions에서 approved by 값을 저장한다.</x:v>
      </x:c>
      <x:c r="J28" s="15"/>
      <x:c r="K28" s="15" t="str">
        <x:v>보안: INTERNAL</x:v>
      </x:c>
    </x:row>
    <x:row r="29" ht="44" customHeight="1">
      <x:c r="A29" s="15" t="n">
        <x:v>13</x:v>
      </x:c>
      <x:c r="B29" s="15" t="str">
        <x:v>approved_at</x:v>
      </x:c>
      <x:c r="C29" s="15" t="str">
        <x:v>approved 시각</x:v>
      </x:c>
      <x:c r="D29" s="15" t="str">
        <x:v>timestamptz</x:v>
      </x:c>
      <x:c r="E29" s="15"/>
      <x:c r="F29" s="15"/>
      <x:c r="G29" s="15"/>
      <x:c r="H29" s="15"/>
      <x:c r="I29" s="15" t="str">
        <x:v>report.report_definitions의 approved 시각을 UTC 기준 시각으로 저장한다.</x:v>
      </x:c>
      <x:c r="J29" s="15"/>
      <x:c r="K29" s="15" t="str">
        <x:v>보안: INTERNAL</x:v>
      </x:c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>
      <x:c r="A31" s="58" t="str">
        <x:v>no</x:v>
      </x:c>
      <x:c r="B31" s="58" t="str">
        <x:v>Index name</x:v>
      </x:c>
      <x:c r="C31" s="58"/>
      <x:c r="D31" s="58" t="str">
        <x:v>Index type</x:v>
      </x:c>
      <x:c r="E31" s="58"/>
      <x:c r="F31" s="58" t="str">
        <x:v>Unique</x:v>
      </x:c>
      <x:c r="G31" s="58"/>
      <x:c r="H31" s="58" t="str">
        <x:v>구성 컬럼</x:v>
      </x:c>
      <x:c r="I31" s="58"/>
      <x:c r="J31" s="58"/>
      <x:c r="K31" s="58"/>
    </x:row>
    <x:row r="32">
      <x:c r="A32" s="15" t="n">
        <x:v>1</x:v>
      </x:c>
      <x:c r="B32" s="15" t="str">
        <x:v>report_definitions_pkey</x:v>
      </x:c>
      <x:c r="C32" s="15"/>
      <x:c r="D32" s="15" t="str">
        <x:v>BTREE</x:v>
      </x:c>
      <x:c r="E32" s="15"/>
      <x:c r="F32" s="15" t="str">
        <x:v>Unique</x:v>
      </x:c>
      <x:c r="G32" s="15"/>
      <x:c r="H32" s="15" t="str">
        <x:v>report_definition_id</x:v>
      </x:c>
      <x:c r="I32" s="15"/>
      <x:c r="J32" s="15"/>
      <x:c r="K32" s="15"/>
    </x:row>
    <x:row r="33">
      <x:c r="A33" s="15" t="n">
        <x:v>2</x:v>
      </x:c>
      <x:c r="B33" s="15" t="str">
        <x:v>report_definitions_report_key_version_no_key</x:v>
      </x:c>
      <x:c r="C33" s="15"/>
      <x:c r="D33" s="15" t="str">
        <x:v>BTREE</x:v>
      </x:c>
      <x:c r="E33" s="15"/>
      <x:c r="F33" s="15" t="str">
        <x:v>Unique</x:v>
      </x:c>
      <x:c r="G33" s="15"/>
      <x:c r="H33" s="15" t="str">
        <x:v>report_key, version_no</x:v>
      </x:c>
      <x:c r="I33" s="15"/>
      <x:c r="J33" s="15"/>
      <x:c r="K33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1:C31"/>
    <x:mergeCell ref="D31:E31"/>
    <x:mergeCell ref="F31:G31"/>
    <x:mergeCell ref="H31:K31"/>
    <x:mergeCell ref="B32:C32"/>
    <x:mergeCell ref="D32:E32"/>
    <x:mergeCell ref="F32:G32"/>
    <x:mergeCell ref="H32:K32"/>
    <x:mergeCell ref="B33:C33"/>
    <x:mergeCell ref="D33:E33"/>
    <x:mergeCell ref="F33:G33"/>
    <x:mergeCell ref="H33:K33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report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report_runs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보고서 실행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보고서 실행을 보존하는 레거시 호환 테이블이다. 신규 보고서 경로는 report_v1 계약을 사용한다.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report_run_id</x:v>
      </x:c>
      <x:c r="C17" s="15" t="str">
        <x:v>보고서 실행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 t="str">
        <x:v>gen_random_uuid()</x:v>
      </x:c>
      <x:c r="I17" s="15" t="str">
        <x:v>report.report_runs의 한 행을 식별하는 보고서 실행 ID 기본키다.</x:v>
      </x:c>
      <x:c r="J17" s="15"/>
      <x:c r="K17" s="15" t="str">
        <x:v>보안: INTERNAL</x:v>
      </x:c>
    </x:row>
    <x:row r="18" ht="44" customHeight="1">
      <x:c r="A18" s="15" t="n">
        <x:v>2</x:v>
      </x:c>
      <x:c r="B18" s="15" t="str">
        <x:v>report_definition_id</x:v>
      </x:c>
      <x:c r="C18" s="15" t="str">
        <x:v>보고서 정의 ID</x:v>
      </x:c>
      <x:c r="D18" s="15" t="str">
        <x:v>uuid</x:v>
      </x:c>
      <x:c r="E18" s="15"/>
      <x:c r="F18" s="15" t="str">
        <x:v>FK</x:v>
      </x:c>
      <x:c r="G18" s="15" t="str">
        <x:v>NOT NULL</x:v>
      </x:c>
      <x:c r="H18" s="15"/>
      <x:c r="I18" s="15" t="str">
        <x:v>report.report_definitions.report_definition_id를 참조해 report.report_runs의 보고서 정의 ID 관계를 연결한다.</x:v>
      </x:c>
      <x:c r="J18" s="15" t="str">
        <x:v>물리 FK | report.report_definitions.report_definition_id</x:v>
      </x:c>
      <x:c r="K18" s="15" t="str">
        <x:v>보안: INTERNAL</x:v>
      </x:c>
    </x:row>
    <x:row r="19" ht="44" customHeight="1">
      <x:c r="A19" s="15" t="n">
        <x:v>3</x:v>
      </x:c>
      <x:c r="B19" s="15" t="str">
        <x:v>trigger_type</x:v>
      </x:c>
      <x:c r="C19" s="15" t="str">
        <x:v>trigger 유형</x:v>
      </x:c>
      <x:c r="D19" s="15" t="str">
        <x:v>varchar</x:v>
      </x:c>
      <x:c r="E19" s="15" t="n">
        <x:v>16</x:v>
      </x:c>
      <x:c r="F19" s="15"/>
      <x:c r="G19" s="15" t="str">
        <x:v>NOT NULL</x:v>
      </x:c>
      <x:c r="H19" s="15"/>
      <x:c r="I19" s="15" t="str">
        <x:v>report.report_runs에서 trigger 유형 값을 저장한다.</x:v>
      </x:c>
      <x:c r="J19" s="15" t="str">
        <x:v>CHECK | CHECK (trigger_type::text = ANY (ARRAY['MANUAL'::character varying, 'SCHEDULE'::character varying]::text[]))</x:v>
      </x:c>
      <x:c r="K19" s="15" t="str">
        <x:v>보안: INTERNAL</x:v>
      </x:c>
    </x:row>
    <x:row r="20" ht="44" customHeight="1">
      <x:c r="A20" s="15" t="n">
        <x:v>4</x:v>
      </x:c>
      <x:c r="B20" s="15" t="str">
        <x:v>triggered_by</x:v>
      </x:c>
      <x:c r="C20" s="15" t="str">
        <x:v>triggered by</x:v>
      </x:c>
      <x:c r="D20" s="15" t="str">
        <x:v>uuid</x:v>
      </x:c>
      <x:c r="E20" s="15"/>
      <x:c r="F20" s="15"/>
      <x:c r="G20" s="15"/>
      <x:c r="H20" s="15"/>
      <x:c r="I20" s="15" t="str">
        <x:v>report.report_runs에서 triggered by 값을 저장한다.</x:v>
      </x:c>
      <x:c r="J20" s="15"/>
      <x:c r="K20" s="15" t="str">
        <x:v>보안: INTERNAL</x:v>
      </x:c>
    </x:row>
    <x:row r="21" ht="44" customHeight="1">
      <x:c r="A21" s="15" t="n">
        <x:v>5</x:v>
      </x:c>
      <x:c r="B21" s="15" t="str">
        <x:v>status</x:v>
      </x:c>
      <x:c r="C21" s="15" t="str">
        <x:v>상태</x:v>
      </x:c>
      <x:c r="D21" s="15" t="str">
        <x:v>varchar</x:v>
      </x:c>
      <x:c r="E21" s="15" t="n">
        <x:v>16</x:v>
      </x:c>
      <x:c r="F21" s="15"/>
      <x:c r="G21" s="15" t="str">
        <x:v>NOT NULL</x:v>
      </x:c>
      <x:c r="H21" s="15"/>
      <x:c r="I21" s="15" t="str">
        <x:v>report.report_runs의 현재 상태를 저장한다. 허용 범위는 연결된 CHECK 제약과 서비스 계약을 따른다.</x:v>
      </x:c>
      <x:c r="J21" s="15" t="str">
        <x:v>CHECK | CHECK (status::text = ANY (ARRAY['PENDING'::character varying, 'RUNNING'::character varying, 'SUCCEEDED'::character varying, 'PARTIAL'::character varying, 'FAILED'::character varying, 'CANCELLED'::character varying]::text[]))</x:v>
      </x:c>
      <x:c r="K21" s="15" t="str">
        <x:v>보안: INTERNAL</x:v>
      </x:c>
    </x:row>
    <x:row r="22" ht="44" customHeight="1">
      <x:c r="A22" s="15" t="n">
        <x:v>6</x:v>
      </x:c>
      <x:c r="B22" s="15" t="str">
        <x:v>context_release_id</x:v>
      </x:c>
      <x:c r="C22" s="15" t="str">
        <x:v>Context 릴리스 ID</x:v>
      </x:c>
      <x:c r="D22" s="15" t="str">
        <x:v>uuid</x:v>
      </x:c>
      <x:c r="E22" s="15"/>
      <x:c r="F22" s="15" t="str">
        <x:v>FK</x:v>
      </x:c>
      <x:c r="G22" s="15" t="str">
        <x:v>NOT NULL</x:v>
      </x:c>
      <x:c r="H22" s="15"/>
      <x:c r="I22" s="15" t="str">
        <x:v>context.context_releases.context_release_id를 참조해 report.report_runs의 Context 릴리스 ID 관계를 연결한다.</x:v>
      </x:c>
      <x:c r="J22" s="15" t="str">
        <x:v>물리 FK | context.context_releases.context_release_id</x:v>
      </x:c>
      <x:c r="K22" s="15" t="str">
        <x:v>보안: INTERNAL</x:v>
      </x:c>
    </x:row>
    <x:row r="23" ht="44" customHeight="1">
      <x:c r="A23" s="15" t="n">
        <x:v>7</x:v>
      </x:c>
      <x:c r="B23" s="15" t="str">
        <x:v>sql_policy_version</x:v>
      </x:c>
      <x:c r="C23" s="15" t="str">
        <x:v>sql 정책 버전</x:v>
      </x:c>
      <x:c r="D23" s="15" t="str">
        <x:v>varchar</x:v>
      </x:c>
      <x:c r="E23" s="15" t="n">
        <x:v>64</x:v>
      </x:c>
      <x:c r="F23" s="15"/>
      <x:c r="G23" s="15" t="str">
        <x:v>NOT NULL</x:v>
      </x:c>
      <x:c r="H23" s="15"/>
      <x:c r="I23" s="15" t="str">
        <x:v>report.report_runs에서 sql 정책 버전 값을 저장한다.</x:v>
      </x:c>
      <x:c r="J23" s="15"/>
      <x:c r="K23" s="15" t="str">
        <x:v>보안: INTERNAL</x:v>
      </x:c>
    </x:row>
    <x:row r="24" ht="44" customHeight="1">
      <x:c r="A24" s="15" t="n">
        <x:v>8</x:v>
      </x:c>
      <x:c r="B24" s="15" t="str">
        <x:v>period_start</x:v>
      </x:c>
      <x:c r="C24" s="15" t="str">
        <x:v>period start</x:v>
      </x:c>
      <x:c r="D24" s="15" t="str">
        <x:v>timestamptz</x:v>
      </x:c>
      <x:c r="E24" s="15"/>
      <x:c r="F24" s="15"/>
      <x:c r="G24" s="15" t="str">
        <x:v>NOT NULL</x:v>
      </x:c>
      <x:c r="H24" s="15"/>
      <x:c r="I24" s="15" t="str">
        <x:v>report.report_runs에서 period start 값을 저장한다.</x:v>
      </x:c>
      <x:c r="J24" s="15" t="str">
        <x:v>CHECK | CHECK (period_end &gt; period_start)</x:v>
      </x:c>
      <x:c r="K24" s="15" t="str">
        <x:v>보안: INTERNAL</x:v>
      </x:c>
    </x:row>
    <x:row r="25" ht="44" customHeight="1">
      <x:c r="A25" s="15" t="n">
        <x:v>9</x:v>
      </x:c>
      <x:c r="B25" s="15" t="str">
        <x:v>period_end</x:v>
      </x:c>
      <x:c r="C25" s="15" t="str">
        <x:v>period end</x:v>
      </x:c>
      <x:c r="D25" s="15" t="str">
        <x:v>timestamptz</x:v>
      </x:c>
      <x:c r="E25" s="15"/>
      <x:c r="F25" s="15"/>
      <x:c r="G25" s="15" t="str">
        <x:v>NOT NULL</x:v>
      </x:c>
      <x:c r="H25" s="15"/>
      <x:c r="I25" s="15" t="str">
        <x:v>report.report_runs에서 period end 값을 저장한다.</x:v>
      </x:c>
      <x:c r="J25" s="15" t="str">
        <x:v>CHECK | CHECK (period_end &gt; period_start)</x:v>
      </x:c>
      <x:c r="K25" s="15" t="str">
        <x:v>보안: INTERNAL</x:v>
      </x:c>
    </x:row>
    <x:row r="26" ht="44" customHeight="1">
      <x:c r="A26" s="15" t="n">
        <x:v>10</x:v>
      </x:c>
      <x:c r="B26" s="15" t="str">
        <x:v>source_cutoff_json</x:v>
      </x:c>
      <x:c r="C26" s="15" t="str">
        <x:v>소스 cutoff json</x:v>
      </x:c>
      <x:c r="D26" s="15" t="str">
        <x:v>jsonb</x:v>
      </x:c>
      <x:c r="E26" s="15"/>
      <x:c r="F26" s="15"/>
      <x:c r="G26" s="15" t="str">
        <x:v>NOT NULL</x:v>
      </x:c>
      <x:c r="H26" s="15"/>
      <x:c r="I26" s="15" t="str">
        <x:v>report.report_runs의 소스 cutoff json 구조를 JSONB로 저장하며 승인된 스키마 계약으로 검증한다.</x:v>
      </x:c>
      <x:c r="J26" s="15"/>
      <x:c r="K26" s="15" t="str">
        <x:v>보안: INTERNAL</x:v>
      </x:c>
    </x:row>
    <x:row r="27" ht="44" customHeight="1">
      <x:c r="A27" s="15" t="n">
        <x:v>11</x:v>
      </x:c>
      <x:c r="B27" s="15" t="str">
        <x:v>snapshot_checksum</x:v>
      </x:c>
      <x:c r="C27" s="15" t="str">
        <x:v>snapshot checksum</x:v>
      </x:c>
      <x:c r="D27" s="15" t="str">
        <x:v>varchar</x:v>
      </x:c>
      <x:c r="E27" s="15" t="n">
        <x:v>64</x:v>
      </x:c>
      <x:c r="F27" s="15"/>
      <x:c r="G27" s="15"/>
      <x:c r="H27" s="15"/>
      <x:c r="I27" s="15" t="str">
        <x:v>report.report_runs에서 snapshot checksum 값을 저장한다.</x:v>
      </x:c>
      <x:c r="J27" s="15"/>
      <x:c r="K27" s="15" t="str">
        <x:v>보안: INTERNAL</x:v>
      </x:c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>
      <x:c r="A29" s="58" t="str">
        <x:v>no</x:v>
      </x:c>
      <x:c r="B29" s="58" t="str">
        <x:v>Index name</x:v>
      </x:c>
      <x:c r="C29" s="58"/>
      <x:c r="D29" s="58" t="str">
        <x:v>Index type</x:v>
      </x:c>
      <x:c r="E29" s="58"/>
      <x:c r="F29" s="58" t="str">
        <x:v>Unique</x:v>
      </x:c>
      <x:c r="G29" s="58"/>
      <x:c r="H29" s="58" t="str">
        <x:v>구성 컬럼</x:v>
      </x:c>
      <x:c r="I29" s="58"/>
      <x:c r="J29" s="58"/>
      <x:c r="K29" s="58"/>
    </x:row>
    <x:row r="30">
      <x:c r="A30" s="15" t="n">
        <x:v>1</x:v>
      </x:c>
      <x:c r="B30" s="15" t="str">
        <x:v>idx_report_runs_period</x:v>
      </x:c>
      <x:c r="C30" s="15"/>
      <x:c r="D30" s="15" t="str">
        <x:v>BTREE</x:v>
      </x:c>
      <x:c r="E30" s="15"/>
      <x:c r="F30" s="15" t="str">
        <x:v>Non-Unique</x:v>
      </x:c>
      <x:c r="G30" s="15"/>
      <x:c r="H30" s="15" t="str">
        <x:v>report_definition_id, period_start, status</x:v>
      </x:c>
      <x:c r="I30" s="15"/>
      <x:c r="J30" s="15"/>
      <x:c r="K30" s="15"/>
    </x:row>
    <x:row r="31">
      <x:c r="A31" s="15" t="n">
        <x:v>2</x:v>
      </x:c>
      <x:c r="B31" s="15" t="str">
        <x:v>report_runs_pkey</x:v>
      </x:c>
      <x:c r="C31" s="15"/>
      <x:c r="D31" s="15" t="str">
        <x:v>BTREE</x:v>
      </x:c>
      <x:c r="E31" s="15"/>
      <x:c r="F31" s="15" t="str">
        <x:v>Unique</x:v>
      </x:c>
      <x:c r="G31" s="15"/>
      <x:c r="H31" s="15" t="str">
        <x:v>report_run_id</x:v>
      </x:c>
      <x:c r="I31" s="15"/>
      <x:c r="J31" s="15"/>
      <x:c r="K31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29:C29"/>
    <x:mergeCell ref="D29:E29"/>
    <x:mergeCell ref="F29:G29"/>
    <x:mergeCell ref="H29:K29"/>
    <x:mergeCell ref="B30:C30"/>
    <x:mergeCell ref="D30:E30"/>
    <x:mergeCell ref="F30:G30"/>
    <x:mergeCell ref="H30:K30"/>
    <x:mergeCell ref="B31:C31"/>
    <x:mergeCell ref="D31:E31"/>
    <x:mergeCell ref="F31:G31"/>
    <x:mergeCell ref="H31:K31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report_v1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report_assistant_evaluations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보고서 assistant evaluations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Application PostgreSQL의 보고서 assistant evaluations을 관리한다. 현재 Alembic head 20260828_49에서 재현한 물리 구조다.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evaluation_id</x:v>
      </x:c>
      <x:c r="C17" s="15" t="str">
        <x:v>평가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/>
      <x:c r="I17" s="15" t="str">
        <x:v>report_v1.report_assistant_evaluations의 한 행을 식별하는 평가 ID 기본키다.</x:v>
      </x:c>
      <x:c r="J17" s="15"/>
      <x:c r="K17" s="15" t="str">
        <x:v>보안: INTERNAL</x:v>
      </x:c>
    </x:row>
    <x:row r="18" ht="44" customHeight="1">
      <x:c r="A18" s="15" t="n">
        <x:v>2</x:v>
      </x:c>
      <x:c r="B18" s="15" t="str">
        <x:v>assistant_request_id</x:v>
      </x:c>
      <x:c r="C18" s="15" t="str">
        <x:v>assistant 요청 ID</x:v>
      </x:c>
      <x:c r="D18" s="15" t="str">
        <x:v>uuid</x:v>
      </x:c>
      <x:c r="E18" s="15"/>
      <x:c r="F18" s="15" t="str">
        <x:v>FK</x:v>
      </x:c>
      <x:c r="G18" s="15" t="str">
        <x:v>NOT NULL</x:v>
      </x:c>
      <x:c r="H18" s="15"/>
      <x:c r="I18" s="15" t="str">
        <x:v>report_v1.report_assistant_requests.assistant_request_id를 참조해 report_v1.report_assistant_evaluations의 assistant 요청 ID 관계를 연결한다.</x:v>
      </x:c>
      <x:c r="J18" s="15" t="str">
        <x:v>물리 FK | report_v1.report_assistant_requests.assistant_request_id</x:v>
      </x:c>
      <x:c r="K18" s="15" t="str">
        <x:v>보안: INTERNAL</x:v>
      </x:c>
    </x:row>
    <x:row r="19" ht="44" customHeight="1">
      <x:c r="A19" s="15" t="n">
        <x:v>3</x:v>
      </x:c>
      <x:c r="B19" s="15" t="str">
        <x:v>owner_id</x:v>
      </x:c>
      <x:c r="C19" s="15" t="str">
        <x:v>owner ID</x:v>
      </x:c>
      <x:c r="D19" s="15" t="str">
        <x:v>uuid</x:v>
      </x:c>
      <x:c r="E19" s="15"/>
      <x:c r="F19" s="15"/>
      <x:c r="G19" s="15" t="str">
        <x:v>NOT NULL</x:v>
      </x:c>
      <x:c r="H19" s="15"/>
      <x:c r="I19" s="15" t="str">
        <x:v>report_v1.report_assistant_evaluations에서 owner ID 값을 저장한다.</x:v>
      </x:c>
      <x:c r="J19" s="15"/>
      <x:c r="K19" s="15" t="str">
        <x:v>보안: INTERNAL</x:v>
      </x:c>
    </x:row>
    <x:row r="20" ht="44" customHeight="1">
      <x:c r="A20" s="15" t="n">
        <x:v>4</x:v>
      </x:c>
      <x:c r="B20" s="15" t="str">
        <x:v>data_request_id</x:v>
      </x:c>
      <x:c r="C20" s="15" t="str">
        <x:v>데이터 요청 ID</x:v>
      </x:c>
      <x:c r="D20" s="15" t="str">
        <x:v>uuid</x:v>
      </x:c>
      <x:c r="E20" s="15"/>
      <x:c r="F20" s="15"/>
      <x:c r="G20" s="15"/>
      <x:c r="H20" s="15"/>
      <x:c r="I20" s="15" t="str">
        <x:v>report_v1.report_assistant_evaluations에서 데이터 요청 ID 값을 저장한다.</x:v>
      </x:c>
      <x:c r="J20" s="15"/>
      <x:c r="K20" s="15" t="str">
        <x:v>보안: INTERNAL</x:v>
      </x:c>
    </x:row>
    <x:row r="21" ht="44" customHeight="1">
      <x:c r="A21" s="15" t="n">
        <x:v>5</x:v>
      </x:c>
      <x:c r="B21" s="15" t="str">
        <x:v>patch_request_id</x:v>
      </x:c>
      <x:c r="C21" s="15" t="str">
        <x:v>patch 요청 ID</x:v>
      </x:c>
      <x:c r="D21" s="15" t="str">
        <x:v>uuid</x:v>
      </x:c>
      <x:c r="E21" s="15"/>
      <x:c r="F21" s="15"/>
      <x:c r="G21" s="15"/>
      <x:c r="H21" s="15"/>
      <x:c r="I21" s="15" t="str">
        <x:v>report_v1.report_assistant_evaluations에서 patch 요청 ID 값을 저장한다.</x:v>
      </x:c>
      <x:c r="J21" s="15"/>
      <x:c r="K21" s="15" t="str">
        <x:v>보안: INTERNAL</x:v>
      </x:c>
    </x:row>
    <x:row r="22" ht="44" customHeight="1">
      <x:c r="A22" s="15" t="n">
        <x:v>6</x:v>
      </x:c>
      <x:c r="B22" s="15" t="str">
        <x:v>definition_id</x:v>
      </x:c>
      <x:c r="C22" s="15" t="str">
        <x:v>정의 ID</x:v>
      </x:c>
      <x:c r="D22" s="15" t="str">
        <x:v>uuid</x:v>
      </x:c>
      <x:c r="E22" s="15"/>
      <x:c r="F22" s="15"/>
      <x:c r="G22" s="15"/>
      <x:c r="H22" s="15"/>
      <x:c r="I22" s="15" t="str">
        <x:v>report_v1.report_assistant_evaluations에서 정의 ID 값을 저장한다.</x:v>
      </x:c>
      <x:c r="J22" s="15"/>
      <x:c r="K22" s="15" t="str">
        <x:v>보안: INTERNAL</x:v>
      </x:c>
    </x:row>
    <x:row r="23" ht="44" customHeight="1">
      <x:c r="A23" s="15" t="n">
        <x:v>7</x:v>
      </x:c>
      <x:c r="B23" s="15" t="str">
        <x:v>definition_version</x:v>
      </x:c>
      <x:c r="C23" s="15" t="str">
        <x:v>정의 버전</x:v>
      </x:c>
      <x:c r="D23" s="15" t="str">
        <x:v>integer</x:v>
      </x:c>
      <x:c r="E23" s="15"/>
      <x:c r="F23" s="15"/>
      <x:c r="G23" s="15"/>
      <x:c r="H23" s="15"/>
      <x:c r="I23" s="15" t="str">
        <x:v>report_v1.report_assistant_evaluations에서 정의 버전 값을 저장한다.</x:v>
      </x:c>
      <x:c r="J23" s="15" t="str">
        <x:v>CHECK | CHECK (definition_version IS NULL OR definition_version &gt; 0)</x:v>
      </x:c>
      <x:c r="K23" s="15" t="str">
        <x:v>보안: INTERNAL</x:v>
      </x:c>
    </x:row>
    <x:row r="24" ht="44" customHeight="1">
      <x:c r="A24" s="15" t="n">
        <x:v>8</x:v>
      </x:c>
      <x:c r="B24" s="15" t="str">
        <x:v>artifact_id</x:v>
      </x:c>
      <x:c r="C24" s="15" t="str">
        <x:v>산출물 ID</x:v>
      </x:c>
      <x:c r="D24" s="15" t="str">
        <x:v>uuid</x:v>
      </x:c>
      <x:c r="E24" s="15"/>
      <x:c r="F24" s="15"/>
      <x:c r="G24" s="15"/>
      <x:c r="H24" s="15"/>
      <x:c r="I24" s="15" t="str">
        <x:v>report_v1.report_assistant_evaluations에서 산출물 ID 값을 저장한다.</x:v>
      </x:c>
      <x:c r="J24" s="15"/>
      <x:c r="K24" s="15" t="str">
        <x:v>보안: INTERNAL</x:v>
      </x:c>
    </x:row>
    <x:row r="25" ht="44" customHeight="1">
      <x:c r="A25" s="15" t="n">
        <x:v>9</x:v>
      </x:c>
      <x:c r="B25" s="15" t="str">
        <x:v>prompt_id</x:v>
      </x:c>
      <x:c r="C25" s="15" t="str">
        <x:v>prompt ID</x:v>
      </x:c>
      <x:c r="D25" s="15" t="str">
        <x:v>varchar</x:v>
      </x:c>
      <x:c r="E25" s="15" t="n">
        <x:v>128</x:v>
      </x:c>
      <x:c r="F25" s="15"/>
      <x:c r="G25" s="15"/>
      <x:c r="H25" s="15"/>
      <x:c r="I25" s="15" t="str">
        <x:v>report_v1.report_assistant_evaluations에서 prompt ID 값을 저장한다.</x:v>
      </x:c>
      <x:c r="J25" s="15"/>
      <x:c r="K25" s="15" t="str">
        <x:v>보안: CONFIDENTIAL</x:v>
      </x:c>
    </x:row>
    <x:row r="26" ht="44" customHeight="1">
      <x:c r="A26" s="15" t="n">
        <x:v>10</x:v>
      </x:c>
      <x:c r="B26" s="15" t="str">
        <x:v>prompt_version</x:v>
      </x:c>
      <x:c r="C26" s="15" t="str">
        <x:v>prompt 버전</x:v>
      </x:c>
      <x:c r="D26" s="15" t="str">
        <x:v>varchar</x:v>
      </x:c>
      <x:c r="E26" s="15" t="n">
        <x:v>64</x:v>
      </x:c>
      <x:c r="F26" s="15"/>
      <x:c r="G26" s="15"/>
      <x:c r="H26" s="15"/>
      <x:c r="I26" s="15" t="str">
        <x:v>report_v1.report_assistant_evaluations에서 prompt 버전 값을 저장한다.</x:v>
      </x:c>
      <x:c r="J26" s="15"/>
      <x:c r="K26" s="15" t="str">
        <x:v>보안: CONFIDENTIAL</x:v>
      </x:c>
    </x:row>
    <x:row r="27" ht="44" customHeight="1">
      <x:c r="A27" s="15" t="n">
        <x:v>11</x:v>
      </x:c>
      <x:c r="B27" s="15" t="str">
        <x:v>model_version</x:v>
      </x:c>
      <x:c r="C27" s="15" t="str">
        <x:v>모델 버전</x:v>
      </x:c>
      <x:c r="D27" s="15" t="str">
        <x:v>varchar</x:v>
      </x:c>
      <x:c r="E27" s="15" t="n">
        <x:v>128</x:v>
      </x:c>
      <x:c r="F27" s="15"/>
      <x:c r="G27" s="15"/>
      <x:c r="H27" s="15"/>
      <x:c r="I27" s="15" t="str">
        <x:v>report_v1.report_assistant_evaluations에서 모델 버전 값을 저장한다.</x:v>
      </x:c>
      <x:c r="J27" s="15"/>
      <x:c r="K27" s="15" t="str">
        <x:v>보안: INTERNAL</x:v>
      </x:c>
    </x:row>
    <x:row r="28" ht="44" customHeight="1">
      <x:c r="A28" s="15" t="n">
        <x:v>12</x:v>
      </x:c>
      <x:c r="B28" s="15" t="str">
        <x:v>route</x:v>
      </x:c>
      <x:c r="C28" s="15" t="str">
        <x:v>route</x:v>
      </x:c>
      <x:c r="D28" s="15" t="str">
        <x:v>varchar</x:v>
      </x:c>
      <x:c r="E28" s="15" t="n">
        <x:v>24</x:v>
      </x:c>
      <x:c r="F28" s="15"/>
      <x:c r="G28" s="15"/>
      <x:c r="H28" s="15"/>
      <x:c r="I28" s="15" t="str">
        <x:v>report_v1.report_assistant_evaluations에서 route 값을 저장한다.</x:v>
      </x:c>
      <x:c r="J28" s="15" t="str">
        <x:v>CHECK | CHECK (route IS NULL OR (route::text = ANY (ARRAY['existing_artifact'::character varying, 'new_data'::character varying]::text[])))</x:v>
      </x:c>
      <x:c r="K28" s="15" t="str">
        <x:v>보안: INTERNAL</x:v>
      </x:c>
    </x:row>
    <x:row r="29" ht="44" customHeight="1">
      <x:c r="A29" s="15" t="n">
        <x:v>13</x:v>
      </x:c>
      <x:c r="B29" s="15" t="str">
        <x:v>operation_types</x:v>
      </x:c>
      <x:c r="C29" s="15" t="str">
        <x:v>operation types</x:v>
      </x:c>
      <x:c r="D29" s="15" t="str">
        <x:v>jsonb</x:v>
      </x:c>
      <x:c r="E29" s="15"/>
      <x:c r="F29" s="15"/>
      <x:c r="G29" s="15" t="str">
        <x:v>NOT NULL</x:v>
      </x:c>
      <x:c r="H29" s="15" t="str">
        <x:v>'[]'::jsonb</x:v>
      </x:c>
      <x:c r="I29" s="15" t="str">
        <x:v>report_v1.report_assistant_evaluations의 operation types 구조를 JSONB로 저장하며 승인된 스키마 계약으로 검증한다.</x:v>
      </x:c>
      <x:c r="J29" s="15"/>
      <x:c r="K29" s="15" t="str">
        <x:v>보안: INTERNAL</x:v>
      </x:c>
    </x:row>
    <x:row r="30" ht="44" customHeight="1">
      <x:c r="A30" s="15" t="n">
        <x:v>14</x:v>
      </x:c>
      <x:c r="B30" s="15" t="str">
        <x:v>contract_valid</x:v>
      </x:c>
      <x:c r="C30" s="15" t="str">
        <x:v>contract valid</x:v>
      </x:c>
      <x:c r="D30" s="15" t="str">
        <x:v>boolean</x:v>
      </x:c>
      <x:c r="E30" s="15"/>
      <x:c r="F30" s="15"/>
      <x:c r="G30" s="15" t="str">
        <x:v>NOT NULL</x:v>
      </x:c>
      <x:c r="H30" s="15" t="str">
        <x:v>false</x:v>
      </x:c>
      <x:c r="I30" s="15" t="str">
        <x:v>report_v1.report_assistant_evaluations에서 contract valid 값을 저장한다.</x:v>
      </x:c>
      <x:c r="J30" s="15"/>
      <x:c r="K30" s="15" t="str">
        <x:v>보안: INTERNAL</x:v>
      </x:c>
    </x:row>
    <x:row r="31" ht="44" customHeight="1">
      <x:c r="A31" s="15" t="n">
        <x:v>15</x:v>
      </x:c>
      <x:c r="B31" s="15" t="str">
        <x:v>approval_decision</x:v>
      </x:c>
      <x:c r="C31" s="15" t="str">
        <x:v>approval decision</x:v>
      </x:c>
      <x:c r="D31" s="15" t="str">
        <x:v>varchar</x:v>
      </x:c>
      <x:c r="E31" s="15" t="n">
        <x:v>16</x:v>
      </x:c>
      <x:c r="F31" s="15"/>
      <x:c r="G31" s="15" t="str">
        <x:v>NOT NULL</x:v>
      </x:c>
      <x:c r="H31" s="15" t="str">
        <x:v>'pending'::character varying</x:v>
      </x:c>
      <x:c r="I31" s="15" t="str">
        <x:v>report_v1.report_assistant_evaluations에서 approval decision 값을 저장한다.</x:v>
      </x:c>
      <x:c r="J31" s="15" t="str">
        <x:v>CHECK | CHECK (approval_decision::text = ANY (ARRAY['approved'::character varying, 'rejected'::character varying, 'pending'::character varying]::text[]))</x:v>
      </x:c>
      <x:c r="K31" s="15" t="str">
        <x:v>보안: INTERNAL</x:v>
      </x:c>
    </x:row>
    <x:row r="32" ht="44" customHeight="1">
      <x:c r="A32" s="15" t="n">
        <x:v>16</x:v>
      </x:c>
      <x:c r="B32" s="15" t="str">
        <x:v>final_phase</x:v>
      </x:c>
      <x:c r="C32" s="15" t="str">
        <x:v>final phase</x:v>
      </x:c>
      <x:c r="D32" s="15" t="str">
        <x:v>varchar</x:v>
      </x:c>
      <x:c r="E32" s="15" t="n">
        <x:v>32</x:v>
      </x:c>
      <x:c r="F32" s="15"/>
      <x:c r="G32" s="15" t="str">
        <x:v>NOT NULL</x:v>
      </x:c>
      <x:c r="H32" s="15" t="str">
        <x:v>'ready'::character varying</x:v>
      </x:c>
      <x:c r="I32" s="15" t="str">
        <x:v>report_v1.report_assistant_evaluations에서 final phase 값을 저장한다.</x:v>
      </x:c>
      <x:c r="J32" s="15"/>
      <x:c r="K32" s="15" t="str">
        <x:v>보안: INTERNAL</x:v>
      </x:c>
    </x:row>
    <x:row r="33" ht="44" customHeight="1">
      <x:c r="A33" s="15" t="n">
        <x:v>17</x:v>
      </x:c>
      <x:c r="B33" s="15" t="str">
        <x:v>revision_created</x:v>
      </x:c>
      <x:c r="C33" s="15" t="str">
        <x:v>revision 생성</x:v>
      </x:c>
      <x:c r="D33" s="15" t="str">
        <x:v>boolean</x:v>
      </x:c>
      <x:c r="E33" s="15"/>
      <x:c r="F33" s="15"/>
      <x:c r="G33" s="15" t="str">
        <x:v>NOT NULL</x:v>
      </x:c>
      <x:c r="H33" s="15" t="str">
        <x:v>false</x:v>
      </x:c>
      <x:c r="I33" s="15" t="str">
        <x:v>report_v1.report_assistant_evaluations에서 revision 생성 값을 저장한다.</x:v>
      </x:c>
      <x:c r="J33" s="15"/>
      <x:c r="K33" s="15" t="str">
        <x:v>보안: INTERNAL</x:v>
      </x:c>
    </x:row>
    <x:row r="34" ht="44" customHeight="1">
      <x:c r="A34" s="15" t="n">
        <x:v>18</x:v>
      </x:c>
      <x:c r="B34" s="15" t="str">
        <x:v>duplicate_revision_prevented</x:v>
      </x:c>
      <x:c r="C34" s="15" t="str">
        <x:v>duplicate revision prevented</x:v>
      </x:c>
      <x:c r="D34" s="15" t="str">
        <x:v>boolean</x:v>
      </x:c>
      <x:c r="E34" s="15"/>
      <x:c r="F34" s="15"/>
      <x:c r="G34" s="15" t="str">
        <x:v>NOT NULL</x:v>
      </x:c>
      <x:c r="H34" s="15" t="str">
        <x:v>false</x:v>
      </x:c>
      <x:c r="I34" s="15" t="str">
        <x:v>report_v1.report_assistant_evaluations에서 duplicate revision prevented 값을 저장한다.</x:v>
      </x:c>
      <x:c r="J34" s="15"/>
      <x:c r="K34" s="15" t="str">
        <x:v>보안: INTERNAL</x:v>
      </x:c>
    </x:row>
    <x:row r="35" ht="44" customHeight="1">
      <x:c r="A35" s="15" t="n">
        <x:v>19</x:v>
      </x:c>
      <x:c r="B35" s="15" t="str">
        <x:v>model_attempts</x:v>
      </x:c>
      <x:c r="C35" s="15" t="str">
        <x:v>모델 attempts</x:v>
      </x:c>
      <x:c r="D35" s="15" t="str">
        <x:v>integer</x:v>
      </x:c>
      <x:c r="E35" s="15"/>
      <x:c r="F35" s="15"/>
      <x:c r="G35" s="15"/>
      <x:c r="H35" s="15"/>
      <x:c r="I35" s="15" t="str">
        <x:v>report_v1.report_assistant_evaluations에서 모델 attempts 값을 저장한다.</x:v>
      </x:c>
      <x:c r="J35" s="15" t="str">
        <x:v>CHECK | CHECK (model_attempts IS NULL OR model_attempts &gt; 0)</x:v>
      </x:c>
      <x:c r="K35" s="15" t="str">
        <x:v>보안: INTERNAL</x:v>
      </x:c>
    </x:row>
    <x:row r="36" ht="44" customHeight="1">
      <x:c r="A36" s="15" t="n">
        <x:v>20</x:v>
      </x:c>
      <x:c r="B36" s="15" t="str">
        <x:v>latency_ms</x:v>
      </x:c>
      <x:c r="C36" s="15" t="str">
        <x:v>latency ms</x:v>
      </x:c>
      <x:c r="D36" s="15" t="str">
        <x:v>numeric</x:v>
      </x:c>
      <x:c r="E36" s="15" t="str">
        <x:v>14,3</x:v>
      </x:c>
      <x:c r="F36" s="15"/>
      <x:c r="G36" s="15"/>
      <x:c r="H36" s="15"/>
      <x:c r="I36" s="15" t="str">
        <x:v>report_v1.report_assistant_evaluations에서 latency ms 값을 저장한다.</x:v>
      </x:c>
      <x:c r="J36" s="15" t="str">
        <x:v>CHECK | CHECK (latency_ms IS NULL OR latency_ms &gt;= 0::numeric)</x:v>
      </x:c>
      <x:c r="K36" s="15" t="str">
        <x:v>보안: INTERNAL</x:v>
      </x:c>
    </x:row>
    <x:row r="37" ht="44" customHeight="1">
      <x:c r="A37" s="15" t="n">
        <x:v>21</x:v>
      </x:c>
      <x:c r="B37" s="15" t="str">
        <x:v>input_tokens</x:v>
      </x:c>
      <x:c r="C37" s="15" t="str">
        <x:v>입력 tokens</x:v>
      </x:c>
      <x:c r="D37" s="15" t="str">
        <x:v>integer</x:v>
      </x:c>
      <x:c r="E37" s="15"/>
      <x:c r="F37" s="15"/>
      <x:c r="G37" s="15"/>
      <x:c r="H37" s="15"/>
      <x:c r="I37" s="15" t="str">
        <x:v>report_v1.report_assistant_evaluations에서 입력 tokens 값을 저장한다.</x:v>
      </x:c>
      <x:c r="J37" s="15" t="str">
        <x:v>CHECK | CHECK (input_tokens IS NULL OR input_tokens &gt;= 0)</x:v>
      </x:c>
      <x:c r="K37" s="15" t="str">
        <x:v>보안: SECRET_REF</x:v>
      </x:c>
    </x:row>
    <x:row r="38" ht="44" customHeight="1">
      <x:c r="A38" s="15" t="n">
        <x:v>22</x:v>
      </x:c>
      <x:c r="B38" s="15" t="str">
        <x:v>output_tokens</x:v>
      </x:c>
      <x:c r="C38" s="15" t="str">
        <x:v>출력 tokens</x:v>
      </x:c>
      <x:c r="D38" s="15" t="str">
        <x:v>integer</x:v>
      </x:c>
      <x:c r="E38" s="15"/>
      <x:c r="F38" s="15"/>
      <x:c r="G38" s="15"/>
      <x:c r="H38" s="15"/>
      <x:c r="I38" s="15" t="str">
        <x:v>report_v1.report_assistant_evaluations에서 출력 tokens 값을 저장한다.</x:v>
      </x:c>
      <x:c r="J38" s="15" t="str">
        <x:v>CHECK | CHECK (output_tokens IS NULL OR output_tokens &gt;= 0)</x:v>
      </x:c>
      <x:c r="K38" s="15" t="str">
        <x:v>보안: SECRET_REF</x:v>
      </x:c>
    </x:row>
    <x:row r="39" ht="44" customHeight="1">
      <x:c r="A39" s="15" t="n">
        <x:v>23</x:v>
      </x:c>
      <x:c r="B39" s="15" t="str">
        <x:v>estimated_cost</x:v>
      </x:c>
      <x:c r="C39" s="15" t="str">
        <x:v>estimated cost</x:v>
      </x:c>
      <x:c r="D39" s="15" t="str">
        <x:v>numeric</x:v>
      </x:c>
      <x:c r="E39" s="15" t="str">
        <x:v>18,8</x:v>
      </x:c>
      <x:c r="F39" s="15"/>
      <x:c r="G39" s="15"/>
      <x:c r="H39" s="15"/>
      <x:c r="I39" s="15" t="str">
        <x:v>report_v1.report_assistant_evaluations에서 estimated cost 값을 저장한다.</x:v>
      </x:c>
      <x:c r="J39" s="15" t="str">
        <x:v>CHECK | CHECK (estimated_cost IS NULL OR estimated_cost &gt;= 0::numeric)</x:v>
      </x:c>
      <x:c r="K39" s="15" t="str">
        <x:v>보안: INTERNAL</x:v>
      </x:c>
    </x:row>
    <x:row r="40" ht="44" customHeight="1">
      <x:c r="A40" s="15" t="n">
        <x:v>24</x:v>
      </x:c>
      <x:c r="B40" s="15" t="str">
        <x:v>cost_is_estimate</x:v>
      </x:c>
      <x:c r="C40" s="15" t="str">
        <x:v>cost is estimate</x:v>
      </x:c>
      <x:c r="D40" s="15" t="str">
        <x:v>boolean</x:v>
      </x:c>
      <x:c r="E40" s="15"/>
      <x:c r="F40" s="15"/>
      <x:c r="G40" s="15" t="str">
        <x:v>NOT NULL</x:v>
      </x:c>
      <x:c r="H40" s="15" t="str">
        <x:v>false</x:v>
      </x:c>
      <x:c r="I40" s="15" t="str">
        <x:v>report_v1.report_assistant_evaluations에서 cost is estimate 값을 저장한다.</x:v>
      </x:c>
      <x:c r="J40" s="15"/>
      <x:c r="K40" s="15" t="str">
        <x:v>보안: INTERNAL</x:v>
      </x:c>
    </x:row>
    <x:row r="41" ht="44" customHeight="1">
      <x:c r="A41" s="15" t="n">
        <x:v>25</x:v>
      </x:c>
      <x:c r="B41" s="15" t="str">
        <x:v>error_code</x:v>
      </x:c>
      <x:c r="C41" s="15" t="str">
        <x:v>오류 코드</x:v>
      </x:c>
      <x:c r="D41" s="15" t="str">
        <x:v>varchar</x:v>
      </x:c>
      <x:c r="E41" s="15" t="n">
        <x:v>128</x:v>
      </x:c>
      <x:c r="F41" s="15"/>
      <x:c r="G41" s="15"/>
      <x:c r="H41" s="15"/>
      <x:c r="I41" s="15" t="str">
        <x:v>report_v1.report_assistant_evaluations에서 오류 코드 값을 저장한다.</x:v>
      </x:c>
      <x:c r="J41" s="15"/>
      <x:c r="K41" s="15" t="str">
        <x:v>보안: INTERNAL</x:v>
      </x:c>
    </x:row>
    <x:row r="42" ht="44" customHeight="1">
      <x:c r="A42" s="15" t="n">
        <x:v>26</x:v>
      </x:c>
      <x:c r="B42" s="15" t="str">
        <x:v>evaluated_at</x:v>
      </x:c>
      <x:c r="C42" s="15" t="str">
        <x:v>evaluated 시각</x:v>
      </x:c>
      <x:c r="D42" s="15" t="str">
        <x:v>timestamptz</x:v>
      </x:c>
      <x:c r="E42" s="15"/>
      <x:c r="F42" s="15"/>
      <x:c r="G42" s="15" t="str">
        <x:v>NOT NULL</x:v>
      </x:c>
      <x:c r="H42" s="15" t="str">
        <x:v>now()</x:v>
      </x:c>
      <x:c r="I42" s="15" t="str">
        <x:v>report_v1.report_assistant_evaluations의 evaluated 시각을 UTC 기준 시각으로 저장한다.</x:v>
      </x:c>
      <x:c r="J42" s="15"/>
      <x:c r="K42" s="15" t="str">
        <x:v>보안: INTERNAL</x:v>
      </x:c>
    </x:row>
    <x:row r="43" ht="44" customHeight="1">
      <x:c r="A43" s="15" t="n">
        <x:v>27</x:v>
      </x:c>
      <x:c r="B43" s="15" t="str">
        <x:v>created_at</x:v>
      </x:c>
      <x:c r="C43" s="15" t="str">
        <x:v>생성 시각</x:v>
      </x:c>
      <x:c r="D43" s="15" t="str">
        <x:v>timestamptz</x:v>
      </x:c>
      <x:c r="E43" s="15"/>
      <x:c r="F43" s="15"/>
      <x:c r="G43" s="15" t="str">
        <x:v>NOT NULL</x:v>
      </x:c>
      <x:c r="H43" s="15" t="str">
        <x:v>now()</x:v>
      </x:c>
      <x:c r="I43" s="15" t="str">
        <x:v>report_v1.report_assistant_evaluations의 생성 시각을 UTC 기준 시각으로 저장한다.</x:v>
      </x:c>
      <x:c r="J43" s="15"/>
      <x:c r="K43" s="15" t="str">
        <x:v>보안: INTERNAL</x:v>
      </x:c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</x:row>
    <x:row r="45">
      <x:c r="A45" s="58" t="str">
        <x:v>no</x:v>
      </x:c>
      <x:c r="B45" s="58" t="str">
        <x:v>Index name</x:v>
      </x:c>
      <x:c r="C45" s="58"/>
      <x:c r="D45" s="58" t="str">
        <x:v>Index type</x:v>
      </x:c>
      <x:c r="E45" s="58"/>
      <x:c r="F45" s="58" t="str">
        <x:v>Unique</x:v>
      </x:c>
      <x:c r="G45" s="58"/>
      <x:c r="H45" s="58" t="str">
        <x:v>구성 컬럼</x:v>
      </x:c>
      <x:c r="I45" s="58"/>
      <x:c r="J45" s="58"/>
      <x:c r="K45" s="58"/>
    </x:row>
    <x:row r="46">
      <x:c r="A46" s="15" t="n">
        <x:v>1</x:v>
      </x:c>
      <x:c r="B46" s="15" t="str">
        <x:v>report_assistant_evaluations_assistant_request_id_key</x:v>
      </x:c>
      <x:c r="C46" s="15"/>
      <x:c r="D46" s="15" t="str">
        <x:v>BTREE</x:v>
      </x:c>
      <x:c r="E46" s="15"/>
      <x:c r="F46" s="15" t="str">
        <x:v>Unique</x:v>
      </x:c>
      <x:c r="G46" s="15"/>
      <x:c r="H46" s="15" t="str">
        <x:v>assistant_request_id</x:v>
      </x:c>
      <x:c r="I46" s="15"/>
      <x:c r="J46" s="15"/>
      <x:c r="K46" s="15"/>
    </x:row>
    <x:row r="47">
      <x:c r="A47" s="15" t="n">
        <x:v>2</x:v>
      </x:c>
      <x:c r="B47" s="15" t="str">
        <x:v>report_assistant_evaluations_failure_idx</x:v>
      </x:c>
      <x:c r="C47" s="15"/>
      <x:c r="D47" s="15" t="str">
        <x:v>BTREE</x:v>
      </x:c>
      <x:c r="E47" s="15"/>
      <x:c r="F47" s="15" t="str">
        <x:v>Non-Unique</x:v>
      </x:c>
      <x:c r="G47" s="15"/>
      <x:c r="H47" s="15" t="str">
        <x:v>error_code, evaluated_at DESC) WHERE (error_code IS NOT NULL</x:v>
      </x:c>
      <x:c r="I47" s="15"/>
      <x:c r="J47" s="15"/>
      <x:c r="K47" s="15"/>
    </x:row>
    <x:row r="48">
      <x:c r="A48" s="15" t="n">
        <x:v>3</x:v>
      </x:c>
      <x:c r="B48" s="15" t="str">
        <x:v>report_assistant_evaluations_owner_period_idx</x:v>
      </x:c>
      <x:c r="C48" s="15"/>
      <x:c r="D48" s="15" t="str">
        <x:v>BTREE</x:v>
      </x:c>
      <x:c r="E48" s="15"/>
      <x:c r="F48" s="15" t="str">
        <x:v>Non-Unique</x:v>
      </x:c>
      <x:c r="G48" s="15"/>
      <x:c r="H48" s="15" t="str">
        <x:v>owner_id, evaluated_at DESC</x:v>
      </x:c>
      <x:c r="I48" s="15"/>
      <x:c r="J48" s="15"/>
      <x:c r="K48" s="15"/>
    </x:row>
    <x:row r="49">
      <x:c r="A49" s="15" t="n">
        <x:v>4</x:v>
      </x:c>
      <x:c r="B49" s="15" t="str">
        <x:v>report_assistant_evaluations_period_idx</x:v>
      </x:c>
      <x:c r="C49" s="15"/>
      <x:c r="D49" s="15" t="str">
        <x:v>BTREE</x:v>
      </x:c>
      <x:c r="E49" s="15"/>
      <x:c r="F49" s="15" t="str">
        <x:v>Non-Unique</x:v>
      </x:c>
      <x:c r="G49" s="15"/>
      <x:c r="H49" s="15" t="str">
        <x:v>evaluated_at DESC</x:v>
      </x:c>
      <x:c r="I49" s="15"/>
      <x:c r="J49" s="15"/>
      <x:c r="K49" s="15"/>
    </x:row>
    <x:row r="50">
      <x:c r="A50" s="15" t="n">
        <x:v>5</x:v>
      </x:c>
      <x:c r="B50" s="15" t="str">
        <x:v>report_assistant_evaluations_pkey</x:v>
      </x:c>
      <x:c r="C50" s="15"/>
      <x:c r="D50" s="15" t="str">
        <x:v>BTREE</x:v>
      </x:c>
      <x:c r="E50" s="15"/>
      <x:c r="F50" s="15" t="str">
        <x:v>Unique</x:v>
      </x:c>
      <x:c r="G50" s="15"/>
      <x:c r="H50" s="15" t="str">
        <x:v>evaluation_id</x:v>
      </x:c>
      <x:c r="I50" s="15"/>
      <x:c r="J50" s="15"/>
      <x:c r="K50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45:C45"/>
    <x:mergeCell ref="D45:E45"/>
    <x:mergeCell ref="F45:G45"/>
    <x:mergeCell ref="H45:K45"/>
    <x:mergeCell ref="B46:C46"/>
    <x:mergeCell ref="D46:E46"/>
    <x:mergeCell ref="F46:G46"/>
    <x:mergeCell ref="H46:K46"/>
    <x:mergeCell ref="B47:C47"/>
    <x:mergeCell ref="D47:E47"/>
    <x:mergeCell ref="F47:G47"/>
    <x:mergeCell ref="H47:K47"/>
    <x:mergeCell ref="B48:C48"/>
    <x:mergeCell ref="D48:E48"/>
    <x:mergeCell ref="F48:G48"/>
    <x:mergeCell ref="H48:K48"/>
    <x:mergeCell ref="B49:C49"/>
    <x:mergeCell ref="D49:E49"/>
    <x:mergeCell ref="F49:G49"/>
    <x:mergeCell ref="H49:K49"/>
    <x:mergeCell ref="B50:C50"/>
    <x:mergeCell ref="D50:E50"/>
    <x:mergeCell ref="F50:G50"/>
    <x:mergeCell ref="H50:K50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report_v1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report_assistant_requests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보고서 assistant 요청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Application PostgreSQL의 보고서 assistant 요청을 관리한다. 현재 Alembic head 20260828_49에서 재현한 물리 구조다.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assistant_request_id</x:v>
      </x:c>
      <x:c r="C17" s="15" t="str">
        <x:v>assistant 요청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/>
      <x:c r="I17" s="15" t="str">
        <x:v>report_v1.report_assistant_requests의 한 행을 식별하는 assistant 요청 ID 기본키다.</x:v>
      </x:c>
      <x:c r="J17" s="15" t="str">
        <x:v>CHECK | CHECK (retry_of_assistant_request_id IS NULL AND retry_created_at IS NULL OR retry_of_assistant_request_id IS NOT NULL AND retry_created_at IS NOT NULL)</x:v>
      </x:c>
      <x:c r="K17" s="15" t="str">
        <x:v>보안: INTERNAL</x:v>
      </x:c>
    </x:row>
    <x:row r="18" ht="44" customHeight="1">
      <x:c r="A18" s="15" t="n">
        <x:v>2</x:v>
      </x:c>
      <x:c r="B18" s="15" t="str">
        <x:v>owner_id</x:v>
      </x:c>
      <x:c r="C18" s="15" t="str">
        <x:v>owner ID</x:v>
      </x:c>
      <x:c r="D18" s="15" t="str">
        <x:v>uuid</x:v>
      </x:c>
      <x:c r="E18" s="15"/>
      <x:c r="F18" s="15"/>
      <x:c r="G18" s="15" t="str">
        <x:v>NOT NULL</x:v>
      </x:c>
      <x:c r="H18" s="15"/>
      <x:c r="I18" s="15" t="str">
        <x:v>report_v1.report_assistant_requests에서 owner ID 값을 저장한다.</x:v>
      </x:c>
      <x:c r="J18" s="15"/>
      <x:c r="K18" s="15" t="str">
        <x:v>보안: INTERNAL</x:v>
      </x:c>
    </x:row>
    <x:row r="19" ht="44" customHeight="1">
      <x:c r="A19" s="15" t="n">
        <x:v>3</x:v>
      </x:c>
      <x:c r="B19" s="15" t="str">
        <x:v>artifact_id</x:v>
      </x:c>
      <x:c r="C19" s="15" t="str">
        <x:v>산출물 ID</x:v>
      </x:c>
      <x:c r="D19" s="15" t="str">
        <x:v>uuid</x:v>
      </x:c>
      <x:c r="E19" s="15"/>
      <x:c r="F19" s="15" t="str">
        <x:v>FK</x:v>
      </x:c>
      <x:c r="G19" s="15" t="str">
        <x:v>NOT NULL</x:v>
      </x:c>
      <x:c r="H19" s="15"/>
      <x:c r="I19" s="15" t="str">
        <x:v>artifact.analysis_artifacts.artifact_id를 참조해 report_v1.report_assistant_requests의 산출물 ID 관계를 연결한다.</x:v>
      </x:c>
      <x:c r="J19" s="15" t="str">
        <x:v>물리 FK | artifact.analysis_artifacts.artifact_id</x:v>
      </x:c>
      <x:c r="K19" s="15" t="str">
        <x:v>보안: INTERNAL</x:v>
      </x:c>
    </x:row>
    <x:row r="20" ht="44" customHeight="1">
      <x:c r="A20" s="15" t="n">
        <x:v>4</x:v>
      </x:c>
      <x:c r="B20" s="15" t="str">
        <x:v>instruction_hash</x:v>
      </x:c>
      <x:c r="C20" s="15" t="str">
        <x:v>instruction 해시</x:v>
      </x:c>
      <x:c r="D20" s="15" t="str">
        <x:v>varchar</x:v>
      </x:c>
      <x:c r="E20" s="15" t="n">
        <x:v>64</x:v>
      </x:c>
      <x:c r="F20" s="15"/>
      <x:c r="G20" s="15" t="str">
        <x:v>NOT NULL</x:v>
      </x:c>
      <x:c r="H20" s="15"/>
      <x:c r="I20" s="15" t="str">
        <x:v>report_v1.report_assistant_requests에서 instruction 해시 값을 저장한다.</x:v>
      </x:c>
      <x:c r="J20" s="15" t="str">
        <x:v>CHECK | CHECK (length(instruction_hash::text) = 64)</x:v>
      </x:c>
      <x:c r="K20" s="15" t="str">
        <x:v>보안: INTERNAL</x:v>
      </x:c>
    </x:row>
    <x:row r="21" ht="44" customHeight="1">
      <x:c r="A21" s="15" t="n">
        <x:v>5</x:v>
      </x:c>
      <x:c r="B21" s="15" t="str">
        <x:v>status</x:v>
      </x:c>
      <x:c r="C21" s="15" t="str">
        <x:v>상태</x:v>
      </x:c>
      <x:c r="D21" s="15" t="str">
        <x:v>varchar</x:v>
      </x:c>
      <x:c r="E21" s="15" t="n">
        <x:v>16</x:v>
      </x:c>
      <x:c r="F21" s="15"/>
      <x:c r="G21" s="15" t="str">
        <x:v>NOT NULL</x:v>
      </x:c>
      <x:c r="H21" s="15"/>
      <x:c r="I21" s="15" t="str">
        <x:v>report_v1.report_assistant_requests의 현재 상태를 저장한다. 허용 범위는 연결된 CHECK 제약과 서비스 계약을 따른다.</x:v>
      </x:c>
      <x:c r="J21" s="15" t="str">
        <x:v>CHECK | CHECK (status::text = 'running'::text AND completed_at IS NULL OR status::text = 'success'::text AND definition_id IS NOT NULL AND definition_version IS NOT NULL AND output_hash IS NOT NULL AND error_code IS NULL AND completed_at IS NOT NULL OR status::text = 'failed'::text AND definition_id IS NULL AND definition_version IS NULL AND output_hash IS NULL AND error_code IS NOT NULL AND completed_at IS NOT NULL)</x:v>
      </x:c>
      <x:c r="K21" s="15" t="str">
        <x:v>보안: INTERNAL</x:v>
      </x:c>
    </x:row>
    <x:row r="22" ht="44" customHeight="1">
      <x:c r="A22" s="15" t="n">
        <x:v>6</x:v>
      </x:c>
      <x:c r="B22" s="15" t="str">
        <x:v>definition_id</x:v>
      </x:c>
      <x:c r="C22" s="15" t="str">
        <x:v>정의 ID</x:v>
      </x:c>
      <x:c r="D22" s="15" t="str">
        <x:v>uuid</x:v>
      </x:c>
      <x:c r="E22" s="15"/>
      <x:c r="F22" s="15" t="str">
        <x:v>FK</x:v>
      </x:c>
      <x:c r="G22" s="15"/>
      <x:c r="H22" s="15"/>
      <x:c r="I22" s="15" t="str">
        <x:v>report_v1.report_definition_versions.definition_id를 참조해 report_v1.report_assistant_requests의 정의 ID 관계를 연결한다.</x:v>
      </x:c>
      <x:c r="J22" s="15" t="str">
        <x:v>물리 FK | report_v1.report_definition_versions.definition_id</x:v>
      </x:c>
      <x:c r="K22" s="15" t="str">
        <x:v>보안: INTERNAL</x:v>
      </x:c>
    </x:row>
    <x:row r="23" ht="44" customHeight="1">
      <x:c r="A23" s="15" t="n">
        <x:v>7</x:v>
      </x:c>
      <x:c r="B23" s="15" t="str">
        <x:v>definition_version</x:v>
      </x:c>
      <x:c r="C23" s="15" t="str">
        <x:v>정의 버전</x:v>
      </x:c>
      <x:c r="D23" s="15" t="str">
        <x:v>integer</x:v>
      </x:c>
      <x:c r="E23" s="15"/>
      <x:c r="F23" s="15" t="str">
        <x:v>FK</x:v>
      </x:c>
      <x:c r="G23" s="15"/>
      <x:c r="H23" s="15"/>
      <x:c r="I23" s="15" t="str">
        <x:v>report_v1.report_definition_versions.version를 참조해 report_v1.report_assistant_requests의 정의 버전 관계를 연결한다.</x:v>
      </x:c>
      <x:c r="J23" s="15" t="str">
        <x:v>물리 FK | report_v1.report_definition_versions.version</x:v>
      </x:c>
      <x:c r="K23" s="15" t="str">
        <x:v>보안: INTERNAL</x:v>
      </x:c>
    </x:row>
    <x:row r="24" ht="44" customHeight="1">
      <x:c r="A24" s="15" t="n">
        <x:v>8</x:v>
      </x:c>
      <x:c r="B24" s="15" t="str">
        <x:v>prompt_id</x:v>
      </x:c>
      <x:c r="C24" s="15" t="str">
        <x:v>prompt ID</x:v>
      </x:c>
      <x:c r="D24" s="15" t="str">
        <x:v>varchar</x:v>
      </x:c>
      <x:c r="E24" s="15" t="n">
        <x:v>64</x:v>
      </x:c>
      <x:c r="F24" s="15"/>
      <x:c r="G24" s="15" t="str">
        <x:v>NOT NULL</x:v>
      </x:c>
      <x:c r="H24" s="15"/>
      <x:c r="I24" s="15" t="str">
        <x:v>report_v1.report_assistant_requests에서 prompt ID 값을 저장한다.</x:v>
      </x:c>
      <x:c r="J24" s="15"/>
      <x:c r="K24" s="15" t="str">
        <x:v>보안: CONFIDENTIAL</x:v>
      </x:c>
    </x:row>
    <x:row r="25" ht="44" customHeight="1">
      <x:c r="A25" s="15" t="n">
        <x:v>9</x:v>
      </x:c>
      <x:c r="B25" s="15" t="str">
        <x:v>prompt_version</x:v>
      </x:c>
      <x:c r="C25" s="15" t="str">
        <x:v>prompt 버전</x:v>
      </x:c>
      <x:c r="D25" s="15" t="str">
        <x:v>varchar</x:v>
      </x:c>
      <x:c r="E25" s="15" t="n">
        <x:v>64</x:v>
      </x:c>
      <x:c r="F25" s="15"/>
      <x:c r="G25" s="15" t="str">
        <x:v>NOT NULL</x:v>
      </x:c>
      <x:c r="H25" s="15"/>
      <x:c r="I25" s="15" t="str">
        <x:v>report_v1.report_assistant_requests에서 prompt 버전 값을 저장한다.</x:v>
      </x:c>
      <x:c r="J25" s="15"/>
      <x:c r="K25" s="15" t="str">
        <x:v>보안: CONFIDENTIAL</x:v>
      </x:c>
    </x:row>
    <x:row r="26" ht="44" customHeight="1">
      <x:c r="A26" s="15" t="n">
        <x:v>10</x:v>
      </x:c>
      <x:c r="B26" s="15" t="str">
        <x:v>prompt_hash</x:v>
      </x:c>
      <x:c r="C26" s="15" t="str">
        <x:v>prompt 해시</x:v>
      </x:c>
      <x:c r="D26" s="15" t="str">
        <x:v>varchar</x:v>
      </x:c>
      <x:c r="E26" s="15" t="n">
        <x:v>64</x:v>
      </x:c>
      <x:c r="F26" s="15"/>
      <x:c r="G26" s="15" t="str">
        <x:v>NOT NULL</x:v>
      </x:c>
      <x:c r="H26" s="15"/>
      <x:c r="I26" s="15" t="str">
        <x:v>report_v1.report_assistant_requests에서 prompt 해시 값을 저장한다.</x:v>
      </x:c>
      <x:c r="J26" s="15" t="str">
        <x:v>CHECK | CHECK (length(prompt_hash::text) = 64)</x:v>
      </x:c>
      <x:c r="K26" s="15" t="str">
        <x:v>보안: CONFIDENTIAL</x:v>
      </x:c>
    </x:row>
    <x:row r="27" ht="44" customHeight="1">
      <x:c r="A27" s="15" t="n">
        <x:v>11</x:v>
      </x:c>
      <x:c r="B27" s="15" t="str">
        <x:v>model_version</x:v>
      </x:c>
      <x:c r="C27" s="15" t="str">
        <x:v>모델 버전</x:v>
      </x:c>
      <x:c r="D27" s="15" t="str">
        <x:v>varchar</x:v>
      </x:c>
      <x:c r="E27" s="15" t="n">
        <x:v>255</x:v>
      </x:c>
      <x:c r="F27" s="15"/>
      <x:c r="G27" s="15"/>
      <x:c r="H27" s="15"/>
      <x:c r="I27" s="15" t="str">
        <x:v>report_v1.report_assistant_requests에서 모델 버전 값을 저장한다.</x:v>
      </x:c>
      <x:c r="J27" s="15"/>
      <x:c r="K27" s="15" t="str">
        <x:v>보안: INTERNAL</x:v>
      </x:c>
    </x:row>
    <x:row r="28" ht="44" customHeight="1">
      <x:c r="A28" s="15" t="n">
        <x:v>12</x:v>
      </x:c>
      <x:c r="B28" s="15" t="str">
        <x:v>output_hash</x:v>
      </x:c>
      <x:c r="C28" s="15" t="str">
        <x:v>출력 해시</x:v>
      </x:c>
      <x:c r="D28" s="15" t="str">
        <x:v>varchar</x:v>
      </x:c>
      <x:c r="E28" s="15" t="n">
        <x:v>64</x:v>
      </x:c>
      <x:c r="F28" s="15"/>
      <x:c r="G28" s="15"/>
      <x:c r="H28" s="15"/>
      <x:c r="I28" s="15" t="str">
        <x:v>report_v1.report_assistant_requests에서 출력 해시 값을 저장한다.</x:v>
      </x:c>
      <x:c r="J28" s="15" t="str">
        <x:v>CHECK | CHECK (status::text = 'running'::text AND completed_at IS NULL OR status::text = 'success'::text AND definition_id IS NOT NULL AND definition_version IS NOT NULL AND output_hash IS NOT NULL AND error_code IS NULL AND completed_at IS NOT NULL OR status::text = 'failed'::text AND definition_id IS NULL AND definition_version IS NULL AND output_hash IS NULL AND error_code IS NOT NULL AND completed_at IS NOT NULL)</x:v>
      </x:c>
      <x:c r="K28" s="15" t="str">
        <x:v>보안: CONFIDENTIAL</x:v>
      </x:c>
    </x:row>
    <x:row r="29" ht="44" customHeight="1">
      <x:c r="A29" s="15" t="n">
        <x:v>13</x:v>
      </x:c>
      <x:c r="B29" s="15" t="str">
        <x:v>error_code</x:v>
      </x:c>
      <x:c r="C29" s="15" t="str">
        <x:v>오류 코드</x:v>
      </x:c>
      <x:c r="D29" s="15" t="str">
        <x:v>varchar</x:v>
      </x:c>
      <x:c r="E29" s="15" t="n">
        <x:v>64</x:v>
      </x:c>
      <x:c r="F29" s="15"/>
      <x:c r="G29" s="15"/>
      <x:c r="H29" s="15"/>
      <x:c r="I29" s="15" t="str">
        <x:v>report_v1.report_assistant_requests에서 오류 코드 값을 저장한다.</x:v>
      </x:c>
      <x:c r="J29" s="15" t="str">
        <x:v>CHECK | CHECK (status::text = 'running'::text AND completed_at IS NULL OR status::text = 'success'::text AND definition_id IS NOT NULL AND definition_version IS NOT NULL AND output_hash IS NOT NULL AND error_code IS NULL AND completed_at IS NOT NULL OR status::text = 'failed'::text AND definition_id IS NULL AND definition_version IS NULL AND output_hash IS NULL AND error_code IS NOT NULL AND completed_at IS NOT NULL)</x:v>
      </x:c>
      <x:c r="K29" s="15" t="str">
        <x:v>보안: INTERNAL</x:v>
      </x:c>
    </x:row>
    <x:row r="30" ht="44" customHeight="1">
      <x:c r="A30" s="15" t="n">
        <x:v>14</x:v>
      </x:c>
      <x:c r="B30" s="15" t="str">
        <x:v>created_at</x:v>
      </x:c>
      <x:c r="C30" s="15" t="str">
        <x:v>생성 시각</x:v>
      </x:c>
      <x:c r="D30" s="15" t="str">
        <x:v>timestamptz</x:v>
      </x:c>
      <x:c r="E30" s="15"/>
      <x:c r="F30" s="15"/>
      <x:c r="G30" s="15" t="str">
        <x:v>NOT NULL</x:v>
      </x:c>
      <x:c r="H30" s="15" t="str">
        <x:v>now()</x:v>
      </x:c>
      <x:c r="I30" s="15" t="str">
        <x:v>report_v1.report_assistant_requests의 생성 시각을 UTC 기준 시각으로 저장한다.</x:v>
      </x:c>
      <x:c r="J30" s="15" t="str">
        <x:v>CHECK | CHECK (retry_of_assistant_request_id IS NULL AND retry_created_at IS NULL OR retry_of_assistant_request_id IS NOT NULL AND retry_created_at IS NOT NULL)</x:v>
      </x:c>
      <x:c r="K30" s="15" t="str">
        <x:v>보안: INTERNAL</x:v>
      </x:c>
    </x:row>
    <x:row r="31" ht="44" customHeight="1">
      <x:c r="A31" s="15" t="n">
        <x:v>15</x:v>
      </x:c>
      <x:c r="B31" s="15" t="str">
        <x:v>completed_at</x:v>
      </x:c>
      <x:c r="C31" s="15" t="str">
        <x:v>completed 시각</x:v>
      </x:c>
      <x:c r="D31" s="15" t="str">
        <x:v>timestamptz</x:v>
      </x:c>
      <x:c r="E31" s="15"/>
      <x:c r="F31" s="15"/>
      <x:c r="G31" s="15"/>
      <x:c r="H31" s="15"/>
      <x:c r="I31" s="15" t="str">
        <x:v>report_v1.report_assistant_requests의 completed 시각을 UTC 기준 시각으로 저장한다.</x:v>
      </x:c>
      <x:c r="J31" s="15" t="str">
        <x:v>CHECK | CHECK (status::text = 'running'::text AND completed_at IS NULL OR status::text = 'success'::text AND definition_id IS NOT NULL AND definition_version IS NOT NULL AND output_hash IS NOT NULL AND error_code IS NULL AND completed_at IS NOT NULL OR status::text = 'failed'::text AND definition_id IS NULL AND definition_version IS NULL AND output_hash IS NULL AND error_code IS NOT NULL AND completed_at IS NOT NULL)</x:v>
      </x:c>
      <x:c r="K31" s="15" t="str">
        <x:v>보안: INTERNAL</x:v>
      </x:c>
    </x:row>
    <x:row r="32" ht="44" customHeight="1">
      <x:c r="A32" s="15" t="n">
        <x:v>16</x:v>
      </x:c>
      <x:c r="B32" s="15" t="str">
        <x:v>phase</x:v>
      </x:c>
      <x:c r="C32" s="15" t="str">
        <x:v>phase</x:v>
      </x:c>
      <x:c r="D32" s="15" t="str">
        <x:v>varchar</x:v>
      </x:c>
      <x:c r="E32" s="15" t="n">
        <x:v>24</x:v>
      </x:c>
      <x:c r="F32" s="15"/>
      <x:c r="G32" s="15"/>
      <x:c r="H32" s="15"/>
      <x:c r="I32" s="15" t="str">
        <x:v>report_v1.report_assistant_requests에서 phase 값을 저장한다.</x:v>
      </x:c>
      <x:c r="J32" s="15" t="str">
        <x:v>CHECK | CHECK (phase IS NULL OR (phase::text = ANY (ARRAY['ready'::character varying, 'waiting_patch_approval'::character varying, 'waiting_approval'::character varying, 'running_data_agent'::character varying, 'waiting_artifact'::character varying, 'saving_revision'::character varying, 'completed'::character varying, 'failed'::character varying, 'cancelled'::character varying]::text[])))</x:v>
      </x:c>
      <x:c r="K32" s="15" t="str">
        <x:v>보안: INTERNAL</x:v>
      </x:c>
    </x:row>
    <x:row r="33" ht="44" customHeight="1">
      <x:c r="A33" s="15" t="n">
        <x:v>17</x:v>
      </x:c>
      <x:c r="B33" s="15" t="str">
        <x:v>session_definition_id</x:v>
      </x:c>
      <x:c r="C33" s="15" t="str">
        <x:v>세션 정의 ID</x:v>
      </x:c>
      <x:c r="D33" s="15" t="str">
        <x:v>uuid</x:v>
      </x:c>
      <x:c r="E33" s="15"/>
      <x:c r="F33" s="15" t="str">
        <x:v>FK</x:v>
      </x:c>
      <x:c r="G33" s="15"/>
      <x:c r="H33" s="15"/>
      <x:c r="I33" s="15" t="str">
        <x:v>report_v1.report_definition_versions.definition_id를 참조해 report_v1.report_assistant_requests의 세션 정의 ID 관계를 연결한다.</x:v>
      </x:c>
      <x:c r="J33" s="15" t="str">
        <x:v>물리 FK | report_v1.report_definition_versions.definition_id</x:v>
      </x:c>
      <x:c r="K33" s="15" t="str">
        <x:v>보안: INTERNAL</x:v>
      </x:c>
    </x:row>
    <x:row r="34" ht="44" customHeight="1">
      <x:c r="A34" s="15" t="n">
        <x:v>18</x:v>
      </x:c>
      <x:c r="B34" s="15" t="str">
        <x:v>session_definition_version</x:v>
      </x:c>
      <x:c r="C34" s="15" t="str">
        <x:v>세션 정의 버전</x:v>
      </x:c>
      <x:c r="D34" s="15" t="str">
        <x:v>integer</x:v>
      </x:c>
      <x:c r="E34" s="15"/>
      <x:c r="F34" s="15" t="str">
        <x:v>FK</x:v>
      </x:c>
      <x:c r="G34" s="15"/>
      <x:c r="H34" s="15"/>
      <x:c r="I34" s="15" t="str">
        <x:v>report_v1.report_definition_versions.version를 참조해 report_v1.report_assistant_requests의 세션 정의 버전 관계를 연결한다.</x:v>
      </x:c>
      <x:c r="J34" s="15" t="str">
        <x:v>물리 FK | report_v1.report_definition_versions.version</x:v>
      </x:c>
      <x:c r="K34" s="15" t="str">
        <x:v>보안: INTERNAL</x:v>
      </x:c>
    </x:row>
    <x:row r="35" ht="44" customHeight="1">
      <x:c r="A35" s="15" t="n">
        <x:v>19</x:v>
      </x:c>
      <x:c r="B35" s="15" t="str">
        <x:v>base_revision</x:v>
      </x:c>
      <x:c r="C35" s="15" t="str">
        <x:v>base revision</x:v>
      </x:c>
      <x:c r="D35" s="15" t="str">
        <x:v>integer</x:v>
      </x:c>
      <x:c r="E35" s="15"/>
      <x:c r="F35" s="15"/>
      <x:c r="G35" s="15"/>
      <x:c r="H35" s="15"/>
      <x:c r="I35" s="15" t="str">
        <x:v>report_v1.report_assistant_requests에서 base revision 값을 저장한다.</x:v>
      </x:c>
      <x:c r="J35" s="15" t="str">
        <x:v>CHECK | CHECK (phase IS NULL OR session_definition_id IS NOT NULL AND session_definition_version IS NOT NULL AND base_revision IS NOT NULL AND base_revision &gt; 0)</x:v>
      </x:c>
      <x:c r="K35" s="15" t="str">
        <x:v>보안: INTERNAL</x:v>
      </x:c>
    </x:row>
    <x:row r="36" ht="44" customHeight="1">
      <x:c r="A36" s="15" t="n">
        <x:v>20</x:v>
      </x:c>
      <x:c r="B36" s="15" t="str">
        <x:v>analysis_plan_json</x:v>
      </x:c>
      <x:c r="C36" s="15" t="str">
        <x:v>분석 plan json</x:v>
      </x:c>
      <x:c r="D36" s="15" t="str">
        <x:v>jsonb</x:v>
      </x:c>
      <x:c r="E36" s="15"/>
      <x:c r="F36" s="15"/>
      <x:c r="G36" s="15"/>
      <x:c r="H36" s="15"/>
      <x:c r="I36" s="15" t="str">
        <x:v>report_v1.report_assistant_requests의 분석 plan json 구조를 JSONB로 저장하며 승인된 스키마 계약으로 검증한다.</x:v>
      </x:c>
      <x:c r="J36" s="15" t="str">
        <x:v>CHECK | CHECK (phase IS NULL OR (phase::text = ANY (ARRAY['ready'::character varying, 'completed'::character varying, 'failed'::character varying, 'cancelled'::character varying]::text[])) OR phase::text = 'waiting_patch_approval'::text AND report_patch_json IS NOT NULL AND patch_request_id IS NOT NULL OR phase::text = 'saving_revision'::text AND (report_patch_json IS NOT NULL AND patch_request_id IS NOT NULL OR analysis_plan_json IS NOT NULL AND data_request_id IS NOT NULL) OR (phase::text = ANY (ARRAY['waiting_approval'::character varying, 'running_data_agent'::character varying, 'waiting_artifact'::character varying]::text[])) AND analysis_plan_json IS NOT NULL AND data_request_id IS NOT NULL)</x:v>
      </x:c>
      <x:c r="K36" s="15" t="str">
        <x:v>보안: INTERNAL</x:v>
      </x:c>
    </x:row>
    <x:row r="37" ht="44" customHeight="1">
      <x:c r="A37" s="15" t="n">
        <x:v>21</x:v>
      </x:c>
      <x:c r="B37" s="15" t="str">
        <x:v>data_request_id</x:v>
      </x:c>
      <x:c r="C37" s="15" t="str">
        <x:v>데이터 요청 ID</x:v>
      </x:c>
      <x:c r="D37" s="15" t="str">
        <x:v>uuid</x:v>
      </x:c>
      <x:c r="E37" s="15"/>
      <x:c r="F37" s="15"/>
      <x:c r="G37" s="15"/>
      <x:c r="H37" s="15"/>
      <x:c r="I37" s="15" t="str">
        <x:v>report_v1.report_assistant_requests에서 데이터 요청 ID 값을 저장한다.</x:v>
      </x:c>
      <x:c r="J37" s="15" t="str">
        <x:v>CHECK | CHECK (phase IS NULL OR (phase::text = ANY (ARRAY['ready'::character varying, 'completed'::character varying, 'failed'::character varying, 'cancelled'::character varying]::text[])) OR phase::text = 'waiting_patch_approval'::text AND report_patch_json IS NOT NULL AND patch_request_id IS NOT NULL OR phase::text = 'saving_revision'::text AND (report_patch_json IS NOT NULL AND patch_request_id IS NOT NULL OR analysis_plan_json IS NOT NULL AND data_request_id IS NOT NULL) OR (phase::text = ANY (ARRAY['waiting_approval'::character varying, 'running_data_agent'::character varying, 'waiting_artifact'::character varying]::text[])) AND analysis_plan_json IS NOT NULL AND data_request_id IS NOT NULL)</x:v>
      </x:c>
      <x:c r="K37" s="15" t="str">
        <x:v>보안: INTERNAL</x:v>
      </x:c>
    </x:row>
    <x:row r="38" ht="44" customHeight="1">
      <x:c r="A38" s="15" t="n">
        <x:v>22</x:v>
      </x:c>
      <x:c r="B38" s="15" t="str">
        <x:v>decision_hash</x:v>
      </x:c>
      <x:c r="C38" s="15" t="str">
        <x:v>decision 해시</x:v>
      </x:c>
      <x:c r="D38" s="15" t="str">
        <x:v>varchar</x:v>
      </x:c>
      <x:c r="E38" s="15" t="n">
        <x:v>64</x:v>
      </x:c>
      <x:c r="F38" s="15"/>
      <x:c r="G38" s="15"/>
      <x:c r="H38" s="15"/>
      <x:c r="I38" s="15" t="str">
        <x:v>report_v1.report_assistant_requests에서 decision 해시 값을 저장한다.</x:v>
      </x:c>
      <x:c r="J38" s="15"/>
      <x:c r="K38" s="15" t="str">
        <x:v>보안: INTERNAL</x:v>
      </x:c>
    </x:row>
    <x:row r="39" ht="44" customHeight="1">
      <x:c r="A39" s="15" t="n">
        <x:v>23</x:v>
      </x:c>
      <x:c r="B39" s="15" t="str">
        <x:v>approved_at</x:v>
      </x:c>
      <x:c r="C39" s="15" t="str">
        <x:v>approved 시각</x:v>
      </x:c>
      <x:c r="D39" s="15" t="str">
        <x:v>timestamptz</x:v>
      </x:c>
      <x:c r="E39" s="15"/>
      <x:c r="F39" s="15"/>
      <x:c r="G39" s="15"/>
      <x:c r="H39" s="15"/>
      <x:c r="I39" s="15" t="str">
        <x:v>report_v1.report_assistant_requests의 approved 시각을 UTC 기준 시각으로 저장한다.</x:v>
      </x:c>
      <x:c r="J39" s="15"/>
      <x:c r="K39" s="15" t="str">
        <x:v>보안: INTERNAL</x:v>
      </x:c>
    </x:row>
    <x:row r="40" ht="44" customHeight="1">
      <x:c r="A40" s="15" t="n">
        <x:v>24</x:v>
      </x:c>
      <x:c r="B40" s="15" t="str">
        <x:v>rejected_at</x:v>
      </x:c>
      <x:c r="C40" s="15" t="str">
        <x:v>rejected 시각</x:v>
      </x:c>
      <x:c r="D40" s="15" t="str">
        <x:v>timestamptz</x:v>
      </x:c>
      <x:c r="E40" s="15"/>
      <x:c r="F40" s="15"/>
      <x:c r="G40" s="15"/>
      <x:c r="H40" s="15"/>
      <x:c r="I40" s="15" t="str">
        <x:v>report_v1.report_assistant_requests의 rejected 시각을 UTC 기준 시각으로 저장한다.</x:v>
      </x:c>
      <x:c r="J40" s="15"/>
      <x:c r="K40" s="15" t="str">
        <x:v>보안: INTERNAL</x:v>
      </x:c>
    </x:row>
    <x:row r="41" ht="44" customHeight="1">
      <x:c r="A41" s="15" t="n">
        <x:v>25</x:v>
      </x:c>
      <x:c r="B41" s="15" t="str">
        <x:v>result_artifact_id</x:v>
      </x:c>
      <x:c r="C41" s="15" t="str">
        <x:v>결과 산출물 ID</x:v>
      </x:c>
      <x:c r="D41" s="15" t="str">
        <x:v>uuid</x:v>
      </x:c>
      <x:c r="E41" s="15"/>
      <x:c r="F41" s="15" t="str">
        <x:v>FK</x:v>
      </x:c>
      <x:c r="G41" s="15"/>
      <x:c r="H41" s="15"/>
      <x:c r="I41" s="15" t="str">
        <x:v>artifact.analysis_artifacts.artifact_id를 참조해 report_v1.report_assistant_requests의 결과 산출물 ID 관계를 연결한다.</x:v>
      </x:c>
      <x:c r="J41" s="15" t="str">
        <x:v>물리 FK | artifact.analysis_artifacts.artifact_id</x:v>
      </x:c>
      <x:c r="K41" s="15" t="str">
        <x:v>보안: INTERNAL</x:v>
      </x:c>
    </x:row>
    <x:row r="42" ht="44" customHeight="1">
      <x:c r="A42" s="15" t="n">
        <x:v>26</x:v>
      </x:c>
      <x:c r="B42" s="15" t="str">
        <x:v>result_revision</x:v>
      </x:c>
      <x:c r="C42" s="15" t="str">
        <x:v>결과 revision</x:v>
      </x:c>
      <x:c r="D42" s="15" t="str">
        <x:v>integer</x:v>
      </x:c>
      <x:c r="E42" s="15"/>
      <x:c r="F42" s="15"/>
      <x:c r="G42" s="15"/>
      <x:c r="H42" s="15"/>
      <x:c r="I42" s="15" t="str">
        <x:v>report_v1.report_assistant_requests에서 결과 revision 값을 저장한다.</x:v>
      </x:c>
      <x:c r="J42" s="15"/>
      <x:c r="K42" s="15" t="str">
        <x:v>보안: INTERNAL</x:v>
      </x:c>
    </x:row>
    <x:row r="43" ht="44" customHeight="1">
      <x:c r="A43" s="15" t="n">
        <x:v>27</x:v>
      </x:c>
      <x:c r="B43" s="15" t="str">
        <x:v>result_query_id</x:v>
      </x:c>
      <x:c r="C43" s="15" t="str">
        <x:v>결과 쿼리 ID</x:v>
      </x:c>
      <x:c r="D43" s="15" t="str">
        <x:v>varchar</x:v>
      </x:c>
      <x:c r="E43" s="15" t="n">
        <x:v>255</x:v>
      </x:c>
      <x:c r="F43" s="15"/>
      <x:c r="G43" s="15"/>
      <x:c r="H43" s="15"/>
      <x:c r="I43" s="15" t="str">
        <x:v>report_v1.report_assistant_requests에서 결과 쿼리 ID 값을 저장한다.</x:v>
      </x:c>
      <x:c r="J43" s="15" t="str">
        <x:v>CHECK | CHECK (result_artifact_id IS NULL AND result_query_id IS NULL AND result_artifact_checksum IS NULL OR result_artifact_id IS NOT NULL AND result_query_id IS NOT NULL AND result_artifact_checksum::text ~ '^[0-9a-f]{64}$'::text)</x:v>
      </x:c>
      <x:c r="K43" s="15" t="str">
        <x:v>보안: INTERNAL</x:v>
      </x:c>
    </x:row>
    <x:row r="44" ht="44" customHeight="1">
      <x:c r="A44" s="15" t="n">
        <x:v>28</x:v>
      </x:c>
      <x:c r="B44" s="15" t="str">
        <x:v>result_artifact_checksum</x:v>
      </x:c>
      <x:c r="C44" s="15" t="str">
        <x:v>결과 산출물 checksum</x:v>
      </x:c>
      <x:c r="D44" s="15" t="str">
        <x:v>varchar</x:v>
      </x:c>
      <x:c r="E44" s="15" t="n">
        <x:v>64</x:v>
      </x:c>
      <x:c r="F44" s="15"/>
      <x:c r="G44" s="15"/>
      <x:c r="H44" s="15"/>
      <x:c r="I44" s="15" t="str">
        <x:v>report_v1.report_assistant_requests에서 결과 산출물 checksum 값을 저장한다.</x:v>
      </x:c>
      <x:c r="J44" s="15" t="str">
        <x:v>CHECK | CHECK (result_artifact_id IS NULL AND result_query_id IS NULL AND result_artifact_checksum IS NULL OR result_artifact_id IS NOT NULL AND result_query_id IS NOT NULL AND result_artifact_checksum::text ~ '^[0-9a-f]{64}$'::text)</x:v>
      </x:c>
      <x:c r="K44" s="15" t="str">
        <x:v>보안: INTERNAL</x:v>
      </x:c>
    </x:row>
    <x:row r="45" ht="44" customHeight="1">
      <x:c r="A45" s="15" t="n">
        <x:v>29</x:v>
      </x:c>
      <x:c r="B45" s="15" t="str">
        <x:v>report_patch_json</x:v>
      </x:c>
      <x:c r="C45" s="15" t="str">
        <x:v>보고서 patch json</x:v>
      </x:c>
      <x:c r="D45" s="15" t="str">
        <x:v>jsonb</x:v>
      </x:c>
      <x:c r="E45" s="15"/>
      <x:c r="F45" s="15"/>
      <x:c r="G45" s="15"/>
      <x:c r="H45" s="15"/>
      <x:c r="I45" s="15" t="str">
        <x:v>report_v1.report_assistant_requests의 보고서 patch json 구조를 JSONB로 저장하며 승인된 스키마 계약으로 검증한다.</x:v>
      </x:c>
      <x:c r="J45" s="15" t="str">
        <x:v>CHECK | CHECK (phase IS NULL OR (phase::text = ANY (ARRAY['ready'::character varying, 'completed'::character varying, 'failed'::character varying, 'cancelled'::character varying]::text[])) OR phase::text = 'waiting_patch_approval'::text AND report_patch_json IS NOT NULL AND patch_request_id IS NOT NULL OR phase::text = 'saving_revision'::text AND (report_patch_json IS NOT NULL AND patch_request_id IS NOT NULL OR analysis_plan_json IS NOT NULL AND data_request_id IS NOT NULL) OR (phase::text = ANY (ARRAY['waiting_approval'::character varying, 'running_data_agent'::character varying, 'waiting_artifact'::character varying]::text[])) AND analysis_plan_json IS NOT NULL AND data_request_id IS NOT NULL)</x:v>
      </x:c>
      <x:c r="K45" s="15" t="str">
        <x:v>보안: INTERNAL</x:v>
      </x:c>
    </x:row>
    <x:row r="46" ht="44" customHeight="1">
      <x:c r="A46" s="15" t="n">
        <x:v>30</x:v>
      </x:c>
      <x:c r="B46" s="15" t="str">
        <x:v>patch_request_id</x:v>
      </x:c>
      <x:c r="C46" s="15" t="str">
        <x:v>patch 요청 ID</x:v>
      </x:c>
      <x:c r="D46" s="15" t="str">
        <x:v>uuid</x:v>
      </x:c>
      <x:c r="E46" s="15"/>
      <x:c r="F46" s="15"/>
      <x:c r="G46" s="15"/>
      <x:c r="H46" s="15"/>
      <x:c r="I46" s="15" t="str">
        <x:v>report_v1.report_assistant_requests에서 patch 요청 ID 값을 저장한다.</x:v>
      </x:c>
      <x:c r="J46" s="15" t="str">
        <x:v>CHECK | CHECK (phase IS NULL OR (phase::text = ANY (ARRAY['ready'::character varying, 'completed'::character varying, 'failed'::character varying, 'cancelled'::character varying]::text[])) OR phase::text = 'waiting_patch_approval'::text AND report_patch_json IS NOT NULL AND patch_request_id IS NOT NULL OR phase::text = 'saving_revision'::text AND (report_patch_json IS NOT NULL AND patch_request_id IS NOT NULL OR analysis_plan_json IS NOT NULL AND data_request_id IS NOT NULL) OR (phase::text = ANY (ARRAY['waiting_approval'::character varying, 'running_data_agent'::character varying, 'waiting_artifact'::character varying]::text[])) AND analysis_plan_json IS NOT NULL AND data_request_id IS NOT NULL)</x:v>
      </x:c>
      <x:c r="K46" s="15" t="str">
        <x:v>보안: INTERNAL</x:v>
      </x:c>
    </x:row>
    <x:row r="47" ht="44" customHeight="1">
      <x:c r="A47" s="15" t="n">
        <x:v>31</x:v>
      </x:c>
      <x:c r="B47" s="15" t="str">
        <x:v>retry_of_assistant_request_id</x:v>
      </x:c>
      <x:c r="C47" s="15" t="str">
        <x:v>retry of assistant 요청 ID</x:v>
      </x:c>
      <x:c r="D47" s="15" t="str">
        <x:v>uuid</x:v>
      </x:c>
      <x:c r="E47" s="15"/>
      <x:c r="F47" s="15" t="str">
        <x:v>FK</x:v>
      </x:c>
      <x:c r="G47" s="15"/>
      <x:c r="H47" s="15"/>
      <x:c r="I47" s="15" t="str">
        <x:v>report_v1.report_assistant_requests.assistant_request_id를 참조해 report_v1.report_assistant_requests의 retry of assistant 요청 ID 관계를 연결한다.</x:v>
      </x:c>
      <x:c r="J47" s="15" t="str">
        <x:v>물리 FK | report_v1.report_assistant_requests.assistant_request_id</x:v>
      </x:c>
      <x:c r="K47" s="15" t="str">
        <x:v>보안: INTERNAL</x:v>
      </x:c>
    </x:row>
    <x:row r="48" ht="44" customHeight="1">
      <x:c r="A48" s="15" t="n">
        <x:v>32</x:v>
      </x:c>
      <x:c r="B48" s="15" t="str">
        <x:v>retry_created_at</x:v>
      </x:c>
      <x:c r="C48" s="15" t="str">
        <x:v>retry 생성 시각</x:v>
      </x:c>
      <x:c r="D48" s="15" t="str">
        <x:v>timestamptz</x:v>
      </x:c>
      <x:c r="E48" s="15"/>
      <x:c r="F48" s="15"/>
      <x:c r="G48" s="15"/>
      <x:c r="H48" s="15"/>
      <x:c r="I48" s="15" t="str">
        <x:v>report_v1.report_assistant_requests의 retry 생성 시각을 UTC 기준 시각으로 저장한다.</x:v>
      </x:c>
      <x:c r="J48" s="15" t="str">
        <x:v>CHECK | CHECK (retry_of_assistant_request_id IS NULL AND retry_created_at IS NULL OR retry_of_assistant_request_id IS NOT NULL AND retry_created_at IS NOT NULL)</x:v>
      </x:c>
      <x:c r="K48" s="15" t="str">
        <x:v>보안: INTERNAL</x:v>
      </x:c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</x:row>
    <x:row r="50">
      <x:c r="A50" s="58" t="str">
        <x:v>no</x:v>
      </x:c>
      <x:c r="B50" s="58" t="str">
        <x:v>Index name</x:v>
      </x:c>
      <x:c r="C50" s="58"/>
      <x:c r="D50" s="58" t="str">
        <x:v>Index type</x:v>
      </x:c>
      <x:c r="E50" s="58"/>
      <x:c r="F50" s="58" t="str">
        <x:v>Unique</x:v>
      </x:c>
      <x:c r="G50" s="58"/>
      <x:c r="H50" s="58" t="str">
        <x:v>구성 컬럼</x:v>
      </x:c>
      <x:c r="I50" s="58"/>
      <x:c r="J50" s="58"/>
      <x:c r="K50" s="58"/>
    </x:row>
    <x:row r="51">
      <x:c r="A51" s="15" t="n">
        <x:v>1</x:v>
      </x:c>
      <x:c r="B51" s="15" t="str">
        <x:v>report_assistant_owner_phase_idx</x:v>
      </x:c>
      <x:c r="C51" s="15"/>
      <x:c r="D51" s="15" t="str">
        <x:v>BTREE</x:v>
      </x:c>
      <x:c r="E51" s="15"/>
      <x:c r="F51" s="15" t="str">
        <x:v>Non-Unique</x:v>
      </x:c>
      <x:c r="G51" s="15"/>
      <x:c r="H51" s="15" t="str">
        <x:v>owner_id, phase, created_at DESC) WHERE (phase IS NOT NULL</x:v>
      </x:c>
      <x:c r="I51" s="15"/>
      <x:c r="J51" s="15"/>
      <x:c r="K51" s="15"/>
    </x:row>
    <x:row r="52">
      <x:c r="A52" s="15" t="n">
        <x:v>2</x:v>
      </x:c>
      <x:c r="B52" s="15" t="str">
        <x:v>report_assistant_requests_pkey</x:v>
      </x:c>
      <x:c r="C52" s="15"/>
      <x:c r="D52" s="15" t="str">
        <x:v>BTREE</x:v>
      </x:c>
      <x:c r="E52" s="15"/>
      <x:c r="F52" s="15" t="str">
        <x:v>Unique</x:v>
      </x:c>
      <x:c r="G52" s="15"/>
      <x:c r="H52" s="15" t="str">
        <x:v>assistant_request_id</x:v>
      </x:c>
      <x:c r="I52" s="15"/>
      <x:c r="J52" s="15"/>
      <x:c r="K52" s="15"/>
    </x:row>
    <x:row r="53">
      <x:c r="A53" s="15" t="n">
        <x:v>3</x:v>
      </x:c>
      <x:c r="B53" s="15" t="str">
        <x:v>report_assistant_retry_source_idx</x:v>
      </x:c>
      <x:c r="C53" s="15"/>
      <x:c r="D53" s="15" t="str">
        <x:v>BTREE</x:v>
      </x:c>
      <x:c r="E53" s="15"/>
      <x:c r="F53" s="15" t="str">
        <x:v>Unique</x:v>
      </x:c>
      <x:c r="G53" s="15"/>
      <x:c r="H53" s="15" t="str">
        <x:v>retry_of_assistant_request_id) WHERE (retry_of_assistant_request_id IS NOT NULL</x:v>
      </x:c>
      <x:c r="I53" s="15"/>
      <x:c r="J53" s="15"/>
      <x:c r="K53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50:C50"/>
    <x:mergeCell ref="D50:E50"/>
    <x:mergeCell ref="F50:G50"/>
    <x:mergeCell ref="H50:K50"/>
    <x:mergeCell ref="B51:C51"/>
    <x:mergeCell ref="D51:E51"/>
    <x:mergeCell ref="F51:G51"/>
    <x:mergeCell ref="H51:K51"/>
    <x:mergeCell ref="B52:C52"/>
    <x:mergeCell ref="D52:E52"/>
    <x:mergeCell ref="F52:G52"/>
    <x:mergeCell ref="H52:K52"/>
    <x:mergeCell ref="B53:C53"/>
    <x:mergeCell ref="D53:E53"/>
    <x:mergeCell ref="F53:G53"/>
    <x:mergeCell ref="H53:K53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report_v1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report_assistant_turns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보고서 assistant 턴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Application PostgreSQL의 보고서 assistant 턴을 관리한다. 현재 Alembic head 20260828_49에서 재현한 물리 구조다.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assistant_request_id</x:v>
      </x:c>
      <x:c r="C17" s="15" t="str">
        <x:v>assistant 요청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/>
      <x:c r="I17" s="15" t="str">
        <x:v>report_v1.report_assistant_turns의 한 행을 식별하는 assistant 요청 ID 기본키다.</x:v>
      </x:c>
      <x:c r="J17" s="15" t="str">
        <x:v>물리 FK | report_v1.report_assistant_requests.assistant_request_id</x:v>
      </x:c>
      <x:c r="K17" s="15" t="str">
        <x:v>보안: INTERNAL</x:v>
      </x:c>
    </x:row>
    <x:row r="18" ht="44" customHeight="1">
      <x:c r="A18" s="15" t="n">
        <x:v>2</x:v>
      </x:c>
      <x:c r="B18" s="15" t="str">
        <x:v>turn_number</x:v>
      </x:c>
      <x:c r="C18" s="15" t="str">
        <x:v>턴 number</x:v>
      </x:c>
      <x:c r="D18" s="15" t="str">
        <x:v>integer</x:v>
      </x:c>
      <x:c r="E18" s="15"/>
      <x:c r="F18" s="15" t="str">
        <x:v>PK</x:v>
      </x:c>
      <x:c r="G18" s="15" t="str">
        <x:v>NOT NULL</x:v>
      </x:c>
      <x:c r="H18" s="15"/>
      <x:c r="I18" s="15" t="str">
        <x:v>report_v1.report_assistant_turns의 한 행을 식별하는 턴 number 기본키다.</x:v>
      </x:c>
      <x:c r="J18" s="15" t="str">
        <x:v>CHECK | CHECK (turn_number &gt; 0)</x:v>
      </x:c>
      <x:c r="K18" s="15" t="str">
        <x:v>보안: INTERNAL</x:v>
      </x:c>
    </x:row>
    <x:row r="19" ht="44" customHeight="1">
      <x:c r="A19" s="15" t="n">
        <x:v>3</x:v>
      </x:c>
      <x:c r="B19" s="15" t="str">
        <x:v>user_instruction</x:v>
      </x:c>
      <x:c r="C19" s="15" t="str">
        <x:v>사용자 instruction</x:v>
      </x:c>
      <x:c r="D19" s="15" t="str">
        <x:v>varchar</x:v>
      </x:c>
      <x:c r="E19" s="15" t="n">
        <x:v>500</x:v>
      </x:c>
      <x:c r="F19" s="15"/>
      <x:c r="G19" s="15" t="str">
        <x:v>NOT NULL</x:v>
      </x:c>
      <x:c r="H19" s="15"/>
      <x:c r="I19" s="15" t="str">
        <x:v>report_v1.report_assistant_turns에서 사용자 instruction 값을 저장한다.</x:v>
      </x:c>
      <x:c r="J19" s="15" t="str">
        <x:v>CHECK | CHECK (length(TRIM(BOTH FROM user_instruction)) &gt; 0)</x:v>
      </x:c>
      <x:c r="K19" s="15" t="str">
        <x:v>보안: INTERNAL</x:v>
      </x:c>
    </x:row>
    <x:row r="20" ht="44" customHeight="1">
      <x:c r="A20" s="15" t="n">
        <x:v>4</x:v>
      </x:c>
      <x:c r="B20" s="15" t="str">
        <x:v>assistant_message</x:v>
      </x:c>
      <x:c r="C20" s="15" t="str">
        <x:v>assistant 메시지</x:v>
      </x:c>
      <x:c r="D20" s="15" t="str">
        <x:v>varchar</x:v>
      </x:c>
      <x:c r="E20" s="15" t="n">
        <x:v>1000</x:v>
      </x:c>
      <x:c r="F20" s="15"/>
      <x:c r="G20" s="15" t="str">
        <x:v>NOT NULL</x:v>
      </x:c>
      <x:c r="H20" s="15"/>
      <x:c r="I20" s="15" t="str">
        <x:v>report_v1.report_assistant_turns에서 assistant 메시지 값을 저장한다.</x:v>
      </x:c>
      <x:c r="J20" s="15" t="str">
        <x:v>CHECK | CHECK (length(TRIM(BOTH FROM assistant_message)) &gt; 0)</x:v>
      </x:c>
      <x:c r="K20" s="15" t="str">
        <x:v>보안: INTERNAL</x:v>
      </x:c>
    </x:row>
    <x:row r="21" ht="44" customHeight="1">
      <x:c r="A21" s="15" t="n">
        <x:v>5</x:v>
      </x:c>
      <x:c r="B21" s="15" t="str">
        <x:v>change_kind</x:v>
      </x:c>
      <x:c r="C21" s="15" t="str">
        <x:v>change kind</x:v>
      </x:c>
      <x:c r="D21" s="15" t="str">
        <x:v>varchar</x:v>
      </x:c>
      <x:c r="E21" s="15" t="n">
        <x:v>24</x:v>
      </x:c>
      <x:c r="F21" s="15"/>
      <x:c r="G21" s="15" t="str">
        <x:v>NOT NULL</x:v>
      </x:c>
      <x:c r="H21" s="15"/>
      <x:c r="I21" s="15" t="str">
        <x:v>report_v1.report_assistant_turns에서 change kind 값을 저장한다.</x:v>
      </x:c>
      <x:c r="J21" s="15" t="str">
        <x:v>CHECK | CHECK (change_kind::text = ANY (ARRAY['clarification'::character varying, 'existing_artifact'::character varying, 'new_data'::character varying]::text[]))</x:v>
      </x:c>
      <x:c r="K21" s="15" t="str">
        <x:v>보안: INTERNAL</x:v>
      </x:c>
    </x:row>
    <x:row r="22" ht="44" customHeight="1">
      <x:c r="A22" s="15" t="n">
        <x:v>6</x:v>
      </x:c>
      <x:c r="B22" s="15" t="str">
        <x:v>created_at</x:v>
      </x:c>
      <x:c r="C22" s="15" t="str">
        <x:v>생성 시각</x:v>
      </x:c>
      <x:c r="D22" s="15" t="str">
        <x:v>timestamptz</x:v>
      </x:c>
      <x:c r="E22" s="15"/>
      <x:c r="F22" s="15"/>
      <x:c r="G22" s="15" t="str">
        <x:v>NOT NULL</x:v>
      </x:c>
      <x:c r="H22" s="15" t="str">
        <x:v>now()</x:v>
      </x:c>
      <x:c r="I22" s="15" t="str">
        <x:v>report_v1.report_assistant_turns의 생성 시각을 UTC 기준 시각으로 저장한다.</x:v>
      </x:c>
      <x:c r="J22" s="15"/>
      <x:c r="K22" s="15" t="str">
        <x:v>보안: INTERNAL</x:v>
      </x:c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>
      <x:c r="A24" s="58" t="str">
        <x:v>no</x:v>
      </x:c>
      <x:c r="B24" s="58" t="str">
        <x:v>Index name</x:v>
      </x:c>
      <x:c r="C24" s="58"/>
      <x:c r="D24" s="58" t="str">
        <x:v>Index type</x:v>
      </x:c>
      <x:c r="E24" s="58"/>
      <x:c r="F24" s="58" t="str">
        <x:v>Unique</x:v>
      </x:c>
      <x:c r="G24" s="58"/>
      <x:c r="H24" s="58" t="str">
        <x:v>구성 컬럼</x:v>
      </x:c>
      <x:c r="I24" s="58"/>
      <x:c r="J24" s="58"/>
      <x:c r="K24" s="58"/>
    </x:row>
    <x:row r="25">
      <x:c r="A25" s="15" t="n">
        <x:v>1</x:v>
      </x:c>
      <x:c r="B25" s="15" t="str">
        <x:v>report_assistant_turns_pkey</x:v>
      </x:c>
      <x:c r="C25" s="15"/>
      <x:c r="D25" s="15" t="str">
        <x:v>BTREE</x:v>
      </x:c>
      <x:c r="E25" s="15"/>
      <x:c r="F25" s="15" t="str">
        <x:v>Unique</x:v>
      </x:c>
      <x:c r="G25" s="15"/>
      <x:c r="H25" s="15" t="str">
        <x:v>assistant_request_id, turn_number</x:v>
      </x:c>
      <x:c r="I25" s="15"/>
      <x:c r="J25" s="15"/>
      <x:c r="K25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24:C24"/>
    <x:mergeCell ref="D24:E24"/>
    <x:mergeCell ref="F24:G24"/>
    <x:mergeCell ref="H24:K24"/>
    <x:mergeCell ref="B25:C25"/>
    <x:mergeCell ref="D25:E25"/>
    <x:mergeCell ref="F25:G25"/>
    <x:mergeCell ref="H25:K25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report_v1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report_block_runs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보고서 블록 실행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보고서 실행별 블록 결과의 Artifact·Query·checksum·상태를 추가 전용으로 저장한다.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run_id</x:v>
      </x:c>
      <x:c r="C17" s="15" t="str">
        <x:v>보고서 실행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/>
      <x:c r="I17" s="15" t="str">
        <x:v>상위 실행</x:v>
      </x:c>
      <x:c r="J17" s="15" t="str">
        <x:v>물리 FK | report_v1.report_runs.run_id</x:v>
      </x:c>
      <x:c r="K17" s="15" t="str">
        <x:v>INTERNAL</x:v>
      </x:c>
    </x:row>
    <x:row r="18" ht="44" customHeight="1">
      <x:c r="A18" s="15" t="n">
        <x:v>2</x:v>
      </x:c>
      <x:c r="B18" s="15" t="str">
        <x:v>block_id</x:v>
      </x:c>
      <x:c r="C18" s="15" t="str">
        <x:v>블록 ID</x:v>
      </x:c>
      <x:c r="D18" s="15" t="str">
        <x:v>uuid</x:v>
      </x:c>
      <x:c r="E18" s="15"/>
      <x:c r="F18" s="15" t="str">
        <x:v>PK</x:v>
      </x:c>
      <x:c r="G18" s="15" t="str">
        <x:v>NOT NULL</x:v>
      </x:c>
      <x:c r="H18" s="15"/>
      <x:c r="I18" s="15" t="str">
        <x:v>실행한 블록 식별자</x:v>
      </x:c>
      <x:c r="J18" s="15" t="str">
        <x:v>정의 버전과 애플리케이션에서 대조</x:v>
      </x:c>
      <x:c r="K18" s="15" t="str">
        <x:v>INTERNAL</x:v>
      </x:c>
    </x:row>
    <x:row r="19" ht="44" customHeight="1">
      <x:c r="A19" s="15" t="n">
        <x:v>3</x:v>
      </x:c>
      <x:c r="B19" s="15" t="str">
        <x:v>artifact_id</x:v>
      </x:c>
      <x:c r="C19" s="15" t="str">
        <x:v>Artifact ID</x:v>
      </x:c>
      <x:c r="D19" s="15" t="str">
        <x:v>uuid</x:v>
      </x:c>
      <x:c r="E19" s="15"/>
      <x:c r="F19" s="15"/>
      <x:c r="G19" s="15"/>
      <x:c r="H19" s="15"/>
      <x:c r="I19" s="15" t="str">
        <x:v>G3 통과 결과 Artifact</x:v>
      </x:c>
      <x:c r="J19" s="15" t="str">
        <x:v>CHECK | CHECK (status::text = 'success'::text AND request_id IS NOT NULL AND artifact_id IS NOT NULL AND query_id IS NOT NULL AND snapshot_checksum IS NOT NULL AND failure_code IS NULL AND failure_message IS NULL OR status::text = 'partial'::text AND request_id IS NOT NULL AND artifact_id IS NOT NULL AND query_id IS NOT NULL AND snapshot_checksum IS NOT NULL OR (status::text = ANY (ARRAY['failed'::character varying, 'cancelled'::character varying]::text[])) AND failure_code IS NOT NULL AND failure_message IS NOT NULL)</x:v>
      </x:c>
      <x:c r="K19" s="15" t="str">
        <x:v>INTERNAL</x:v>
      </x:c>
    </x:row>
    <x:row r="20" ht="44" customHeight="1">
      <x:c r="A20" s="15" t="n">
        <x:v>4</x:v>
      </x:c>
      <x:c r="B20" s="15" t="str">
        <x:v>query_id</x:v>
      </x:c>
      <x:c r="C20" s="15" t="str">
        <x:v>Query ID</x:v>
      </x:c>
      <x:c r="D20" s="15" t="str">
        <x:v>text</x:v>
      </x:c>
      <x:c r="E20" s="15"/>
      <x:c r="F20" s="15"/>
      <x:c r="G20" s="15"/>
      <x:c r="H20" s="15"/>
      <x:c r="I20" s="15" t="str">
        <x:v>Trino 또는 실행 query ID</x:v>
      </x:c>
      <x:c r="J20" s="15" t="str">
        <x:v>CHECK | CHECK (status::text = 'success'::text AND request_id IS NOT NULL AND artifact_id IS NOT NULL AND query_id IS NOT NULL AND snapshot_checksum IS NOT NULL AND failure_code IS NULL AND failure_message IS NULL OR status::text = 'partial'::text AND request_id IS NOT NULL AND artifact_id IS NOT NULL AND query_id IS NOT NULL AND snapshot_checksum IS NOT NULL OR (status::text = ANY (ARRAY['failed'::character varying, 'cancelled'::character varying]::text[])) AND failure_code IS NOT NULL AND failure_message IS NOT NULL)</x:v>
      </x:c>
      <x:c r="K20" s="15" t="str">
        <x:v>INTERNAL</x:v>
      </x:c>
    </x:row>
    <x:row r="21" ht="44" customHeight="1">
      <x:c r="A21" s="15" t="n">
        <x:v>5</x:v>
      </x:c>
      <x:c r="B21" s="15" t="str">
        <x:v>snapshot_checksum</x:v>
      </x:c>
      <x:c r="C21" s="15" t="str">
        <x:v>결과 checksum</x:v>
      </x:c>
      <x:c r="D21" s="15" t="str">
        <x:v>text</x:v>
      </x:c>
      <x:c r="E21" s="15"/>
      <x:c r="F21" s="15"/>
      <x:c r="G21" s="15"/>
      <x:c r="H21" s="15"/>
      <x:c r="I21" s="15" t="str">
        <x:v>표시 결과 무결성 checksum</x:v>
      </x:c>
      <x:c r="J21" s="15" t="str">
        <x:v>CHECK | CHECK (status::text = 'success'::text AND request_id IS NOT NULL AND artifact_id IS NOT NULL AND query_id IS NOT NULL AND snapshot_checksum IS NOT NULL AND failure_code IS NULL AND failure_message IS NULL OR status::text = 'partial'::text AND request_id IS NOT NULL AND artifact_id IS NOT NULL AND query_id IS NOT NULL AND snapshot_checksum IS NOT NULL OR (status::text = ANY (ARRAY['failed'::character varying, 'cancelled'::character varying]::text[])) AND failure_code IS NOT NULL AND failure_message IS NOT NULL)</x:v>
      </x:c>
      <x:c r="K21" s="15" t="str">
        <x:v>INTERNAL</x:v>
      </x:c>
    </x:row>
    <x:row r="22" ht="44" customHeight="1">
      <x:c r="A22" s="15" t="n">
        <x:v>6</x:v>
      </x:c>
      <x:c r="B22" s="15" t="str">
        <x:v>status</x:v>
      </x:c>
      <x:c r="C22" s="15" t="str">
        <x:v>상태</x:v>
      </x:c>
      <x:c r="D22" s="15" t="str">
        <x:v>varchar</x:v>
      </x:c>
      <x:c r="E22" s="15" t="n">
        <x:v>16</x:v>
      </x:c>
      <x:c r="F22" s="15"/>
      <x:c r="G22" s="15" t="str">
        <x:v>NOT NULL</x:v>
      </x:c>
      <x:c r="H22" s="15"/>
      <x:c r="I22" s="15" t="str">
        <x:v>success/partial/failed/cancelled</x:v>
      </x:c>
      <x:c r="J22" s="15" t="str">
        <x:v>CHECK | CHECK (status::text = 'success'::text AND request_id IS NOT NULL AND artifact_id IS NOT NULL AND query_id IS NOT NULL AND snapshot_checksum IS NOT NULL AND failure_code IS NULL AND failure_message IS NULL OR status::text = 'partial'::text AND request_id IS NOT NULL AND artifact_id IS NOT NULL AND query_id IS NOT NULL AND snapshot_checksum IS NOT NULL OR (status::text = ANY (ARRAY['failed'::character varying, 'cancelled'::character varying]::text[])) AND failure_code IS NOT NULL AND failure_message IS NOT NULL)</x:v>
      </x:c>
      <x:c r="K22" s="15" t="str">
        <x:v>INTERNAL</x:v>
      </x:c>
    </x:row>
    <x:row r="23" ht="44" customHeight="1">
      <x:c r="A23" s="15" t="n">
        <x:v>7</x:v>
      </x:c>
      <x:c r="B23" s="15" t="str">
        <x:v>request_id</x:v>
      </x:c>
      <x:c r="C23" s="15" t="str">
        <x:v>요청 ID</x:v>
      </x:c>
      <x:c r="D23" s="15" t="str">
        <x:v>uuid</x:v>
      </x:c>
      <x:c r="E23" s="15"/>
      <x:c r="F23" s="15" t="str">
        <x:v>FK</x:v>
      </x:c>
      <x:c r="G23" s="15"/>
      <x:c r="H23" s="15"/>
      <x:c r="I23" s="15" t="str">
        <x:v>chat.analysis_requests.request_id를 참조해 report_v1.report_block_runs의 요청 ID 관계를 연결한다.</x:v>
      </x:c>
      <x:c r="J23" s="15" t="str">
        <x:v>물리 FK | chat.analysis_requests.request_id</x:v>
      </x:c>
      <x:c r="K23" s="15" t="str">
        <x:v>보안: INTERNAL</x:v>
      </x:c>
    </x:row>
    <x:row r="24" ht="44" customHeight="1">
      <x:c r="A24" s="15" t="n">
        <x:v>8</x:v>
      </x:c>
      <x:c r="B24" s="15" t="str">
        <x:v>policy_version</x:v>
      </x:c>
      <x:c r="C24" s="15" t="str">
        <x:v>정책 버전</x:v>
      </x:c>
      <x:c r="D24" s="15" t="str">
        <x:v>text</x:v>
      </x:c>
      <x:c r="E24" s="15"/>
      <x:c r="F24" s="15"/>
      <x:c r="G24" s="15"/>
      <x:c r="H24" s="15"/>
      <x:c r="I24" s="15" t="str">
        <x:v>report_v1.report_block_runs에서 정책 버전 값을 저장한다.</x:v>
      </x:c>
      <x:c r="J24" s="15"/>
      <x:c r="K24" s="15" t="str">
        <x:v>보안: INTERNAL</x:v>
      </x:c>
    </x:row>
    <x:row r="25" ht="44" customHeight="1">
      <x:c r="A25" s="15" t="n">
        <x:v>9</x:v>
      </x:c>
      <x:c r="B25" s="15" t="str">
        <x:v>failure_code</x:v>
      </x:c>
      <x:c r="C25" s="15" t="str">
        <x:v>failure 코드</x:v>
      </x:c>
      <x:c r="D25" s="15" t="str">
        <x:v>varchar</x:v>
      </x:c>
      <x:c r="E25" s="15" t="n">
        <x:v>64</x:v>
      </x:c>
      <x:c r="F25" s="15"/>
      <x:c r="G25" s="15"/>
      <x:c r="H25" s="15"/>
      <x:c r="I25" s="15" t="str">
        <x:v>report_v1.report_block_runs에서 failure 코드 값을 저장한다.</x:v>
      </x:c>
      <x:c r="J25" s="15" t="str">
        <x:v>CHECK | CHECK (status::text = 'success'::text AND request_id IS NOT NULL AND artifact_id IS NOT NULL AND query_id IS NOT NULL AND snapshot_checksum IS NOT NULL AND failure_code IS NULL AND failure_message IS NULL OR status::text = 'partial'::text AND request_id IS NOT NULL AND artifact_id IS NOT NULL AND query_id IS NOT NULL AND snapshot_checksum IS NOT NULL OR (status::text = ANY (ARRAY['failed'::character varying, 'cancelled'::character varying]::text[])) AND failure_code IS NOT NULL AND failure_message IS NOT NULL)</x:v>
      </x:c>
      <x:c r="K25" s="15" t="str">
        <x:v>보안: INTERNAL</x:v>
      </x:c>
    </x:row>
    <x:row r="26" ht="44" customHeight="1">
      <x:c r="A26" s="15" t="n">
        <x:v>10</x:v>
      </x:c>
      <x:c r="B26" s="15" t="str">
        <x:v>failure_message</x:v>
      </x:c>
      <x:c r="C26" s="15" t="str">
        <x:v>failure 메시지</x:v>
      </x:c>
      <x:c r="D26" s="15" t="str">
        <x:v>varchar</x:v>
      </x:c>
      <x:c r="E26" s="15" t="n">
        <x:v>300</x:v>
      </x:c>
      <x:c r="F26" s="15"/>
      <x:c r="G26" s="15"/>
      <x:c r="H26" s="15"/>
      <x:c r="I26" s="15" t="str">
        <x:v>report_v1.report_block_runs에서 failure 메시지 값을 저장한다.</x:v>
      </x:c>
      <x:c r="J26" s="15" t="str">
        <x:v>CHECK | CHECK (status::text = 'success'::text AND request_id IS NOT NULL AND artifact_id IS NOT NULL AND query_id IS NOT NULL AND snapshot_checksum IS NOT NULL AND failure_code IS NULL AND failure_message IS NULL OR status::text = 'partial'::text AND request_id IS NOT NULL AND artifact_id IS NOT NULL AND query_id IS NOT NULL AND snapshot_checksum IS NOT NULL OR (status::text = ANY (ARRAY['failed'::character varying, 'cancelled'::character varying]::text[])) AND failure_code IS NOT NULL AND failure_message IS NOT NULL)</x:v>
      </x:c>
      <x:c r="K26" s="15" t="str">
        <x:v>보안: INTERNAL</x:v>
      </x:c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>
      <x:c r="A28" s="58" t="str">
        <x:v>no</x:v>
      </x:c>
      <x:c r="B28" s="58" t="str">
        <x:v>Index name</x:v>
      </x:c>
      <x:c r="C28" s="58"/>
      <x:c r="D28" s="58" t="str">
        <x:v>Index type</x:v>
      </x:c>
      <x:c r="E28" s="58"/>
      <x:c r="F28" s="58" t="str">
        <x:v>Unique</x:v>
      </x:c>
      <x:c r="G28" s="58"/>
      <x:c r="H28" s="58" t="str">
        <x:v>구성 컬럼</x:v>
      </x:c>
      <x:c r="I28" s="58"/>
      <x:c r="J28" s="58"/>
      <x:c r="K28" s="58"/>
    </x:row>
    <x:row r="29">
      <x:c r="A29" s="15" t="n">
        <x:v>1</x:v>
      </x:c>
      <x:c r="B29" s="15" t="str">
        <x:v>report_block_runs_pkey</x:v>
      </x:c>
      <x:c r="C29" s="15"/>
      <x:c r="D29" s="15" t="str">
        <x:v>BTREE</x:v>
      </x:c>
      <x:c r="E29" s="15"/>
      <x:c r="F29" s="15" t="str">
        <x:v>Unique</x:v>
      </x:c>
      <x:c r="G29" s="15"/>
      <x:c r="H29" s="15" t="str">
        <x:v>run_id, block_id</x:v>
      </x:c>
      <x:c r="I29" s="15"/>
      <x:c r="J29" s="15"/>
      <x:c r="K29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28:C28"/>
    <x:mergeCell ref="D28:E28"/>
    <x:mergeCell ref="F28:G28"/>
    <x:mergeCell ref="H28:K28"/>
    <x:mergeCell ref="B29:C29"/>
    <x:mergeCell ref="D29:E29"/>
    <x:mergeCell ref="F29:G29"/>
    <x:mergeCell ref="H29:K29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report_v1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report_blocks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보고서 블록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보고서 정의 버전에 속한 table·chart·text 블록과 12열 레이아웃을 저장한다. 승인 버전의 블록 변경은 trigger로 차단한다.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definition_id</x:v>
      </x:c>
      <x:c r="C17" s="15" t="str">
        <x:v>보고서 정의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/>
      <x:c r="I17" s="15" t="str">
        <x:v>상위 정의</x:v>
      </x:c>
      <x:c r="J17" s="15" t="str">
        <x:v>물리 FK | report_v1.report_definition_versions.definition_id</x:v>
      </x:c>
      <x:c r="K17" s="15" t="str">
        <x:v>INTERNAL</x:v>
      </x:c>
    </x:row>
    <x:row r="18" ht="44" customHeight="1">
      <x:c r="A18" s="15" t="n">
        <x:v>2</x:v>
      </x:c>
      <x:c r="B18" s="15" t="str">
        <x:v>definition_version</x:v>
      </x:c>
      <x:c r="C18" s="15" t="str">
        <x:v>정의 버전</x:v>
      </x:c>
      <x:c r="D18" s="15" t="str">
        <x:v>integer</x:v>
      </x:c>
      <x:c r="E18" s="15"/>
      <x:c r="F18" s="15" t="str">
        <x:v>PK</x:v>
      </x:c>
      <x:c r="G18" s="15" t="str">
        <x:v>NOT NULL</x:v>
      </x:c>
      <x:c r="H18" s="15"/>
      <x:c r="I18" s="15" t="str">
        <x:v>상위 정의 버전</x:v>
      </x:c>
      <x:c r="J18" s="15" t="str">
        <x:v>물리 FK | report_v1.report_definition_versions.version</x:v>
      </x:c>
      <x:c r="K18" s="15" t="str">
        <x:v>INTERNAL</x:v>
      </x:c>
    </x:row>
    <x:row r="19" ht="44" customHeight="1">
      <x:c r="A19" s="15" t="n">
        <x:v>3</x:v>
      </x:c>
      <x:c r="B19" s="15" t="str">
        <x:v>block_id</x:v>
      </x:c>
      <x:c r="C19" s="15" t="str">
        <x:v>블록 ID</x:v>
      </x:c>
      <x:c r="D19" s="15" t="str">
        <x:v>uuid</x:v>
      </x:c>
      <x:c r="E19" s="15"/>
      <x:c r="F19" s="15" t="str">
        <x:v>PK</x:v>
      </x:c>
      <x:c r="G19" s="15" t="str">
        <x:v>NOT NULL</x:v>
      </x:c>
      <x:c r="H19" s="15"/>
      <x:c r="I19" s="15" t="str">
        <x:v>버전 내 블록 식별자</x:v>
      </x:c>
      <x:c r="J19" s="15" t="str">
        <x:v>복합 PK</x:v>
      </x:c>
      <x:c r="K19" s="15" t="str">
        <x:v>INTERNAL</x:v>
      </x:c>
    </x:row>
    <x:row r="20" ht="44" customHeight="1">
      <x:c r="A20" s="15" t="n">
        <x:v>4</x:v>
      </x:c>
      <x:c r="B20" s="15" t="str">
        <x:v>title</x:v>
      </x:c>
      <x:c r="C20" s="15" t="str">
        <x:v>블록 제목</x:v>
      </x:c>
      <x:c r="D20" s="15" t="str">
        <x:v>text</x:v>
      </x:c>
      <x:c r="E20" s="15"/>
      <x:c r="F20" s="15"/>
      <x:c r="G20" s="15" t="str">
        <x:v>NOT NULL</x:v>
      </x:c>
      <x:c r="H20" s="15"/>
      <x:c r="I20" s="15" t="str">
        <x:v>표시 제목</x:v>
      </x:c>
      <x:c r="J20" s="15"/>
      <x:c r="K20" s="15" t="str">
        <x:v>INTERNAL</x:v>
      </x:c>
    </x:row>
    <x:row r="21" ht="44" customHeight="1">
      <x:c r="A21" s="15" t="n">
        <x:v>5</x:v>
      </x:c>
      <x:c r="B21" s="15" t="str">
        <x:v>artifact_id</x:v>
      </x:c>
      <x:c r="C21" s="15" t="str">
        <x:v>Artifact ID</x:v>
      </x:c>
      <x:c r="D21" s="15" t="str">
        <x:v>uuid</x:v>
      </x:c>
      <x:c r="E21" s="15"/>
      <x:c r="F21" s="15"/>
      <x:c r="G21" s="15"/>
      <x:c r="H21" s="15"/>
      <x:c r="I21" s="15" t="str">
        <x:v>table/chart 원본 Artifact</x:v>
      </x:c>
      <x:c r="J21" s="15" t="str">
        <x:v>CHECK | CHECK ((block_type::text = ANY (ARRAY['table'::character varying, 'chart'::character varying, 'artifact'::character varying]::text[])) AND artifact_id IS NOT NULL OR block_type::text = 'text'::text AND btrim(content) &lt;&gt; ''::text)</x:v>
      </x:c>
      <x:c r="K21" s="15" t="str">
        <x:v>INTERNAL</x:v>
      </x:c>
    </x:row>
    <x:row r="22" ht="44" customHeight="1">
      <x:c r="A22" s="15" t="n">
        <x:v>6</x:v>
      </x:c>
      <x:c r="B22" s="15" t="str">
        <x:v>query_id</x:v>
      </x:c>
      <x:c r="C22" s="15" t="str">
        <x:v>Query ID</x:v>
      </x:c>
      <x:c r="D22" s="15" t="str">
        <x:v>text</x:v>
      </x:c>
      <x:c r="E22" s="15"/>
      <x:c r="F22" s="15"/>
      <x:c r="G22" s="15"/>
      <x:c r="H22" s="15"/>
      <x:c r="I22" s="15" t="str">
        <x:v>연결 query 식별자</x:v>
      </x:c>
      <x:c r="J22" s="15"/>
      <x:c r="K22" s="15" t="str">
        <x:v>INTERNAL</x:v>
      </x:c>
    </x:row>
    <x:row r="23" ht="44" customHeight="1">
      <x:c r="A23" s="15" t="n">
        <x:v>7</x:v>
      </x:c>
      <x:c r="B23" s="15" t="str">
        <x:v>columns</x:v>
      </x:c>
      <x:c r="C23" s="15" t="str">
        <x:v>열 수</x:v>
      </x:c>
      <x:c r="D23" s="15" t="str">
        <x:v>smallint</x:v>
      </x:c>
      <x:c r="E23" s="15"/>
      <x:c r="F23" s="15"/>
      <x:c r="G23" s="15" t="str">
        <x:v>NOT NULL</x:v>
      </x:c>
      <x:c r="H23" s="15"/>
      <x:c r="I23" s="15" t="str">
        <x:v>w와 동일한 1~12 값</x:v>
      </x:c>
      <x:c r="J23" s="15" t="str">
        <x:v>CHECK | CHECK (columns = w AND x &gt;= 0 AND y &gt;= 0 AND w &gt;= 1 AND w &lt;= 12 AND h &gt; 0 AND (x + w) &lt;= 12)</x:v>
      </x:c>
      <x:c r="K23" s="15" t="str">
        <x:v>POLICY</x:v>
      </x:c>
    </x:row>
    <x:row r="24" ht="44" customHeight="1">
      <x:c r="A24" s="15" t="n">
        <x:v>8</x:v>
      </x:c>
      <x:c r="B24" s="15" t="str">
        <x:v>block_type</x:v>
      </x:c>
      <x:c r="C24" s="15" t="str">
        <x:v>블록 유형</x:v>
      </x:c>
      <x:c r="D24" s="15" t="str">
        <x:v>varchar</x:v>
      </x:c>
      <x:c r="E24" s="15" t="n">
        <x:v>16</x:v>
      </x:c>
      <x:c r="F24" s="15"/>
      <x:c r="G24" s="15" t="str">
        <x:v>NOT NULL</x:v>
      </x:c>
      <x:c r="H24" s="15"/>
      <x:c r="I24" s="15" t="str">
        <x:v>table, chart, text</x:v>
      </x:c>
      <x:c r="J24" s="15" t="str">
        <x:v>CHECK | CHECK ((block_type::text = ANY (ARRAY['table'::character varying, 'chart'::character varying, 'artifact'::character varying]::text[])) AND artifact_id IS NOT NULL OR block_type::text = 'text'::text AND btrim(content) &lt;&gt; ''::text)</x:v>
      </x:c>
      <x:c r="K24" s="15" t="str">
        <x:v>INTERNAL</x:v>
      </x:c>
    </x:row>
    <x:row r="25" ht="44" customHeight="1">
      <x:c r="A25" s="15" t="n">
        <x:v>9</x:v>
      </x:c>
      <x:c r="B25" s="15" t="str">
        <x:v>x</x:v>
      </x:c>
      <x:c r="C25" s="15" t="str">
        <x:v>X 위치</x:v>
      </x:c>
      <x:c r="D25" s="15" t="str">
        <x:v>smallint</x:v>
      </x:c>
      <x:c r="E25" s="15"/>
      <x:c r="F25" s="15"/>
      <x:c r="G25" s="15" t="str">
        <x:v>NOT NULL</x:v>
      </x:c>
      <x:c r="H25" s="15"/>
      <x:c r="I25" s="15" t="str">
        <x:v>0 이상 시작 열</x:v>
      </x:c>
      <x:c r="J25" s="15" t="str">
        <x:v>CHECK | CHECK ((block_type::text = ANY (ARRAY['table'::character varying, 'chart'::character varying, 'artifact'::character varying]::text[])) AND artifact_id IS NOT NULL OR block_type::text = 'text'::text AND btrim(content) &lt;&gt; ''::text)</x:v>
      </x:c>
      <x:c r="K25" s="15" t="str">
        <x:v>INTERNAL</x:v>
      </x:c>
    </x:row>
    <x:row r="26" ht="44" customHeight="1">
      <x:c r="A26" s="15" t="n">
        <x:v>10</x:v>
      </x:c>
      <x:c r="B26" s="15" t="str">
        <x:v>y</x:v>
      </x:c>
      <x:c r="C26" s="15" t="str">
        <x:v>Y 위치</x:v>
      </x:c>
      <x:c r="D26" s="15" t="str">
        <x:v>smallint</x:v>
      </x:c>
      <x:c r="E26" s="15"/>
      <x:c r="F26" s="15"/>
      <x:c r="G26" s="15" t="str">
        <x:v>NOT NULL</x:v>
      </x:c>
      <x:c r="H26" s="15"/>
      <x:c r="I26" s="15" t="str">
        <x:v>0 이상 행 위치</x:v>
      </x:c>
      <x:c r="J26" s="15" t="str">
        <x:v>CHECK | CHECK ((block_type::text = ANY (ARRAY['table'::character varying, 'chart'::character varying, 'artifact'::character varying]::text[])) AND artifact_id IS NOT NULL OR block_type::text = 'text'::text AND btrim(content) &lt;&gt; ''::text)</x:v>
      </x:c>
      <x:c r="K26" s="15" t="str">
        <x:v>INTERNAL</x:v>
      </x:c>
    </x:row>
    <x:row r="27" ht="44" customHeight="1">
      <x:c r="A27" s="15" t="n">
        <x:v>11</x:v>
      </x:c>
      <x:c r="B27" s="15" t="str">
        <x:v>w</x:v>
      </x:c>
      <x:c r="C27" s="15" t="str">
        <x:v>너비</x:v>
      </x:c>
      <x:c r="D27" s="15" t="str">
        <x:v>smallint</x:v>
      </x:c>
      <x:c r="E27" s="15"/>
      <x:c r="F27" s="15"/>
      <x:c r="G27" s="15" t="str">
        <x:v>NOT NULL</x:v>
      </x:c>
      <x:c r="H27" s="15"/>
      <x:c r="I27" s="15" t="str">
        <x:v>1~12, x+w&lt;=12</x:v>
      </x:c>
      <x:c r="J27" s="15" t="str">
        <x:v>CHECK | CHECK (columns = w AND x &gt;= 0 AND y &gt;= 0 AND w &gt;= 1 AND w &lt;= 12 AND h &gt; 0 AND (x + w) &lt;= 12)</x:v>
      </x:c>
      <x:c r="K27" s="15" t="str">
        <x:v>INTERNAL</x:v>
      </x:c>
    </x:row>
    <x:row r="28" ht="44" customHeight="1">
      <x:c r="A28" s="15" t="n">
        <x:v>12</x:v>
      </x:c>
      <x:c r="B28" s="15" t="str">
        <x:v>h</x:v>
      </x:c>
      <x:c r="C28" s="15" t="str">
        <x:v>높이</x:v>
      </x:c>
      <x:c r="D28" s="15" t="str">
        <x:v>smallint</x:v>
      </x:c>
      <x:c r="E28" s="15"/>
      <x:c r="F28" s="15"/>
      <x:c r="G28" s="15" t="str">
        <x:v>NOT NULL</x:v>
      </x:c>
      <x:c r="H28" s="15"/>
      <x:c r="I28" s="15" t="str">
        <x:v>1 이상</x:v>
      </x:c>
      <x:c r="J28" s="15" t="str">
        <x:v>CHECK | CHECK ((block_type::text = ANY (ARRAY['table'::character varying, 'chart'::character varying, 'artifact'::character varying]::text[])) AND artifact_id IS NOT NULL OR block_type::text = 'text'::text AND btrim(content) &lt;&gt; ''::text)</x:v>
      </x:c>
      <x:c r="K28" s="15" t="str">
        <x:v>INTERNAL</x:v>
      </x:c>
    </x:row>
    <x:row r="29" ht="44" customHeight="1">
      <x:c r="A29" s="15" t="n">
        <x:v>13</x:v>
      </x:c>
      <x:c r="B29" s="15" t="str">
        <x:v>content</x:v>
      </x:c>
      <x:c r="C29" s="15" t="str">
        <x:v>텍스트 내용</x:v>
      </x:c>
      <x:c r="D29" s="15" t="str">
        <x:v>text</x:v>
      </x:c>
      <x:c r="E29" s="15"/>
      <x:c r="F29" s="15"/>
      <x:c r="G29" s="15" t="str">
        <x:v>NOT NULL</x:v>
      </x:c>
      <x:c r="H29" s="15" t="str">
        <x:v>''::text</x:v>
      </x:c>
      <x:c r="I29" s="15" t="str">
        <x:v>text 블록의 공백이 아닌 내용</x:v>
      </x:c>
      <x:c r="J29" s="15" t="str">
        <x:v>CHECK | CHECK ((block_type::text = ANY (ARRAY['table'::character varying, 'chart'::character varying, 'artifact'::character varying]::text[])) AND artifact_id IS NOT NULL OR block_type::text = 'text'::text AND btrim(content) &lt;&gt; ''::text)</x:v>
      </x:c>
      <x:c r="K29" s="15" t="str">
        <x:v>CONFIDENTIAL</x:v>
      </x:c>
    </x:row>
    <x:row r="30" ht="44" customHeight="1">
      <x:c r="A30" s="15" t="n">
        <x:v>14</x:v>
      </x:c>
      <x:c r="B30" s="15" t="str">
        <x:v>analysis_definition_id</x:v>
      </x:c>
      <x:c r="C30" s="15" t="str">
        <x:v>분석 정의 ID</x:v>
      </x:c>
      <x:c r="D30" s="15" t="str">
        <x:v>uuid</x:v>
      </x:c>
      <x:c r="E30" s="15"/>
      <x:c r="F30" s="15" t="str">
        <x:v>FK</x:v>
      </x:c>
      <x:c r="G30" s="15"/>
      <x:c r="H30" s="15"/>
      <x:c r="I30" s="15" t="str">
        <x:v>analysis_v1.analysis_definitions.definition_id를 참조해 report_v1.report_blocks의 분석 정의 ID 관계를 연결한다.</x:v>
      </x:c>
      <x:c r="J30" s="15" t="str">
        <x:v>물리 FK | analysis_v1.analysis_definitions.definition_id</x:v>
      </x:c>
      <x:c r="K30" s="15" t="str">
        <x:v>보안: INTERNAL</x:v>
      </x:c>
    </x:row>
    <x:row r="31" ht="44" customHeight="1">
      <x:c r="A31" s="15" t="n">
        <x:v>15</x:v>
      </x:c>
      <x:c r="B31" s="15" t="str">
        <x:v>analysis_definition_version</x:v>
      </x:c>
      <x:c r="C31" s="15" t="str">
        <x:v>분석 정의 버전</x:v>
      </x:c>
      <x:c r="D31" s="15" t="str">
        <x:v>integer</x:v>
      </x:c>
      <x:c r="E31" s="15"/>
      <x:c r="F31" s="15" t="str">
        <x:v>FK</x:v>
      </x:c>
      <x:c r="G31" s="15"/>
      <x:c r="H31" s="15"/>
      <x:c r="I31" s="15" t="str">
        <x:v>analysis_v1.analysis_definitions.version를 참조해 report_v1.report_blocks의 분석 정의 버전 관계를 연결한다.</x:v>
      </x:c>
      <x:c r="J31" s="15" t="str">
        <x:v>물리 FK | analysis_v1.analysis_definitions.version</x:v>
      </x:c>
      <x:c r="K31" s="15" t="str">
        <x:v>보안: INTERNAL</x:v>
      </x:c>
    </x:row>
    <x:row r="32" ht="44" customHeight="1">
      <x:c r="A32" s="15" t="n">
        <x:v>16</x:v>
      </x:c>
      <x:c r="B32" s="15" t="str">
        <x:v>view_spec_id</x:v>
      </x:c>
      <x:c r="C32" s="15" t="str">
        <x:v>view spec ID</x:v>
      </x:c>
      <x:c r="D32" s="15" t="str">
        <x:v>uuid</x:v>
      </x:c>
      <x:c r="E32" s="15"/>
      <x:c r="F32" s="15" t="str">
        <x:v>FK</x:v>
      </x:c>
      <x:c r="G32" s="15"/>
      <x:c r="H32" s="15"/>
      <x:c r="I32" s="15" t="str">
        <x:v>artifact.view_specs.view_spec_id를 참조해 report_v1.report_blocks의 view spec ID 관계를 연결한다.</x:v>
      </x:c>
      <x:c r="J32" s="15" t="str">
        <x:v>물리 FK | artifact.view_specs.view_spec_id</x:v>
      </x:c>
      <x:c r="K32" s="15" t="str">
        <x:v>보안: INTERNAL</x:v>
      </x:c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  <x:row r="34">
      <x:c r="A34" s="58" t="str">
        <x:v>no</x:v>
      </x:c>
      <x:c r="B34" s="58" t="str">
        <x:v>Index name</x:v>
      </x:c>
      <x:c r="C34" s="58"/>
      <x:c r="D34" s="58" t="str">
        <x:v>Index type</x:v>
      </x:c>
      <x:c r="E34" s="58"/>
      <x:c r="F34" s="58" t="str">
        <x:v>Unique</x:v>
      </x:c>
      <x:c r="G34" s="58"/>
      <x:c r="H34" s="58" t="str">
        <x:v>구성 컬럼</x:v>
      </x:c>
      <x:c r="I34" s="58"/>
      <x:c r="J34" s="58"/>
      <x:c r="K34" s="58"/>
    </x:row>
    <x:row r="35">
      <x:c r="A35" s="15" t="n">
        <x:v>1</x:v>
      </x:c>
      <x:c r="B35" s="15" t="str">
        <x:v>report_blocks_pkey</x:v>
      </x:c>
      <x:c r="C35" s="15"/>
      <x:c r="D35" s="15" t="str">
        <x:v>BTREE</x:v>
      </x:c>
      <x:c r="E35" s="15"/>
      <x:c r="F35" s="15" t="str">
        <x:v>Unique</x:v>
      </x:c>
      <x:c r="G35" s="15"/>
      <x:c r="H35" s="15" t="str">
        <x:v>definition_id, definition_version, block_id</x:v>
      </x:c>
      <x:c r="I35" s="15"/>
      <x:c r="J35" s="15"/>
      <x:c r="K35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4:C34"/>
    <x:mergeCell ref="D34:E34"/>
    <x:mergeCell ref="F34:G34"/>
    <x:mergeCell ref="H34:K34"/>
    <x:mergeCell ref="B35:C35"/>
    <x:mergeCell ref="D35:E35"/>
    <x:mergeCell ref="F35:G35"/>
    <x:mergeCell ref="H35:K35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report_v1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report_definition_versions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보고서 정의 버전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보고서 제목과 승인 상태를 버전별로 저장한다. 승인된 버전은 trigger로 update/delete를 차단한다.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definition_id</x:v>
      </x:c>
      <x:c r="C17" s="15" t="str">
        <x:v>보고서 정의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/>
      <x:c r="I17" s="15" t="str">
        <x:v>상위 보고서 정의</x:v>
      </x:c>
      <x:c r="J17" s="15" t="str">
        <x:v>물리 FK | report_v1.report_definitions.definition_id</x:v>
      </x:c>
      <x:c r="K17" s="15" t="str">
        <x:v>INTERNAL</x:v>
      </x:c>
    </x:row>
    <x:row r="18" ht="44" customHeight="1">
      <x:c r="A18" s="15" t="n">
        <x:v>2</x:v>
      </x:c>
      <x:c r="B18" s="15" t="str">
        <x:v>version</x:v>
      </x:c>
      <x:c r="C18" s="15" t="str">
        <x:v>정의 버전</x:v>
      </x:c>
      <x:c r="D18" s="15" t="str">
        <x:v>integer</x:v>
      </x:c>
      <x:c r="E18" s="15"/>
      <x:c r="F18" s="15" t="str">
        <x:v>PK</x:v>
      </x:c>
      <x:c r="G18" s="15" t="str">
        <x:v>NOT NULL</x:v>
      </x:c>
      <x:c r="H18" s="15"/>
      <x:c r="I18" s="15" t="str">
        <x:v>1 이상인 버전</x:v>
      </x:c>
      <x:c r="J18" s="15" t="str">
        <x:v>CHECK | CHECK (version &gt;= 1)</x:v>
      </x:c>
      <x:c r="K18" s="15" t="str">
        <x:v>INTERNAL</x:v>
      </x:c>
    </x:row>
    <x:row r="19" ht="44" customHeight="1">
      <x:c r="A19" s="15" t="n">
        <x:v>3</x:v>
      </x:c>
      <x:c r="B19" s="15" t="str">
        <x:v>status</x:v>
      </x:c>
      <x:c r="C19" s="15" t="str">
        <x:v>상태</x:v>
      </x:c>
      <x:c r="D19" s="15" t="str">
        <x:v>varchar</x:v>
      </x:c>
      <x:c r="E19" s="15" t="n">
        <x:v>16</x:v>
      </x:c>
      <x:c r="F19" s="15"/>
      <x:c r="G19" s="15" t="str">
        <x:v>NOT NULL</x:v>
      </x:c>
      <x:c r="H19" s="15"/>
      <x:c r="I19" s="15" t="str">
        <x:v>draft 또는 approved</x:v>
      </x:c>
      <x:c r="J19" s="15" t="str">
        <x:v>CHECK | CHECK (status::text = 'approved'::text AND approved_at IS NOT NULL OR status::text = 'draft'::text AND approved_at IS NULL)</x:v>
      </x:c>
      <x:c r="K19" s="15" t="str">
        <x:v>INTERNAL</x:v>
      </x:c>
    </x:row>
    <x:row r="20" ht="44" customHeight="1">
      <x:c r="A20" s="15" t="n">
        <x:v>4</x:v>
      </x:c>
      <x:c r="B20" s="15" t="str">
        <x:v>title</x:v>
      </x:c>
      <x:c r="C20" s="15" t="str">
        <x:v>제목</x:v>
      </x:c>
      <x:c r="D20" s="15" t="str">
        <x:v>text</x:v>
      </x:c>
      <x:c r="E20" s="15"/>
      <x:c r="F20" s="15"/>
      <x:c r="G20" s="15" t="str">
        <x:v>NOT NULL</x:v>
      </x:c>
      <x:c r="H20" s="15"/>
      <x:c r="I20" s="15" t="str">
        <x:v>버전별 표시 제목</x:v>
      </x:c>
      <x:c r="J20" s="15"/>
      <x:c r="K20" s="15" t="str">
        <x:v>INTERNAL</x:v>
      </x:c>
    </x:row>
    <x:row r="21" ht="44" customHeight="1">
      <x:c r="A21" s="15" t="n">
        <x:v>5</x:v>
      </x:c>
      <x:c r="B21" s="15" t="str">
        <x:v>approved_at</x:v>
      </x:c>
      <x:c r="C21" s="15" t="str">
        <x:v>승인 시각</x:v>
      </x:c>
      <x:c r="D21" s="15" t="str">
        <x:v>timestamptz</x:v>
      </x:c>
      <x:c r="E21" s="15"/>
      <x:c r="F21" s="15"/>
      <x:c r="G21" s="15"/>
      <x:c r="H21" s="15"/>
      <x:c r="I21" s="15" t="str">
        <x:v>approved일 때 필수</x:v>
      </x:c>
      <x:c r="J21" s="15" t="str">
        <x:v>CHECK | CHECK (status::text = 'approved'::text AND approved_at IS NOT NULL OR status::text = 'draft'::text AND approved_at IS NULL)</x:v>
      </x:c>
      <x:c r="K21" s="15" t="str">
        <x:v>INTERNAL</x:v>
      </x:c>
    </x:row>
    <x:row r="22" ht="44" customHeight="1">
      <x:c r="A22" s="15" t="n">
        <x:v>6</x:v>
      </x:c>
      <x:c r="B22" s="15" t="str">
        <x:v>created_at</x:v>
      </x:c>
      <x:c r="C22" s="15" t="str">
        <x:v>생성 시각</x:v>
      </x:c>
      <x:c r="D22" s="15" t="str">
        <x:v>timestamptz</x:v>
      </x:c>
      <x:c r="E22" s="15"/>
      <x:c r="F22" s="15"/>
      <x:c r="G22" s="15" t="str">
        <x:v>NOT NULL</x:v>
      </x:c>
      <x:c r="H22" s="15" t="str">
        <x:v>now()</x:v>
      </x:c>
      <x:c r="I22" s="15" t="str">
        <x:v>버전 생성 시각</x:v>
      </x:c>
      <x:c r="J22" s="15"/>
      <x:c r="K22" s="15" t="str">
        <x:v>INTERNAL</x:v>
      </x:c>
    </x:row>
    <x:row r="23" ht="44" customHeight="1">
      <x:c r="A23" s="15" t="n">
        <x:v>7</x:v>
      </x:c>
      <x:c r="B23" s="15" t="str">
        <x:v>orientation</x:v>
      </x:c>
      <x:c r="C23" s="15" t="str">
        <x:v>orientation</x:v>
      </x:c>
      <x:c r="D23" s="15" t="str">
        <x:v>varchar</x:v>
      </x:c>
      <x:c r="E23" s="15" t="n">
        <x:v>16</x:v>
      </x:c>
      <x:c r="F23" s="15"/>
      <x:c r="G23" s="15" t="str">
        <x:v>NOT NULL</x:v>
      </x:c>
      <x:c r="H23" s="15" t="str">
        <x:v>'portrait'::character varying</x:v>
      </x:c>
      <x:c r="I23" s="15" t="str">
        <x:v>report_v1.report_definition_versions에서 orientation 값을 저장한다.</x:v>
      </x:c>
      <x:c r="J23" s="15" t="str">
        <x:v>CHECK | CHECK (orientation::text = ANY (ARRAY['portrait'::character varying, 'landscape'::character varying]::text[]))</x:v>
      </x:c>
      <x:c r="K23" s="15" t="str">
        <x:v>보안: INTERNAL</x:v>
      </x:c>
    </x:row>
    <x:row r="24" ht="44" customHeight="1">
      <x:c r="A24" s="15" t="n">
        <x:v>8</x:v>
      </x:c>
      <x:c r="B24" s="15" t="str">
        <x:v>currency_display_unit</x:v>
      </x:c>
      <x:c r="C24" s="15" t="str">
        <x:v>currency display unit</x:v>
      </x:c>
      <x:c r="D24" s="15" t="str">
        <x:v>varchar</x:v>
      </x:c>
      <x:c r="E24" s="15" t="n">
        <x:v>24</x:v>
      </x:c>
      <x:c r="F24" s="15"/>
      <x:c r="G24" s="15" t="str">
        <x:v>NOT NULL</x:v>
      </x:c>
      <x:c r="H24" s="15" t="str">
        <x:v>'auto'::character varying</x:v>
      </x:c>
      <x:c r="I24" s="15" t="str">
        <x:v>report_v1.report_definition_versions에서 currency display unit 값을 저장한다.</x:v>
      </x:c>
      <x:c r="J24" s="15" t="str">
        <x:v>CHECK | CHECK (currency_display_unit::text = ANY (ARRAY['auto'::character varying, 'one'::character varying, 'thousand'::character varying, 'million'::character varying, 'hundredMillion'::character varying, 'billion'::character varying]::text[]))</x:v>
      </x:c>
      <x:c r="K24" s="15" t="str">
        <x:v>보안: INTERNAL</x:v>
      </x:c>
    </x:row>
    <x:row r="25" ht="44" customHeight="1">
      <x:c r="A25" s="15" t="n">
        <x:v>9</x:v>
      </x:c>
      <x:c r="B25" s="15" t="str">
        <x:v>product_release_id</x:v>
      </x:c>
      <x:c r="C25" s="15" t="str">
        <x:v>product 릴리스 ID</x:v>
      </x:c>
      <x:c r="D25" s="15" t="str">
        <x:v>varchar</x:v>
      </x:c>
      <x:c r="E25" s="15" t="n">
        <x:v>160</x:v>
      </x:c>
      <x:c r="F25" s="15" t="str">
        <x:v>FK</x:v>
      </x:c>
      <x:c r="G25" s="15"/>
      <x:c r="H25" s="15"/>
      <x:c r="I25" s="15" t="str">
        <x:v>governance.product_release_manifests.product_release_id를 참조해 report_v1.report_definition_versions의 product 릴리스 ID 관계를 연결한다.</x:v>
      </x:c>
      <x:c r="J25" s="15" t="str">
        <x:v>물리 FK | governance.product_release_manifests.product_release_id</x:v>
      </x:c>
      <x:c r="K25" s="15" t="str">
        <x:v>보안: INTERNAL</x:v>
      </x:c>
    </x:row>
    <x:row r="26" ht="44" customHeight="1">
      <x:c r="A26" s="15" t="n">
        <x:v>10</x:v>
      </x:c>
      <x:c r="B26" s="15" t="str">
        <x:v>permission_snapshot_id</x:v>
      </x:c>
      <x:c r="C26" s="15" t="str">
        <x:v>permission snapshot ID</x:v>
      </x:c>
      <x:c r="D26" s="15" t="str">
        <x:v>varchar</x:v>
      </x:c>
      <x:c r="E26" s="15" t="n">
        <x:v>160</x:v>
      </x:c>
      <x:c r="F26" s="15"/>
      <x:c r="G26" s="15"/>
      <x:c r="H26" s="15"/>
      <x:c r="I26" s="15" t="str">
        <x:v>report_v1.report_definition_versions에서 permission snapshot ID 값을 저장한다.</x:v>
      </x:c>
      <x:c r="J26" s="15" t="str">
        <x:v>CHECK | CHECK (product_release_id IS NULL AND permission_snapshot_id IS NULL AND semantic_release_id IS NULL OR product_release_id IS NOT NULL AND permission_snapshot_id IS NOT NULL AND semantic_release_id IS NOT NULL) NOT VALID</x:v>
      </x:c>
      <x:c r="K26" s="15" t="str">
        <x:v>보안: INTERNAL</x:v>
      </x:c>
    </x:row>
    <x:row r="27" ht="44" customHeight="1">
      <x:c r="A27" s="15" t="n">
        <x:v>11</x:v>
      </x:c>
      <x:c r="B27" s="15" t="str">
        <x:v>semantic_release_id</x:v>
      </x:c>
      <x:c r="C27" s="15" t="str">
        <x:v>semantic 릴리스 ID</x:v>
      </x:c>
      <x:c r="D27" s="15" t="str">
        <x:v>varchar</x:v>
      </x:c>
      <x:c r="E27" s="15" t="n">
        <x:v>256</x:v>
      </x:c>
      <x:c r="F27" s="15"/>
      <x:c r="G27" s="15"/>
      <x:c r="H27" s="15"/>
      <x:c r="I27" s="15" t="str">
        <x:v>report_v1.report_definition_versions에서 semantic 릴리스 ID 값을 저장한다.</x:v>
      </x:c>
      <x:c r="J27" s="15" t="str">
        <x:v>CHECK | CHECK (product_release_id IS NULL AND permission_snapshot_id IS NULL AND semantic_release_id IS NULL OR product_release_id IS NOT NULL AND permission_snapshot_id IS NOT NULL AND semantic_release_id IS NOT NULL) NOT VALID</x:v>
      </x:c>
      <x:c r="K27" s="15" t="str">
        <x:v>보안: INTERNAL</x:v>
      </x:c>
    </x:row>
    <x:row r="28" ht="44" customHeight="1">
      <x:c r="A28" s="15" t="n">
        <x:v>12</x:v>
      </x:c>
      <x:c r="B28" s="15" t="str">
        <x:v>revision</x:v>
      </x:c>
      <x:c r="C28" s="15" t="str">
        <x:v>revision</x:v>
      </x:c>
      <x:c r="D28" s="15" t="str">
        <x:v>bigint</x:v>
      </x:c>
      <x:c r="E28" s="15"/>
      <x:c r="F28" s="15"/>
      <x:c r="G28" s="15" t="str">
        <x:v>NOT NULL</x:v>
      </x:c>
      <x:c r="H28" s="15" t="str">
        <x:v>1</x:v>
      </x:c>
      <x:c r="I28" s="15" t="str">
        <x:v>report_v1.report_definition_versions에서 revision 값을 저장한다.</x:v>
      </x:c>
      <x:c r="J28" s="15" t="str">
        <x:v>CHECK | CHECK (revision &gt; 0)</x:v>
      </x:c>
      <x:c r="K28" s="15" t="str">
        <x:v>보안: INTERNAL</x:v>
      </x:c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>
      <x:c r="A30" s="58" t="str">
        <x:v>no</x:v>
      </x:c>
      <x:c r="B30" s="58" t="str">
        <x:v>Index name</x:v>
      </x:c>
      <x:c r="C30" s="58"/>
      <x:c r="D30" s="58" t="str">
        <x:v>Index type</x:v>
      </x:c>
      <x:c r="E30" s="58"/>
      <x:c r="F30" s="58" t="str">
        <x:v>Unique</x:v>
      </x:c>
      <x:c r="G30" s="58"/>
      <x:c r="H30" s="58" t="str">
        <x:v>구성 컬럼</x:v>
      </x:c>
      <x:c r="I30" s="58"/>
      <x:c r="J30" s="58"/>
      <x:c r="K30" s="58"/>
    </x:row>
    <x:row r="31">
      <x:c r="A31" s="15" t="n">
        <x:v>1</x:v>
      </x:c>
      <x:c r="B31" s="15" t="str">
        <x:v>report_definition_versions_pkey</x:v>
      </x:c>
      <x:c r="C31" s="15"/>
      <x:c r="D31" s="15" t="str">
        <x:v>BTREE</x:v>
      </x:c>
      <x:c r="E31" s="15"/>
      <x:c r="F31" s="15" t="str">
        <x:v>Unique</x:v>
      </x:c>
      <x:c r="G31" s="15"/>
      <x:c r="H31" s="15" t="str">
        <x:v>definition_id, version</x:v>
      </x:c>
      <x:c r="I31" s="15"/>
      <x:c r="J31" s="15"/>
      <x:c r="K31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0:C30"/>
    <x:mergeCell ref="D30:E30"/>
    <x:mergeCell ref="F30:G30"/>
    <x:mergeCell ref="H30:K30"/>
    <x:mergeCell ref="B31:C31"/>
    <x:mergeCell ref="D31:E31"/>
    <x:mergeCell ref="F31:G31"/>
    <x:mergeCell ref="H31:K31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report_v1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report_definitions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보고서 정의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보고서의 안정 식별자와 소유자를 저장한다. 버전별 내용과 승인 상태는 report_definition_versions로 분리한다.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definition_id</x:v>
      </x:c>
      <x:c r="C17" s="15" t="str">
        <x:v>보고서 정의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/>
      <x:c r="I17" s="15" t="str">
        <x:v>보고서 안정 식별자</x:v>
      </x:c>
      <x:c r="J17" s="15" t="str">
        <x:v>참조됨: definition_versions</x:v>
      </x:c>
      <x:c r="K17" s="15" t="str">
        <x:v>INTERNAL</x:v>
      </x:c>
    </x:row>
    <x:row r="18" ht="44" customHeight="1">
      <x:c r="A18" s="15" t="n">
        <x:v>2</x:v>
      </x:c>
      <x:c r="B18" s="15" t="str">
        <x:v>owner_id</x:v>
      </x:c>
      <x:c r="C18" s="15" t="str">
        <x:v>소유자 ID</x:v>
      </x:c>
      <x:c r="D18" s="15" t="str">
        <x:v>uuid</x:v>
      </x:c>
      <x:c r="E18" s="15"/>
      <x:c r="F18" s="15"/>
      <x:c r="G18" s="15" t="str">
        <x:v>NOT NULL</x:v>
      </x:c>
      <x:c r="H18" s="15"/>
      <x:c r="I18" s="15" t="str">
        <x:v>인증 주체 내부 식별자</x:v>
      </x:c>
      <x:c r="J18" s="15" t="str">
        <x:v>사용자 디렉터리 논리 참조</x:v>
      </x:c>
      <x:c r="K18" s="15" t="str">
        <x:v>INTERNAL</x:v>
      </x:c>
    </x:row>
    <x:row r="19" ht="44" customHeight="1">
      <x:c r="A19" s="15" t="n">
        <x:v>3</x:v>
      </x:c>
      <x:c r="B19" s="15" t="str">
        <x:v>created_at</x:v>
      </x:c>
      <x:c r="C19" s="15" t="str">
        <x:v>생성 시각</x:v>
      </x:c>
      <x:c r="D19" s="15" t="str">
        <x:v>timestamptz</x:v>
      </x:c>
      <x:c r="E19" s="15"/>
      <x:c r="F19" s="15"/>
      <x:c r="G19" s="15" t="str">
        <x:v>NOT NULL</x:v>
      </x:c>
      <x:c r="H19" s="15" t="str">
        <x:v>now()</x:v>
      </x:c>
      <x:c r="I19" s="15" t="str">
        <x:v>보고서 정의 생성 시각</x:v>
      </x:c>
      <x:c r="J19" s="15"/>
      <x:c r="K19" s="15" t="str">
        <x:v>INTERNAL</x:v>
      </x:c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>
      <x:c r="A21" s="58" t="str">
        <x:v>no</x:v>
      </x:c>
      <x:c r="B21" s="58" t="str">
        <x:v>Index name</x:v>
      </x:c>
      <x:c r="C21" s="58"/>
      <x:c r="D21" s="58" t="str">
        <x:v>Index type</x:v>
      </x:c>
      <x:c r="E21" s="58"/>
      <x:c r="F21" s="58" t="str">
        <x:v>Unique</x:v>
      </x:c>
      <x:c r="G21" s="58"/>
      <x:c r="H21" s="58" t="str">
        <x:v>구성 컬럼</x:v>
      </x:c>
      <x:c r="I21" s="58"/>
      <x:c r="J21" s="58"/>
      <x:c r="K21" s="58"/>
    </x:row>
    <x:row r="22">
      <x:c r="A22" s="15" t="n">
        <x:v>1</x:v>
      </x:c>
      <x:c r="B22" s="15" t="str">
        <x:v>report_definitions_pkey</x:v>
      </x:c>
      <x:c r="C22" s="15"/>
      <x:c r="D22" s="15" t="str">
        <x:v>BTREE</x:v>
      </x:c>
      <x:c r="E22" s="15"/>
      <x:c r="F22" s="15" t="str">
        <x:v>Unique</x:v>
      </x:c>
      <x:c r="G22" s="15"/>
      <x:c r="H22" s="15" t="str">
        <x:v>definition_id</x:v>
      </x:c>
      <x:c r="I22" s="15"/>
      <x:c r="J22" s="15"/>
      <x:c r="K22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21:C21"/>
    <x:mergeCell ref="D21:E21"/>
    <x:mergeCell ref="F21:G21"/>
    <x:mergeCell ref="H21:K21"/>
    <x:mergeCell ref="B22:C22"/>
    <x:mergeCell ref="D22:E22"/>
    <x:mergeCell ref="F22:G22"/>
    <x:mergeCell ref="H22:K22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report_v1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report_documents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보고서 문서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Application PostgreSQL의 보고서 문서을 관리한다. 현재 Alembic head 20260828_49에서 재현한 물리 구조다.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definition_id</x:v>
      </x:c>
      <x:c r="C17" s="15" t="str">
        <x:v>정의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/>
      <x:c r="I17" s="15" t="str">
        <x:v>report_v1.report_documents의 한 행을 식별하는 정의 ID 기본키다.</x:v>
      </x:c>
      <x:c r="J17" s="15" t="str">
        <x:v>물리 FK | report_v1.report_definition_versions.definition_id</x:v>
      </x:c>
      <x:c r="K17" s="15" t="str">
        <x:v>보안: INTERNAL</x:v>
      </x:c>
    </x:row>
    <x:row r="18" ht="44" customHeight="1">
      <x:c r="A18" s="15" t="n">
        <x:v>2</x:v>
      </x:c>
      <x:c r="B18" s="15" t="str">
        <x:v>definition_version</x:v>
      </x:c>
      <x:c r="C18" s="15" t="str">
        <x:v>정의 버전</x:v>
      </x:c>
      <x:c r="D18" s="15" t="str">
        <x:v>integer</x:v>
      </x:c>
      <x:c r="E18" s="15"/>
      <x:c r="F18" s="15" t="str">
        <x:v>PK</x:v>
      </x:c>
      <x:c r="G18" s="15" t="str">
        <x:v>NOT NULL</x:v>
      </x:c>
      <x:c r="H18" s="15"/>
      <x:c r="I18" s="15" t="str">
        <x:v>report_v1.report_documents의 한 행을 식별하는 정의 버전 기본키다.</x:v>
      </x:c>
      <x:c r="J18" s="15" t="str">
        <x:v>물리 FK | report_v1.report_definition_versions.version</x:v>
      </x:c>
      <x:c r="K18" s="15" t="str">
        <x:v>보안: INTERNAL</x:v>
      </x:c>
    </x:row>
    <x:row r="19" ht="44" customHeight="1">
      <x:c r="A19" s="15" t="n">
        <x:v>3</x:v>
      </x:c>
      <x:c r="B19" s="15" t="str">
        <x:v>orientation</x:v>
      </x:c>
      <x:c r="C19" s="15" t="str">
        <x:v>orientation</x:v>
      </x:c>
      <x:c r="D19" s="15" t="str">
        <x:v>varchar</x:v>
      </x:c>
      <x:c r="E19" s="15" t="n">
        <x:v>16</x:v>
      </x:c>
      <x:c r="F19" s="15"/>
      <x:c r="G19" s="15" t="str">
        <x:v>NOT NULL</x:v>
      </x:c>
      <x:c r="H19" s="15"/>
      <x:c r="I19" s="15" t="str">
        <x:v>report_v1.report_documents에서 orientation 값을 저장한다.</x:v>
      </x:c>
      <x:c r="J19" s="15" t="str">
        <x:v>CHECK | CHECK (orientation::text = ANY (ARRAY['portrait'::character varying, 'landscape'::character varying]::text[]))</x:v>
      </x:c>
      <x:c r="K19" s="15" t="str">
        <x:v>보안: INTERNAL</x:v>
      </x:c>
    </x:row>
    <x:row r="20" ht="44" customHeight="1">
      <x:c r="A20" s="15" t="n">
        <x:v>4</x:v>
      </x:c>
      <x:c r="B20" s="15" t="str">
        <x:v>renderer_version</x:v>
      </x:c>
      <x:c r="C20" s="15" t="str">
        <x:v>renderer 버전</x:v>
      </x:c>
      <x:c r="D20" s="15" t="str">
        <x:v>varchar</x:v>
      </x:c>
      <x:c r="E20" s="15" t="n">
        <x:v>40</x:v>
      </x:c>
      <x:c r="F20" s="15"/>
      <x:c r="G20" s="15" t="str">
        <x:v>NOT NULL</x:v>
      </x:c>
      <x:c r="H20" s="15"/>
      <x:c r="I20" s="15" t="str">
        <x:v>report_v1.report_documents에서 renderer 버전 값을 저장한다.</x:v>
      </x:c>
      <x:c r="J20" s="15"/>
      <x:c r="K20" s="15" t="str">
        <x:v>보안: INTERNAL</x:v>
      </x:c>
    </x:row>
    <x:row r="21" ht="44" customHeight="1">
      <x:c r="A21" s="15" t="n">
        <x:v>5</x:v>
      </x:c>
      <x:c r="B21" s="15" t="str">
        <x:v>source_checksum</x:v>
      </x:c>
      <x:c r="C21" s="15" t="str">
        <x:v>소스 checksum</x:v>
      </x:c>
      <x:c r="D21" s="15" t="str">
        <x:v>varchar</x:v>
      </x:c>
      <x:c r="E21" s="15" t="n">
        <x:v>64</x:v>
      </x:c>
      <x:c r="F21" s="15"/>
      <x:c r="G21" s="15" t="str">
        <x:v>NOT NULL</x:v>
      </x:c>
      <x:c r="H21" s="15"/>
      <x:c r="I21" s="15" t="str">
        <x:v>report_v1.report_documents에서 소스 checksum 값을 저장한다.</x:v>
      </x:c>
      <x:c r="J21" s="15" t="str">
        <x:v>CHECK | CHECK (source_checksum::text ~ '^[0-9a-f]{64}$'::text)</x:v>
      </x:c>
      <x:c r="K21" s="15" t="str">
        <x:v>보안: INTERNAL</x:v>
      </x:c>
    </x:row>
    <x:row r="22" ht="44" customHeight="1">
      <x:c r="A22" s="15" t="n">
        <x:v>6</x:v>
      </x:c>
      <x:c r="B22" s="15" t="str">
        <x:v>html_checksum</x:v>
      </x:c>
      <x:c r="C22" s="15" t="str">
        <x:v>html checksum</x:v>
      </x:c>
      <x:c r="D22" s="15" t="str">
        <x:v>varchar</x:v>
      </x:c>
      <x:c r="E22" s="15" t="n">
        <x:v>64</x:v>
      </x:c>
      <x:c r="F22" s="15"/>
      <x:c r="G22" s="15" t="str">
        <x:v>NOT NULL</x:v>
      </x:c>
      <x:c r="H22" s="15"/>
      <x:c r="I22" s="15" t="str">
        <x:v>report_v1.report_documents에서 html checksum 값을 저장한다.</x:v>
      </x:c>
      <x:c r="J22" s="15" t="str">
        <x:v>CHECK | CHECK (html_checksum::text ~ '^[0-9a-f]{64}$'::text)</x:v>
      </x:c>
      <x:c r="K22" s="15" t="str">
        <x:v>보안: INTERNAL</x:v>
      </x:c>
    </x:row>
    <x:row r="23" ht="44" customHeight="1">
      <x:c r="A23" s="15" t="n">
        <x:v>7</x:v>
      </x:c>
      <x:c r="B23" s="15" t="str">
        <x:v>pdf_checksum</x:v>
      </x:c>
      <x:c r="C23" s="15" t="str">
        <x:v>pdf checksum</x:v>
      </x:c>
      <x:c r="D23" s="15" t="str">
        <x:v>varchar</x:v>
      </x:c>
      <x:c r="E23" s="15" t="n">
        <x:v>64</x:v>
      </x:c>
      <x:c r="F23" s="15"/>
      <x:c r="G23" s="15" t="str">
        <x:v>NOT NULL</x:v>
      </x:c>
      <x:c r="H23" s="15"/>
      <x:c r="I23" s="15" t="str">
        <x:v>report_v1.report_documents에서 pdf checksum 값을 저장한다.</x:v>
      </x:c>
      <x:c r="J23" s="15" t="str">
        <x:v>CHECK | CHECK (pdf_checksum::text ~ '^[0-9a-f]{64}$'::text)</x:v>
      </x:c>
      <x:c r="K23" s="15" t="str">
        <x:v>보안: INTERNAL</x:v>
      </x:c>
    </x:row>
    <x:row r="24" ht="44" customHeight="1">
      <x:c r="A24" s="15" t="n">
        <x:v>8</x:v>
      </x:c>
      <x:c r="B24" s="15" t="str">
        <x:v>html_snapshot</x:v>
      </x:c>
      <x:c r="C24" s="15" t="str">
        <x:v>html snapshot</x:v>
      </x:c>
      <x:c r="D24" s="15" t="str">
        <x:v>text</x:v>
      </x:c>
      <x:c r="E24" s="15"/>
      <x:c r="F24" s="15"/>
      <x:c r="G24" s="15" t="str">
        <x:v>NOT NULL</x:v>
      </x:c>
      <x:c r="H24" s="15"/>
      <x:c r="I24" s="15" t="str">
        <x:v>report_v1.report_documents에서 html snapshot 값을 저장한다.</x:v>
      </x:c>
      <x:c r="J24" s="15" t="str">
        <x:v>CHECK | CHECK (btrim(html_snapshot) &lt;&gt; ''::text)</x:v>
      </x:c>
      <x:c r="K24" s="15" t="str">
        <x:v>보안: INTERNAL</x:v>
      </x:c>
    </x:row>
    <x:row r="25" ht="44" customHeight="1">
      <x:c r="A25" s="15" t="n">
        <x:v>9</x:v>
      </x:c>
      <x:c r="B25" s="15" t="str">
        <x:v>pdf_bytes</x:v>
      </x:c>
      <x:c r="C25" s="15" t="str">
        <x:v>pdf bytes</x:v>
      </x:c>
      <x:c r="D25" s="15" t="str">
        <x:v>bytea</x:v>
      </x:c>
      <x:c r="E25" s="15"/>
      <x:c r="F25" s="15"/>
      <x:c r="G25" s="15" t="str">
        <x:v>NOT NULL</x:v>
      </x:c>
      <x:c r="H25" s="15"/>
      <x:c r="I25" s="15" t="str">
        <x:v>report_v1.report_documents에서 pdf bytes 값을 저장한다.</x:v>
      </x:c>
      <x:c r="J25" s="15" t="str">
        <x:v>CHECK | CHECK (octet_length(pdf_bytes) &gt; 5)</x:v>
      </x:c>
      <x:c r="K25" s="15" t="str">
        <x:v>보안: INTERNAL</x:v>
      </x:c>
    </x:row>
    <x:row r="26" ht="44" customHeight="1">
      <x:c r="A26" s="15" t="n">
        <x:v>10</x:v>
      </x:c>
      <x:c r="B26" s="15" t="str">
        <x:v>artifact_versions</x:v>
      </x:c>
      <x:c r="C26" s="15" t="str">
        <x:v>산출물 versions</x:v>
      </x:c>
      <x:c r="D26" s="15" t="str">
        <x:v>jsonb</x:v>
      </x:c>
      <x:c r="E26" s="15"/>
      <x:c r="F26" s="15"/>
      <x:c r="G26" s="15" t="str">
        <x:v>NOT NULL</x:v>
      </x:c>
      <x:c r="H26" s="15"/>
      <x:c r="I26" s="15" t="str">
        <x:v>report_v1.report_documents의 산출물 versions 구조를 JSONB로 저장하며 승인된 스키마 계약으로 검증한다.</x:v>
      </x:c>
      <x:c r="J26" s="15" t="str">
        <x:v>CHECK | CHECK (jsonb_typeof(artifact_versions) = 'array'::text)</x:v>
      </x:c>
      <x:c r="K26" s="15" t="str">
        <x:v>보안: INTERNAL</x:v>
      </x:c>
    </x:row>
    <x:row r="27" ht="44" customHeight="1">
      <x:c r="A27" s="15" t="n">
        <x:v>11</x:v>
      </x:c>
      <x:c r="B27" s="15" t="str">
        <x:v>confirmed_at</x:v>
      </x:c>
      <x:c r="C27" s="15" t="str">
        <x:v>confirmed 시각</x:v>
      </x:c>
      <x:c r="D27" s="15" t="str">
        <x:v>timestamptz</x:v>
      </x:c>
      <x:c r="E27" s="15"/>
      <x:c r="F27" s="15"/>
      <x:c r="G27" s="15" t="str">
        <x:v>NOT NULL</x:v>
      </x:c>
      <x:c r="H27" s="15"/>
      <x:c r="I27" s="15" t="str">
        <x:v>report_v1.report_documents의 confirmed 시각을 UTC 기준 시각으로 저장한다.</x:v>
      </x:c>
      <x:c r="J27" s="15"/>
      <x:c r="K27" s="15" t="str">
        <x:v>보안: INTERNAL</x:v>
      </x:c>
    </x:row>
    <x:row r="28" ht="44" customHeight="1">
      <x:c r="A28" s="15" t="n">
        <x:v>12</x:v>
      </x:c>
      <x:c r="B28" s="15" t="str">
        <x:v>currency_display_unit</x:v>
      </x:c>
      <x:c r="C28" s="15" t="str">
        <x:v>currency display unit</x:v>
      </x:c>
      <x:c r="D28" s="15" t="str">
        <x:v>varchar</x:v>
      </x:c>
      <x:c r="E28" s="15" t="n">
        <x:v>24</x:v>
      </x:c>
      <x:c r="F28" s="15"/>
      <x:c r="G28" s="15" t="str">
        <x:v>NOT NULL</x:v>
      </x:c>
      <x:c r="H28" s="15" t="str">
        <x:v>'auto'::character varying</x:v>
      </x:c>
      <x:c r="I28" s="15" t="str">
        <x:v>report_v1.report_documents에서 currency display unit 값을 저장한다.</x:v>
      </x:c>
      <x:c r="J28" s="15" t="str">
        <x:v>CHECK | CHECK (currency_display_unit::text = ANY (ARRAY['auto'::character varying, 'one'::character varying, 'thousand'::character varying, 'million'::character varying, 'hundredMillion'::character varying, 'billion'::character varying]::text[]))</x:v>
      </x:c>
      <x:c r="K28" s="15" t="str">
        <x:v>보안: INTERNAL</x:v>
      </x:c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>
      <x:c r="A30" s="58" t="str">
        <x:v>no</x:v>
      </x:c>
      <x:c r="B30" s="58" t="str">
        <x:v>Index name</x:v>
      </x:c>
      <x:c r="C30" s="58"/>
      <x:c r="D30" s="58" t="str">
        <x:v>Index type</x:v>
      </x:c>
      <x:c r="E30" s="58"/>
      <x:c r="F30" s="58" t="str">
        <x:v>Unique</x:v>
      </x:c>
      <x:c r="G30" s="58"/>
      <x:c r="H30" s="58" t="str">
        <x:v>구성 컬럼</x:v>
      </x:c>
      <x:c r="I30" s="58"/>
      <x:c r="J30" s="58"/>
      <x:c r="K30" s="58"/>
    </x:row>
    <x:row r="31">
      <x:c r="A31" s="15" t="n">
        <x:v>1</x:v>
      </x:c>
      <x:c r="B31" s="15" t="str">
        <x:v>report_documents_pkey</x:v>
      </x:c>
      <x:c r="C31" s="15"/>
      <x:c r="D31" s="15" t="str">
        <x:v>BTREE</x:v>
      </x:c>
      <x:c r="E31" s="15"/>
      <x:c r="F31" s="15" t="str">
        <x:v>Unique</x:v>
      </x:c>
      <x:c r="G31" s="15"/>
      <x:c r="H31" s="15" t="str">
        <x:v>definition_id, definition_version</x:v>
      </x:c>
      <x:c r="I31" s="15"/>
      <x:c r="J31" s="15"/>
      <x:c r="K31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0:C30"/>
    <x:mergeCell ref="D30:E30"/>
    <x:mergeCell ref="F30:G30"/>
    <x:mergeCell ref="H30:K30"/>
    <x:mergeCell ref="B31:C31"/>
    <x:mergeCell ref="D31:E31"/>
    <x:mergeCell ref="F31:G31"/>
    <x:mergeCell ref="H31:K31"/>
  </x:mergeCell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report_v1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report_manual_run_commands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수동 보고서 실행 명령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승인된 보고서 버전의 서버 소유 수동 실행 명령을 멱등하게 접수한다.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command_id</x:v>
      </x:c>
      <x:c r="C17" s="15" t="str">
        <x:v>명령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/>
      <x:c r="I17" s="15" t="str">
        <x:v>수동 실행 명령 식별자</x:v>
      </x:c>
      <x:c r="J17" s="15"/>
      <x:c r="K17" s="15" t="str">
        <x:v>INTERNAL</x:v>
      </x:c>
    </x:row>
    <x:row r="18" ht="44" customHeight="1">
      <x:c r="A18" s="15" t="n">
        <x:v>2</x:v>
      </x:c>
      <x:c r="B18" s="15" t="str">
        <x:v>definition_id</x:v>
      </x:c>
      <x:c r="C18" s="15" t="str">
        <x:v>보고서 정의 ID</x:v>
      </x:c>
      <x:c r="D18" s="15" t="str">
        <x:v>uuid</x:v>
      </x:c>
      <x:c r="E18" s="15"/>
      <x:c r="F18" s="15" t="str">
        <x:v>FK</x:v>
      </x:c>
      <x:c r="G18" s="15" t="str">
        <x:v>NOT NULL</x:v>
      </x:c>
      <x:c r="H18" s="15"/>
      <x:c r="I18" s="15" t="str">
        <x:v>실행 정의</x:v>
      </x:c>
      <x:c r="J18" s="15" t="str">
        <x:v>물리 FK | report_v1.report_definition_versions.definition_id</x:v>
      </x:c>
      <x:c r="K18" s="15" t="str">
        <x:v>INTERNAL</x:v>
      </x:c>
    </x:row>
    <x:row r="19" ht="44" customHeight="1">
      <x:c r="A19" s="15" t="n">
        <x:v>3</x:v>
      </x:c>
      <x:c r="B19" s="15" t="str">
        <x:v>definition_version</x:v>
      </x:c>
      <x:c r="C19" s="15" t="str">
        <x:v>정의 버전</x:v>
      </x:c>
      <x:c r="D19" s="15" t="str">
        <x:v>integer</x:v>
      </x:c>
      <x:c r="E19" s="15"/>
      <x:c r="F19" s="15" t="str">
        <x:v>FK</x:v>
      </x:c>
      <x:c r="G19" s="15" t="str">
        <x:v>NOT NULL</x:v>
      </x:c>
      <x:c r="H19" s="15"/>
      <x:c r="I19" s="15" t="str">
        <x:v>실행 정의 버전</x:v>
      </x:c>
      <x:c r="J19" s="15" t="str">
        <x:v>물리 FK | report_v1.report_definition_versions.version</x:v>
      </x:c>
      <x:c r="K19" s="15" t="str">
        <x:v>INTERNAL</x:v>
      </x:c>
    </x:row>
    <x:row r="20" ht="44" customHeight="1">
      <x:c r="A20" s="15" t="n">
        <x:v>4</x:v>
      </x:c>
      <x:c r="B20" s="15" t="str">
        <x:v>as_of</x:v>
      </x:c>
      <x:c r="C20" s="15" t="str">
        <x:v>기준 시각</x:v>
      </x:c>
      <x:c r="D20" s="15" t="str">
        <x:v>timestamptz</x:v>
      </x:c>
      <x:c r="E20" s="15"/>
      <x:c r="F20" s="15"/>
      <x:c r="G20" s="15" t="str">
        <x:v>NOT NULL</x:v>
      </x:c>
      <x:c r="H20" s="15"/>
      <x:c r="I20" s="15" t="str">
        <x:v>공통 report_as_of</x:v>
      </x:c>
      <x:c r="J20" s="15"/>
      <x:c r="K20" s="15" t="str">
        <x:v>INTERNAL</x:v>
      </x:c>
    </x:row>
    <x:row r="21" ht="44" customHeight="1">
      <x:c r="A21" s="15" t="n">
        <x:v>5</x:v>
      </x:c>
      <x:c r="B21" s="15" t="str">
        <x:v>idempotency_key</x:v>
      </x:c>
      <x:c r="C21" s="15" t="str">
        <x:v>멱등 키</x:v>
      </x:c>
      <x:c r="D21" s="15" t="str">
        <x:v>text</x:v>
      </x:c>
      <x:c r="E21" s="15"/>
      <x:c r="F21" s="15" t="str">
        <x:v>UK</x:v>
      </x:c>
      <x:c r="G21" s="15" t="str">
        <x:v>NOT NULL</x:v>
      </x:c>
      <x:c r="H21" s="15"/>
      <x:c r="I21" s="15" t="str">
        <x:v>중복 실행 방지 키</x:v>
      </x:c>
      <x:c r="J21" s="15" t="str">
        <x:v>CHECK | CHECK (btrim(idempotency_key) &lt;&gt; ''::text)</x:v>
      </x:c>
      <x:c r="K21" s="15" t="str">
        <x:v>INTERNAL</x:v>
      </x:c>
    </x:row>
    <x:row r="22" ht="44" customHeight="1">
      <x:c r="A22" s="15" t="n">
        <x:v>6</x:v>
      </x:c>
      <x:c r="B22" s="15" t="str">
        <x:v>status</x:v>
      </x:c>
      <x:c r="C22" s="15" t="str">
        <x:v>상태</x:v>
      </x:c>
      <x:c r="D22" s="15" t="str">
        <x:v>varchar</x:v>
      </x:c>
      <x:c r="E22" s="15" t="n">
        <x:v>16</x:v>
      </x:c>
      <x:c r="F22" s="15"/>
      <x:c r="G22" s="15" t="str">
        <x:v>NOT NULL</x:v>
      </x:c>
      <x:c r="H22" s="15" t="str">
        <x:v>'queued'::character varying</x:v>
      </x:c>
      <x:c r="I22" s="15" t="str">
        <x:v>현재 queued만 허용</x:v>
      </x:c>
      <x:c r="J22" s="15" t="str">
        <x:v>CHECK | CHECK (status::text = ANY (ARRAY['queued'::character varying, 'running'::character varying, 'success'::character varying, 'partial'::character varying, 'failed'::character varying, 'cancelled'::character varying]::text[]))</x:v>
      </x:c>
      <x:c r="K22" s="15" t="str">
        <x:v>INTERNAL</x:v>
      </x:c>
    </x:row>
    <x:row r="23" ht="44" customHeight="1">
      <x:c r="A23" s="15" t="n">
        <x:v>7</x:v>
      </x:c>
      <x:c r="B23" s="15" t="str">
        <x:v>created_at</x:v>
      </x:c>
      <x:c r="C23" s="15" t="str">
        <x:v>생성 시각</x:v>
      </x:c>
      <x:c r="D23" s="15" t="str">
        <x:v>timestamptz</x:v>
      </x:c>
      <x:c r="E23" s="15"/>
      <x:c r="F23" s="15"/>
      <x:c r="G23" s="15" t="str">
        <x:v>NOT NULL</x:v>
      </x:c>
      <x:c r="H23" s="15" t="str">
        <x:v>now()</x:v>
      </x:c>
      <x:c r="I23" s="15" t="str">
        <x:v>명령 생성 시각</x:v>
      </x:c>
      <x:c r="J23" s="15"/>
      <x:c r="K23" s="15" t="str">
        <x:v>INTERNAL</x:v>
      </x:c>
    </x:row>
    <x:row r="24" ht="44" customHeight="1">
      <x:c r="A24" s="15" t="n">
        <x:v>8</x:v>
      </x:c>
      <x:c r="B24" s="15" t="str">
        <x:v>run_id</x:v>
      </x:c>
      <x:c r="C24" s="15" t="str">
        <x:v>실행 ID</x:v>
      </x:c>
      <x:c r="D24" s="15" t="str">
        <x:v>uuid</x:v>
      </x:c>
      <x:c r="E24" s="15"/>
      <x:c r="F24" s="15" t="str">
        <x:v>FK</x:v>
      </x:c>
      <x:c r="G24" s="15"/>
      <x:c r="H24" s="15"/>
      <x:c r="I24" s="15" t="str">
        <x:v>report_v1.report_runs.run_id를 참조해 report_v1.report_manual_run_commands의 실행 ID 관계를 연결한다.</x:v>
      </x:c>
      <x:c r="J24" s="15" t="str">
        <x:v>물리 FK | report_v1.report_runs.run_id</x:v>
      </x:c>
      <x:c r="K24" s="15" t="str">
        <x:v>보안: INTERNAL</x:v>
      </x:c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>
      <x:c r="A26" s="58" t="str">
        <x:v>no</x:v>
      </x:c>
      <x:c r="B26" s="58" t="str">
        <x:v>Index name</x:v>
      </x:c>
      <x:c r="C26" s="58"/>
      <x:c r="D26" s="58" t="str">
        <x:v>Index type</x:v>
      </x:c>
      <x:c r="E26" s="58"/>
      <x:c r="F26" s="58" t="str">
        <x:v>Unique</x:v>
      </x:c>
      <x:c r="G26" s="58"/>
      <x:c r="H26" s="58" t="str">
        <x:v>구성 컬럼</x:v>
      </x:c>
      <x:c r="I26" s="58"/>
      <x:c r="J26" s="58"/>
      <x:c r="K26" s="58"/>
    </x:row>
    <x:row r="27">
      <x:c r="A27" s="15" t="n">
        <x:v>1</x:v>
      </x:c>
      <x:c r="B27" s="15" t="str">
        <x:v>report_manual_run_commands_definition_id_definition_version_key</x:v>
      </x:c>
      <x:c r="C27" s="15"/>
      <x:c r="D27" s="15" t="str">
        <x:v>BTREE</x:v>
      </x:c>
      <x:c r="E27" s="15"/>
      <x:c r="F27" s="15" t="str">
        <x:v>Unique</x:v>
      </x:c>
      <x:c r="G27" s="15"/>
      <x:c r="H27" s="15" t="str">
        <x:v>definition_id, definition_version, idempotency_key</x:v>
      </x:c>
      <x:c r="I27" s="15"/>
      <x:c r="J27" s="15"/>
      <x:c r="K27" s="15"/>
    </x:row>
    <x:row r="28">
      <x:c r="A28" s="15" t="n">
        <x:v>2</x:v>
      </x:c>
      <x:c r="B28" s="15" t="str">
        <x:v>report_manual_run_commands_pkey</x:v>
      </x:c>
      <x:c r="C28" s="15"/>
      <x:c r="D28" s="15" t="str">
        <x:v>BTREE</x:v>
      </x:c>
      <x:c r="E28" s="15"/>
      <x:c r="F28" s="15" t="str">
        <x:v>Unique</x:v>
      </x:c>
      <x:c r="G28" s="15"/>
      <x:c r="H28" s="15" t="str">
        <x:v>command_id</x:v>
      </x:c>
      <x:c r="I28" s="15"/>
      <x:c r="J28" s="15"/>
      <x:c r="K28" s="15"/>
    </x:row>
    <x:row r="29">
      <x:c r="A29" s="15" t="n">
        <x:v>3</x:v>
      </x:c>
      <x:c r="B29" s="15" t="str">
        <x:v>report_manual_run_commands_run_id_key</x:v>
      </x:c>
      <x:c r="C29" s="15"/>
      <x:c r="D29" s="15" t="str">
        <x:v>BTREE</x:v>
      </x:c>
      <x:c r="E29" s="15"/>
      <x:c r="F29" s="15" t="str">
        <x:v>Unique</x:v>
      </x:c>
      <x:c r="G29" s="15"/>
      <x:c r="H29" s="15" t="str">
        <x:v>run_id</x:v>
      </x:c>
      <x:c r="I29" s="15"/>
      <x:c r="J29" s="15"/>
      <x:c r="K29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26:C26"/>
    <x:mergeCell ref="D26:E26"/>
    <x:mergeCell ref="F26:G26"/>
    <x:mergeCell ref="H26:K26"/>
    <x:mergeCell ref="B27:C27"/>
    <x:mergeCell ref="D27:E27"/>
    <x:mergeCell ref="F27:G27"/>
    <x:mergeCell ref="H27:K27"/>
    <x:mergeCell ref="B28:C28"/>
    <x:mergeCell ref="D28:E28"/>
    <x:mergeCell ref="F28:G28"/>
    <x:mergeCell ref="H28:K28"/>
    <x:mergeCell ref="B29:C29"/>
    <x:mergeCell ref="D29:E29"/>
    <x:mergeCell ref="F29:G29"/>
    <x:mergeCell ref="H29:K29"/>
  </x:mergeCell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report_v1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report_runs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보고서 실행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승인된 보고서 정의 버전의 실행 단위를 보존한다. as_of, 정책 버전, Context hash, watermark와 상태를 고정한다.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run_id</x:v>
      </x:c>
      <x:c r="C17" s="15" t="str">
        <x:v>보고서 실행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/>
      <x:c r="I17" s="15" t="str">
        <x:v>실행 식별자</x:v>
      </x:c>
      <x:c r="J17" s="15"/>
      <x:c r="K17" s="15" t="str">
        <x:v>INTERNAL</x:v>
      </x:c>
    </x:row>
    <x:row r="18" ht="44" customHeight="1">
      <x:c r="A18" s="15" t="n">
        <x:v>2</x:v>
      </x:c>
      <x:c r="B18" s="15" t="str">
        <x:v>definition_id</x:v>
      </x:c>
      <x:c r="C18" s="15" t="str">
        <x:v>보고서 정의 ID</x:v>
      </x:c>
      <x:c r="D18" s="15" t="str">
        <x:v>uuid</x:v>
      </x:c>
      <x:c r="E18" s="15"/>
      <x:c r="F18" s="15" t="str">
        <x:v>FK</x:v>
      </x:c>
      <x:c r="G18" s="15" t="str">
        <x:v>NOT NULL</x:v>
      </x:c>
      <x:c r="H18" s="15"/>
      <x:c r="I18" s="15" t="str">
        <x:v>실행 정의</x:v>
      </x:c>
      <x:c r="J18" s="15" t="str">
        <x:v>물리 FK | report_v1.report_definition_versions.definition_id</x:v>
      </x:c>
      <x:c r="K18" s="15" t="str">
        <x:v>INTERNAL</x:v>
      </x:c>
    </x:row>
    <x:row r="19" ht="44" customHeight="1">
      <x:c r="A19" s="15" t="n">
        <x:v>3</x:v>
      </x:c>
      <x:c r="B19" s="15" t="str">
        <x:v>definition_version</x:v>
      </x:c>
      <x:c r="C19" s="15" t="str">
        <x:v>정의 버전</x:v>
      </x:c>
      <x:c r="D19" s="15" t="str">
        <x:v>integer</x:v>
      </x:c>
      <x:c r="E19" s="15"/>
      <x:c r="F19" s="15" t="str">
        <x:v>FK</x:v>
      </x:c>
      <x:c r="G19" s="15" t="str">
        <x:v>NOT NULL</x:v>
      </x:c>
      <x:c r="H19" s="15"/>
      <x:c r="I19" s="15" t="str">
        <x:v>실행 정의 버전</x:v>
      </x:c>
      <x:c r="J19" s="15" t="str">
        <x:v>물리 FK | report_v1.report_definition_versions.version</x:v>
      </x:c>
      <x:c r="K19" s="15" t="str">
        <x:v>INTERNAL</x:v>
      </x:c>
    </x:row>
    <x:row r="20" ht="44" customHeight="1">
      <x:c r="A20" s="15" t="n">
        <x:v>4</x:v>
      </x:c>
      <x:c r="B20" s="15" t="str">
        <x:v>as_of</x:v>
      </x:c>
      <x:c r="C20" s="15" t="str">
        <x:v>기준 시각</x:v>
      </x:c>
      <x:c r="D20" s="15" t="str">
        <x:v>timestamptz</x:v>
      </x:c>
      <x:c r="E20" s="15"/>
      <x:c r="F20" s="15"/>
      <x:c r="G20" s="15" t="str">
        <x:v>NOT NULL</x:v>
      </x:c>
      <x:c r="H20" s="15"/>
      <x:c r="I20" s="15" t="str">
        <x:v>공통 report_as_of</x:v>
      </x:c>
      <x:c r="J20" s="15"/>
      <x:c r="K20" s="15" t="str">
        <x:v>INTERNAL</x:v>
      </x:c>
    </x:row>
    <x:row r="21" ht="44" customHeight="1">
      <x:c r="A21" s="15" t="n">
        <x:v>5</x:v>
      </x:c>
      <x:c r="B21" s="15" t="str">
        <x:v>policy_version</x:v>
      </x:c>
      <x:c r="C21" s="15" t="str">
        <x:v>정책 버전</x:v>
      </x:c>
      <x:c r="D21" s="15" t="str">
        <x:v>text</x:v>
      </x:c>
      <x:c r="E21" s="15"/>
      <x:c r="F21" s="15"/>
      <x:c r="G21" s="15" t="str">
        <x:v>NOT NULL</x:v>
      </x:c>
      <x:c r="H21" s="15"/>
      <x:c r="I21" s="15" t="str">
        <x:v>실행 정책 버전</x:v>
      </x:c>
      <x:c r="J21" s="15"/>
      <x:c r="K21" s="15" t="str">
        <x:v>POLICY</x:v>
      </x:c>
    </x:row>
    <x:row r="22" ht="44" customHeight="1">
      <x:c r="A22" s="15" t="n">
        <x:v>6</x:v>
      </x:c>
      <x:c r="B22" s="15" t="str">
        <x:v>context_hash</x:v>
      </x:c>
      <x:c r="C22" s="15" t="str">
        <x:v>Context hash</x:v>
      </x:c>
      <x:c r="D22" s="15" t="str">
        <x:v>text</x:v>
      </x:c>
      <x:c r="E22" s="15"/>
      <x:c r="F22" s="15"/>
      <x:c r="G22" s="15" t="str">
        <x:v>NOT NULL</x:v>
      </x:c>
      <x:c r="H22" s="15"/>
      <x:c r="I22" s="15" t="str">
        <x:v>승인 Context 무결성 hash</x:v>
      </x:c>
      <x:c r="J22" s="15"/>
      <x:c r="K22" s="15" t="str">
        <x:v>INTERNAL</x:v>
      </x:c>
    </x:row>
    <x:row r="23" ht="44" customHeight="1">
      <x:c r="A23" s="15" t="n">
        <x:v>7</x:v>
      </x:c>
      <x:c r="B23" s="15" t="str">
        <x:v>watermark</x:v>
      </x:c>
      <x:c r="C23" s="15" t="str">
        <x:v>Source watermark</x:v>
      </x:c>
      <x:c r="D23" s="15" t="str">
        <x:v>jsonb</x:v>
      </x:c>
      <x:c r="E23" s="15"/>
      <x:c r="F23" s="15"/>
      <x:c r="G23" s="15" t="str">
        <x:v>NOT NULL</x:v>
      </x:c>
      <x:c r="H23" s="15"/>
      <x:c r="I23" s="15" t="str">
        <x:v>source별 기준 시각</x:v>
      </x:c>
      <x:c r="J23" s="15" t="str">
        <x:v>승인 JSON Schema</x:v>
      </x:c>
      <x:c r="K23" s="15" t="str">
        <x:v>INTERNAL</x:v>
      </x:c>
    </x:row>
    <x:row r="24" ht="44" customHeight="1">
      <x:c r="A24" s="15" t="n">
        <x:v>8</x:v>
      </x:c>
      <x:c r="B24" s="15" t="str">
        <x:v>status</x:v>
      </x:c>
      <x:c r="C24" s="15" t="str">
        <x:v>상태</x:v>
      </x:c>
      <x:c r="D24" s="15" t="str">
        <x:v>varchar</x:v>
      </x:c>
      <x:c r="E24" s="15" t="n">
        <x:v>16</x:v>
      </x:c>
      <x:c r="F24" s="15"/>
      <x:c r="G24" s="15" t="str">
        <x:v>NOT NULL</x:v>
      </x:c>
      <x:c r="H24" s="15"/>
      <x:c r="I24" s="15" t="str">
        <x:v>허용값은 queued, running, success, partial, failed, cancelled이다. 상태와 완료 시각·블록 결과가 모순되지 않도록 검증한다.</x:v>
      </x:c>
      <x:c r="J24" s="15" t="str">
        <x:v>CHECK | CHECK (status::text = ANY (ARRAY['queued'::character varying, 'running'::character varying, 'success'::character varying, 'partial'::character varying, 'failed'::character varying, 'cancelled'::character varying]::text[]))</x:v>
      </x:c>
      <x:c r="K24" s="15" t="str">
        <x:v>INTERNAL</x:v>
      </x:c>
    </x:row>
    <x:row r="25" ht="44" customHeight="1">
      <x:c r="A25" s="15" t="n">
        <x:v>9</x:v>
      </x:c>
      <x:c r="B25" s="15" t="str">
        <x:v>created_at</x:v>
      </x:c>
      <x:c r="C25" s="15" t="str">
        <x:v>생성 시각</x:v>
      </x:c>
      <x:c r="D25" s="15" t="str">
        <x:v>timestamptz</x:v>
      </x:c>
      <x:c r="E25" s="15"/>
      <x:c r="F25" s="15"/>
      <x:c r="G25" s="15" t="str">
        <x:v>NOT NULL</x:v>
      </x:c>
      <x:c r="H25" s="15" t="str">
        <x:v>now()</x:v>
      </x:c>
      <x:c r="I25" s="15" t="str">
        <x:v>실행 생성 시각</x:v>
      </x:c>
      <x:c r="J25" s="15"/>
      <x:c r="K25" s="15" t="str">
        <x:v>INTERNAL</x:v>
      </x:c>
    </x:row>
    <x:row r="26" ht="44" customHeight="1">
      <x:c r="A26" s="15" t="n">
        <x:v>10</x:v>
      </x:c>
      <x:c r="B26" s="15" t="str">
        <x:v>product_release_id</x:v>
      </x:c>
      <x:c r="C26" s="15" t="str">
        <x:v>product 릴리스 ID</x:v>
      </x:c>
      <x:c r="D26" s="15" t="str">
        <x:v>varchar</x:v>
      </x:c>
      <x:c r="E26" s="15" t="n">
        <x:v>160</x:v>
      </x:c>
      <x:c r="F26" s="15" t="str">
        <x:v>FK</x:v>
      </x:c>
      <x:c r="G26" s="15"/>
      <x:c r="H26" s="15"/>
      <x:c r="I26" s="15" t="str">
        <x:v>governance.product_release_manifests.product_release_id를 참조해 report_v1.report_runs의 product 릴리스 ID 관계를 연결한다.</x:v>
      </x:c>
      <x:c r="J26" s="15" t="str">
        <x:v>물리 FK | governance.product_release_manifests.product_release_id</x:v>
      </x:c>
      <x:c r="K26" s="15" t="str">
        <x:v>보안: INTERNAL</x:v>
      </x:c>
    </x:row>
    <x:row r="27" ht="44" customHeight="1">
      <x:c r="A27" s="15" t="n">
        <x:v>11</x:v>
      </x:c>
      <x:c r="B27" s="15" t="str">
        <x:v>permission_snapshot_id</x:v>
      </x:c>
      <x:c r="C27" s="15" t="str">
        <x:v>permission snapshot ID</x:v>
      </x:c>
      <x:c r="D27" s="15" t="str">
        <x:v>varchar</x:v>
      </x:c>
      <x:c r="E27" s="15" t="n">
        <x:v>160</x:v>
      </x:c>
      <x:c r="F27" s="15"/>
      <x:c r="G27" s="15"/>
      <x:c r="H27" s="15"/>
      <x:c r="I27" s="15" t="str">
        <x:v>report_v1.report_runs에서 permission snapshot ID 값을 저장한다.</x:v>
      </x:c>
      <x:c r="J27" s="15" t="str">
        <x:v>CHECK | CHECK (product_release_id IS NULL AND permission_snapshot_id IS NULL AND semantic_release_id IS NULL OR product_release_id IS NOT NULL AND permission_snapshot_id IS NOT NULL AND semantic_release_id IS NOT NULL) NOT VALID</x:v>
      </x:c>
      <x:c r="K27" s="15" t="str">
        <x:v>보안: INTERNAL</x:v>
      </x:c>
    </x:row>
    <x:row r="28" ht="44" customHeight="1">
      <x:c r="A28" s="15" t="n">
        <x:v>12</x:v>
      </x:c>
      <x:c r="B28" s="15" t="str">
        <x:v>semantic_release_id</x:v>
      </x:c>
      <x:c r="C28" s="15" t="str">
        <x:v>semantic 릴리스 ID</x:v>
      </x:c>
      <x:c r="D28" s="15" t="str">
        <x:v>varchar</x:v>
      </x:c>
      <x:c r="E28" s="15" t="n">
        <x:v>256</x:v>
      </x:c>
      <x:c r="F28" s="15"/>
      <x:c r="G28" s="15"/>
      <x:c r="H28" s="15"/>
      <x:c r="I28" s="15" t="str">
        <x:v>report_v1.report_runs에서 semantic 릴리스 ID 값을 저장한다.</x:v>
      </x:c>
      <x:c r="J28" s="15" t="str">
        <x:v>CHECK | CHECK (product_release_id IS NULL AND permission_snapshot_id IS NULL AND semantic_release_id IS NULL OR product_release_id IS NOT NULL AND permission_snapshot_id IS NOT NULL AND semantic_release_id IS NOT NULL) NOT VALID</x:v>
      </x:c>
      <x:c r="K28" s="15" t="str">
        <x:v>보안: INTERNAL</x:v>
      </x:c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>
      <x:c r="A30" s="58" t="str">
        <x:v>no</x:v>
      </x:c>
      <x:c r="B30" s="58" t="str">
        <x:v>Index name</x:v>
      </x:c>
      <x:c r="C30" s="58"/>
      <x:c r="D30" s="58" t="str">
        <x:v>Index type</x:v>
      </x:c>
      <x:c r="E30" s="58"/>
      <x:c r="F30" s="58" t="str">
        <x:v>Unique</x:v>
      </x:c>
      <x:c r="G30" s="58"/>
      <x:c r="H30" s="58" t="str">
        <x:v>구성 컬럼</x:v>
      </x:c>
      <x:c r="I30" s="58"/>
      <x:c r="J30" s="58"/>
      <x:c r="K30" s="58"/>
    </x:row>
    <x:row r="31">
      <x:c r="A31" s="15" t="n">
        <x:v>1</x:v>
      </x:c>
      <x:c r="B31" s="15" t="str">
        <x:v>report_runs_pkey</x:v>
      </x:c>
      <x:c r="C31" s="15"/>
      <x:c r="D31" s="15" t="str">
        <x:v>BTREE</x:v>
      </x:c>
      <x:c r="E31" s="15"/>
      <x:c r="F31" s="15" t="str">
        <x:v>Unique</x:v>
      </x:c>
      <x:c r="G31" s="15"/>
      <x:c r="H31" s="15" t="str">
        <x:v>run_id</x:v>
      </x:c>
      <x:c r="I31" s="15"/>
      <x:c r="J31" s="15"/>
      <x:c r="K31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0:C30"/>
    <x:mergeCell ref="D30:E30"/>
    <x:mergeCell ref="F30:G30"/>
    <x:mergeCell ref="H30:K30"/>
    <x:mergeCell ref="B31:C31"/>
    <x:mergeCell ref="D31:E31"/>
    <x:mergeCell ref="F31:G31"/>
    <x:mergeCell ref="H31:K31"/>
  </x:mergeCell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report_v1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report_schedules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보고서 일정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Application PostgreSQL의 보고서 일정을 관리한다. 현재 Alembic head 20260828_49에서 재현한 물리 구조다.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schedule_id</x:v>
      </x:c>
      <x:c r="C17" s="15" t="str">
        <x:v>일정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/>
      <x:c r="I17" s="15" t="str">
        <x:v>report_v1.report_schedules의 한 행을 식별하는 일정 ID 기본키다.</x:v>
      </x:c>
      <x:c r="J17" s="15"/>
      <x:c r="K17" s="15" t="str">
        <x:v>보안: INTERNAL</x:v>
      </x:c>
    </x:row>
    <x:row r="18" ht="44" customHeight="1">
      <x:c r="A18" s="15" t="n">
        <x:v>2</x:v>
      </x:c>
      <x:c r="B18" s="15" t="str">
        <x:v>definition_id</x:v>
      </x:c>
      <x:c r="C18" s="15" t="str">
        <x:v>정의 ID</x:v>
      </x:c>
      <x:c r="D18" s="15" t="str">
        <x:v>uuid</x:v>
      </x:c>
      <x:c r="E18" s="15"/>
      <x:c r="F18" s="15" t="str">
        <x:v>FK</x:v>
      </x:c>
      <x:c r="G18" s="15" t="str">
        <x:v>NOT NULL</x:v>
      </x:c>
      <x:c r="H18" s="15"/>
      <x:c r="I18" s="15" t="str">
        <x:v>report_v1.report_definition_versions.definition_id를 참조해 report_v1.report_schedules의 정의 ID 관계를 연결한다.</x:v>
      </x:c>
      <x:c r="J18" s="15" t="str">
        <x:v>물리 FK | report_v1.report_definition_versions.definition_id</x:v>
      </x:c>
      <x:c r="K18" s="15" t="str">
        <x:v>보안: INTERNAL</x:v>
      </x:c>
    </x:row>
    <x:row r="19" ht="44" customHeight="1">
      <x:c r="A19" s="15" t="n">
        <x:v>3</x:v>
      </x:c>
      <x:c r="B19" s="15" t="str">
        <x:v>definition_version</x:v>
      </x:c>
      <x:c r="C19" s="15" t="str">
        <x:v>정의 버전</x:v>
      </x:c>
      <x:c r="D19" s="15" t="str">
        <x:v>integer</x:v>
      </x:c>
      <x:c r="E19" s="15"/>
      <x:c r="F19" s="15" t="str">
        <x:v>FK</x:v>
      </x:c>
      <x:c r="G19" s="15" t="str">
        <x:v>NOT NULL</x:v>
      </x:c>
      <x:c r="H19" s="15"/>
      <x:c r="I19" s="15" t="str">
        <x:v>report_v1.report_definition_versions.version를 참조해 report_v1.report_schedules의 정의 버전 관계를 연결한다.</x:v>
      </x:c>
      <x:c r="J19" s="15" t="str">
        <x:v>물리 FK | report_v1.report_definition_versions.version</x:v>
      </x:c>
      <x:c r="K19" s="15" t="str">
        <x:v>보안: INTERNAL</x:v>
      </x:c>
    </x:row>
    <x:row r="20" ht="44" customHeight="1">
      <x:c r="A20" s="15" t="n">
        <x:v>4</x:v>
      </x:c>
      <x:c r="B20" s="15" t="str">
        <x:v>cadence</x:v>
      </x:c>
      <x:c r="C20" s="15" t="str">
        <x:v>cadence</x:v>
      </x:c>
      <x:c r="D20" s="15" t="str">
        <x:v>varchar</x:v>
      </x:c>
      <x:c r="E20" s="15" t="n">
        <x:v>16</x:v>
      </x:c>
      <x:c r="F20" s="15"/>
      <x:c r="G20" s="15" t="str">
        <x:v>NOT NULL</x:v>
      </x:c>
      <x:c r="H20" s="15"/>
      <x:c r="I20" s="15" t="str">
        <x:v>report_v1.report_schedules에서 cadence 값을 저장한다.</x:v>
      </x:c>
      <x:c r="J20" s="15" t="str">
        <x:v>CHECK | CHECK (cadence::text = ANY (ARRAY['daily'::character varying, 'weekly'::character varying, 'monthly'::character varying]::text[]))</x:v>
      </x:c>
      <x:c r="K20" s="15" t="str">
        <x:v>보안: INTERNAL</x:v>
      </x:c>
    </x:row>
    <x:row r="21" ht="44" customHeight="1">
      <x:c r="A21" s="15" t="n">
        <x:v>5</x:v>
      </x:c>
      <x:c r="B21" s="15" t="str">
        <x:v>timezone_name</x:v>
      </x:c>
      <x:c r="C21" s="15" t="str">
        <x:v>timezone 이름</x:v>
      </x:c>
      <x:c r="D21" s="15" t="str">
        <x:v>varchar</x:v>
      </x:c>
      <x:c r="E21" s="15" t="n">
        <x:v>64</x:v>
      </x:c>
      <x:c r="F21" s="15"/>
      <x:c r="G21" s="15" t="str">
        <x:v>NOT NULL</x:v>
      </x:c>
      <x:c r="H21" s="15"/>
      <x:c r="I21" s="15" t="str">
        <x:v>report_v1.report_schedules에서 timezone 이름 값을 저장한다.</x:v>
      </x:c>
      <x:c r="J21" s="15" t="str">
        <x:v>CHECK | CHECK (timezone_name::text = 'Asia/Seoul'::text)</x:v>
      </x:c>
      <x:c r="K21" s="15" t="str">
        <x:v>보안: INTERNAL</x:v>
      </x:c>
    </x:row>
    <x:row r="22" ht="44" customHeight="1">
      <x:c r="A22" s="15" t="n">
        <x:v>6</x:v>
      </x:c>
      <x:c r="B22" s="15" t="str">
        <x:v>next_run_at</x:v>
      </x:c>
      <x:c r="C22" s="15" t="str">
        <x:v>next 실행 시각</x:v>
      </x:c>
      <x:c r="D22" s="15" t="str">
        <x:v>timestamptz</x:v>
      </x:c>
      <x:c r="E22" s="15"/>
      <x:c r="F22" s="15"/>
      <x:c r="G22" s="15" t="str">
        <x:v>NOT NULL</x:v>
      </x:c>
      <x:c r="H22" s="15"/>
      <x:c r="I22" s="15" t="str">
        <x:v>report_v1.report_schedules의 next 실행 시각을 UTC 기준 시각으로 저장한다.</x:v>
      </x:c>
      <x:c r="J22" s="15"/>
      <x:c r="K22" s="15" t="str">
        <x:v>보안: INTERNAL</x:v>
      </x:c>
    </x:row>
    <x:row r="23" ht="44" customHeight="1">
      <x:c r="A23" s="15" t="n">
        <x:v>7</x:v>
      </x:c>
      <x:c r="B23" s="15" t="str">
        <x:v>enabled</x:v>
      </x:c>
      <x:c r="C23" s="15" t="str">
        <x:v>활성 여부</x:v>
      </x:c>
      <x:c r="D23" s="15" t="str">
        <x:v>boolean</x:v>
      </x:c>
      <x:c r="E23" s="15"/>
      <x:c r="F23" s="15"/>
      <x:c r="G23" s="15" t="str">
        <x:v>NOT NULL</x:v>
      </x:c>
      <x:c r="H23" s="15" t="str">
        <x:v>true</x:v>
      </x:c>
      <x:c r="I23" s="15" t="str">
        <x:v>report_v1.report_schedules에서 활성 여부 값을 저장한다.</x:v>
      </x:c>
      <x:c r="J23" s="15"/>
      <x:c r="K23" s="15" t="str">
        <x:v>보안: INTERNAL</x:v>
      </x:c>
    </x:row>
    <x:row r="24" ht="44" customHeight="1">
      <x:c r="A24" s="15" t="n">
        <x:v>8</x:v>
      </x:c>
      <x:c r="B24" s="15" t="str">
        <x:v>last_run_id</x:v>
      </x:c>
      <x:c r="C24" s="15" t="str">
        <x:v>last 실행 ID</x:v>
      </x:c>
      <x:c r="D24" s="15" t="str">
        <x:v>uuid</x:v>
      </x:c>
      <x:c r="E24" s="15"/>
      <x:c r="F24" s="15" t="str">
        <x:v>FK</x:v>
      </x:c>
      <x:c r="G24" s="15"/>
      <x:c r="H24" s="15"/>
      <x:c r="I24" s="15" t="str">
        <x:v>report_v1.report_runs.run_id를 참조해 report_v1.report_schedules의 last 실행 ID 관계를 연결한다.</x:v>
      </x:c>
      <x:c r="J24" s="15" t="str">
        <x:v>물리 FK | report_v1.report_runs.run_id</x:v>
      </x:c>
      <x:c r="K24" s="15" t="str">
        <x:v>보안: INTERNAL</x:v>
      </x:c>
    </x:row>
    <x:row r="25" ht="44" customHeight="1">
      <x:c r="A25" s="15" t="n">
        <x:v>9</x:v>
      </x:c>
      <x:c r="B25" s="15" t="str">
        <x:v>created_at</x:v>
      </x:c>
      <x:c r="C25" s="15" t="str">
        <x:v>생성 시각</x:v>
      </x:c>
      <x:c r="D25" s="15" t="str">
        <x:v>timestamptz</x:v>
      </x:c>
      <x:c r="E25" s="15"/>
      <x:c r="F25" s="15"/>
      <x:c r="G25" s="15" t="str">
        <x:v>NOT NULL</x:v>
      </x:c>
      <x:c r="H25" s="15" t="str">
        <x:v>now()</x:v>
      </x:c>
      <x:c r="I25" s="15" t="str">
        <x:v>report_v1.report_schedules의 생성 시각을 UTC 기준 시각으로 저장한다.</x:v>
      </x:c>
      <x:c r="J25" s="15"/>
      <x:c r="K25" s="15" t="str">
        <x:v>보안: INTERNAL</x:v>
      </x:c>
    </x:row>
    <x:row r="26" ht="44" customHeight="1">
      <x:c r="A26" s="15" t="n">
        <x:v>10</x:v>
      </x:c>
      <x:c r="B26" s="15" t="str">
        <x:v>updated_at</x:v>
      </x:c>
      <x:c r="C26" s="15" t="str">
        <x:v>수정 시각</x:v>
      </x:c>
      <x:c r="D26" s="15" t="str">
        <x:v>timestamptz</x:v>
      </x:c>
      <x:c r="E26" s="15"/>
      <x:c r="F26" s="15"/>
      <x:c r="G26" s="15" t="str">
        <x:v>NOT NULL</x:v>
      </x:c>
      <x:c r="H26" s="15" t="str">
        <x:v>now()</x:v>
      </x:c>
      <x:c r="I26" s="15" t="str">
        <x:v>report_v1.report_schedules의 수정 시각을 UTC 기준 시각으로 저장한다.</x:v>
      </x:c>
      <x:c r="J26" s="15"/>
      <x:c r="K26" s="15" t="str">
        <x:v>보안: INTERNAL</x:v>
      </x:c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>
      <x:c r="A28" s="58" t="str">
        <x:v>no</x:v>
      </x:c>
      <x:c r="B28" s="58" t="str">
        <x:v>Index name</x:v>
      </x:c>
      <x:c r="C28" s="58"/>
      <x:c r="D28" s="58" t="str">
        <x:v>Index type</x:v>
      </x:c>
      <x:c r="E28" s="58"/>
      <x:c r="F28" s="58" t="str">
        <x:v>Unique</x:v>
      </x:c>
      <x:c r="G28" s="58"/>
      <x:c r="H28" s="58" t="str">
        <x:v>구성 컬럼</x:v>
      </x:c>
      <x:c r="I28" s="58"/>
      <x:c r="J28" s="58"/>
      <x:c r="K28" s="58"/>
    </x:row>
    <x:row r="29">
      <x:c r="A29" s="15" t="n">
        <x:v>1</x:v>
      </x:c>
      <x:c r="B29" s="15" t="str">
        <x:v>report_schedules_pkey</x:v>
      </x:c>
      <x:c r="C29" s="15"/>
      <x:c r="D29" s="15" t="str">
        <x:v>BTREE</x:v>
      </x:c>
      <x:c r="E29" s="15"/>
      <x:c r="F29" s="15" t="str">
        <x:v>Unique</x:v>
      </x:c>
      <x:c r="G29" s="15"/>
      <x:c r="H29" s="15" t="str">
        <x:v>schedule_id</x:v>
      </x:c>
      <x:c r="I29" s="15"/>
      <x:c r="J29" s="15"/>
      <x:c r="K29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28:C28"/>
    <x:mergeCell ref="D28:E28"/>
    <x:mergeCell ref="F28:G28"/>
    <x:mergeCell ref="H28:K28"/>
    <x:mergeCell ref="B29:C29"/>
    <x:mergeCell ref="D29:E29"/>
    <x:mergeCell ref="F29:G29"/>
    <x:mergeCell ref="H29:K29"/>
  </x:mergeCell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security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auth_accounts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인증 계정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Application PostgreSQL의 인증 계정을 관리한다. 현재 Alembic head 20260828_49에서 재현한 물리 구조다.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username</x:v>
      </x:c>
      <x:c r="C17" s="15" t="str">
        <x:v>username</x:v>
      </x:c>
      <x:c r="D17" s="15" t="str">
        <x:v>varchar</x:v>
      </x:c>
      <x:c r="E17" s="15" t="n">
        <x:v>64</x:v>
      </x:c>
      <x:c r="F17" s="15" t="str">
        <x:v>PK</x:v>
      </x:c>
      <x:c r="G17" s="15" t="str">
        <x:v>NOT NULL</x:v>
      </x:c>
      <x:c r="H17" s="15"/>
      <x:c r="I17" s="15" t="str">
        <x:v>security.auth_accounts의 한 행을 식별하는 username 기본키다.</x:v>
      </x:c>
      <x:c r="J17" s="15" t="str">
        <x:v>CHECK | CHECK (username::text = lower(btrim(username::text)) AND username::text ~ '^[a-z0-9._-]{3,64}$'::text)</x:v>
      </x:c>
      <x:c r="K17" s="15" t="str">
        <x:v>보안: INTERNAL</x:v>
      </x:c>
    </x:row>
    <x:row r="18" ht="44" customHeight="1">
      <x:c r="A18" s="15" t="n">
        <x:v>2</x:v>
      </x:c>
      <x:c r="B18" s="15" t="str">
        <x:v>password_salt</x:v>
      </x:c>
      <x:c r="C18" s="15" t="str">
        <x:v>password salt</x:v>
      </x:c>
      <x:c r="D18" s="15" t="str">
        <x:v>varchar</x:v>
      </x:c>
      <x:c r="E18" s="15" t="n">
        <x:v>128</x:v>
      </x:c>
      <x:c r="F18" s="15"/>
      <x:c r="G18" s="15" t="str">
        <x:v>NOT NULL</x:v>
      </x:c>
      <x:c r="H18" s="15"/>
      <x:c r="I18" s="15" t="str">
        <x:v>security.auth_accounts에서 password salt 값을 저장한다.</x:v>
      </x:c>
      <x:c r="J18" s="15" t="str">
        <x:v>CHECK | CHECK (password_salt::text ~ '^[A-Za-z0-9_-]{22,128}$'::text)</x:v>
      </x:c>
      <x:c r="K18" s="15" t="str">
        <x:v>보안: SECRET_REF</x:v>
      </x:c>
    </x:row>
    <x:row r="19" ht="44" customHeight="1">
      <x:c r="A19" s="15" t="n">
        <x:v>3</x:v>
      </x:c>
      <x:c r="B19" s="15" t="str">
        <x:v>password_hash</x:v>
      </x:c>
      <x:c r="C19" s="15" t="str">
        <x:v>password 해시</x:v>
      </x:c>
      <x:c r="D19" s="15" t="str">
        <x:v>character</x:v>
      </x:c>
      <x:c r="E19" s="15" t="n">
        <x:v>64</x:v>
      </x:c>
      <x:c r="F19" s="15"/>
      <x:c r="G19" s="15" t="str">
        <x:v>NOT NULL</x:v>
      </x:c>
      <x:c r="H19" s="15"/>
      <x:c r="I19" s="15" t="str">
        <x:v>security.auth_accounts에서 password 해시 값을 저장한다.</x:v>
      </x:c>
      <x:c r="J19" s="15" t="str">
        <x:v>CHECK | CHECK (password_hash ~ '^[0-9a-f]{64}$'::text)</x:v>
      </x:c>
      <x:c r="K19" s="15" t="str">
        <x:v>보안: SECRET_REF</x:v>
      </x:c>
    </x:row>
    <x:row r="20" ht="44" customHeight="1">
      <x:c r="A20" s="15" t="n">
        <x:v>4</x:v>
      </x:c>
      <x:c r="B20" s="15" t="str">
        <x:v>password_iterations</x:v>
      </x:c>
      <x:c r="C20" s="15" t="str">
        <x:v>password iterations</x:v>
      </x:c>
      <x:c r="D20" s="15" t="str">
        <x:v>integer</x:v>
      </x:c>
      <x:c r="E20" s="15"/>
      <x:c r="F20" s="15"/>
      <x:c r="G20" s="15" t="str">
        <x:v>NOT NULL</x:v>
      </x:c>
      <x:c r="H20" s="15"/>
      <x:c r="I20" s="15" t="str">
        <x:v>security.auth_accounts에서 password iterations 값을 저장한다.</x:v>
      </x:c>
      <x:c r="J20" s="15" t="str">
        <x:v>CHECK | CHECK (password_iterations &gt;= 200000)</x:v>
      </x:c>
      <x:c r="K20" s="15" t="str">
        <x:v>보안: SECRET_REF</x:v>
      </x:c>
    </x:row>
    <x:row r="21" ht="44" customHeight="1">
      <x:c r="A21" s="15" t="n">
        <x:v>5</x:v>
      </x:c>
      <x:c r="B21" s="15" t="str">
        <x:v>subject</x:v>
      </x:c>
      <x:c r="C21" s="15" t="str">
        <x:v>subject</x:v>
      </x:c>
      <x:c r="D21" s="15" t="str">
        <x:v>uuid</x:v>
      </x:c>
      <x:c r="E21" s="15"/>
      <x:c r="F21" s="15" t="str">
        <x:v>UK</x:v>
      </x:c>
      <x:c r="G21" s="15" t="str">
        <x:v>NOT NULL</x:v>
      </x:c>
      <x:c r="H21" s="15"/>
      <x:c r="I21" s="15" t="str">
        <x:v>security.auth_accounts에서 subject 값을 저장한다.</x:v>
      </x:c>
      <x:c r="J21" s="15"/>
      <x:c r="K21" s="15" t="str">
        <x:v>보안: INTERNAL</x:v>
      </x:c>
    </x:row>
    <x:row r="22" ht="44" customHeight="1">
      <x:c r="A22" s="15" t="n">
        <x:v>6</x:v>
      </x:c>
      <x:c r="B22" s="15" t="str">
        <x:v>role</x:v>
      </x:c>
      <x:c r="C22" s="15" t="str">
        <x:v>역할</x:v>
      </x:c>
      <x:c r="D22" s="15" t="str">
        <x:v>varchar</x:v>
      </x:c>
      <x:c r="E22" s="15" t="n">
        <x:v>32</x:v>
      </x:c>
      <x:c r="F22" s="15"/>
      <x:c r="G22" s="15" t="str">
        <x:v>NOT NULL</x:v>
      </x:c>
      <x:c r="H22" s="15"/>
      <x:c r="I22" s="15" t="str">
        <x:v>security.auth_accounts에서 역할 값을 저장한다.</x:v>
      </x:c>
      <x:c r="J22" s="15" t="str">
        <x:v>CHECK | CHECK (role::text = ANY (ARRAY['analyst'::character varying, 'report_admin'::character varying, 'data_admin'::character varying, 'platform_admin'::character varying]::text[]))</x:v>
      </x:c>
      <x:c r="K22" s="15" t="str">
        <x:v>보안: INTERNAL</x:v>
      </x:c>
    </x:row>
    <x:row r="23" ht="44" customHeight="1">
      <x:c r="A23" s="15" t="n">
        <x:v>7</x:v>
      </x:c>
      <x:c r="B23" s="15" t="str">
        <x:v>active</x:v>
      </x:c>
      <x:c r="C23" s="15" t="str">
        <x:v>활성</x:v>
      </x:c>
      <x:c r="D23" s="15" t="str">
        <x:v>boolean</x:v>
      </x:c>
      <x:c r="E23" s="15"/>
      <x:c r="F23" s="15"/>
      <x:c r="G23" s="15" t="str">
        <x:v>NOT NULL</x:v>
      </x:c>
      <x:c r="H23" s="15" t="str">
        <x:v>true</x:v>
      </x:c>
      <x:c r="I23" s="15" t="str">
        <x:v>security.auth_accounts에서 활성 값을 저장한다.</x:v>
      </x:c>
      <x:c r="J23" s="15"/>
      <x:c r="K23" s="15" t="str">
        <x:v>보안: INTERNAL</x:v>
      </x:c>
    </x:row>
    <x:row r="24" ht="44" customHeight="1">
      <x:c r="A24" s="15" t="n">
        <x:v>8</x:v>
      </x:c>
      <x:c r="B24" s="15" t="str">
        <x:v>created_at</x:v>
      </x:c>
      <x:c r="C24" s="15" t="str">
        <x:v>생성 시각</x:v>
      </x:c>
      <x:c r="D24" s="15" t="str">
        <x:v>timestamptz</x:v>
      </x:c>
      <x:c r="E24" s="15"/>
      <x:c r="F24" s="15"/>
      <x:c r="G24" s="15" t="str">
        <x:v>NOT NULL</x:v>
      </x:c>
      <x:c r="H24" s="15" t="str">
        <x:v>now()</x:v>
      </x:c>
      <x:c r="I24" s="15" t="str">
        <x:v>security.auth_accounts의 생성 시각을 UTC 기준 시각으로 저장한다.</x:v>
      </x:c>
      <x:c r="J24" s="15" t="str">
        <x:v>CHECK | CHECK (updated_at &gt;= created_at)</x:v>
      </x:c>
      <x:c r="K24" s="15" t="str">
        <x:v>보안: INTERNAL</x:v>
      </x:c>
    </x:row>
    <x:row r="25" ht="44" customHeight="1">
      <x:c r="A25" s="15" t="n">
        <x:v>9</x:v>
      </x:c>
      <x:c r="B25" s="15" t="str">
        <x:v>updated_at</x:v>
      </x:c>
      <x:c r="C25" s="15" t="str">
        <x:v>수정 시각</x:v>
      </x:c>
      <x:c r="D25" s="15" t="str">
        <x:v>timestamptz</x:v>
      </x:c>
      <x:c r="E25" s="15"/>
      <x:c r="F25" s="15"/>
      <x:c r="G25" s="15" t="str">
        <x:v>NOT NULL</x:v>
      </x:c>
      <x:c r="H25" s="15" t="str">
        <x:v>now()</x:v>
      </x:c>
      <x:c r="I25" s="15" t="str">
        <x:v>security.auth_accounts의 수정 시각을 UTC 기준 시각으로 저장한다.</x:v>
      </x:c>
      <x:c r="J25" s="15" t="str">
        <x:v>CHECK | CHECK (updated_at &gt;= created_at)</x:v>
      </x:c>
      <x:c r="K25" s="15" t="str">
        <x:v>보안: INTERNAL</x:v>
      </x:c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>
      <x:c r="A27" s="58" t="str">
        <x:v>no</x:v>
      </x:c>
      <x:c r="B27" s="58" t="str">
        <x:v>Index name</x:v>
      </x:c>
      <x:c r="C27" s="58"/>
      <x:c r="D27" s="58" t="str">
        <x:v>Index type</x:v>
      </x:c>
      <x:c r="E27" s="58"/>
      <x:c r="F27" s="58" t="str">
        <x:v>Unique</x:v>
      </x:c>
      <x:c r="G27" s="58"/>
      <x:c r="H27" s="58" t="str">
        <x:v>구성 컬럼</x:v>
      </x:c>
      <x:c r="I27" s="58"/>
      <x:c r="J27" s="58"/>
      <x:c r="K27" s="58"/>
    </x:row>
    <x:row r="28">
      <x:c r="A28" s="15" t="n">
        <x:v>1</x:v>
      </x:c>
      <x:c r="B28" s="15" t="str">
        <x:v>auth_accounts_pkey</x:v>
      </x:c>
      <x:c r="C28" s="15"/>
      <x:c r="D28" s="15" t="str">
        <x:v>BTREE</x:v>
      </x:c>
      <x:c r="E28" s="15"/>
      <x:c r="F28" s="15" t="str">
        <x:v>Unique</x:v>
      </x:c>
      <x:c r="G28" s="15"/>
      <x:c r="H28" s="15" t="str">
        <x:v>username</x:v>
      </x:c>
      <x:c r="I28" s="15"/>
      <x:c r="J28" s="15"/>
      <x:c r="K28" s="15"/>
    </x:row>
    <x:row r="29">
      <x:c r="A29" s="15" t="n">
        <x:v>2</x:v>
      </x:c>
      <x:c r="B29" s="15" t="str">
        <x:v>auth_accounts_subject_key</x:v>
      </x:c>
      <x:c r="C29" s="15"/>
      <x:c r="D29" s="15" t="str">
        <x:v>BTREE</x:v>
      </x:c>
      <x:c r="E29" s="15"/>
      <x:c r="F29" s="15" t="str">
        <x:v>Unique</x:v>
      </x:c>
      <x:c r="G29" s="15"/>
      <x:c r="H29" s="15" t="str">
        <x:v>subject</x:v>
      </x:c>
      <x:c r="I29" s="15"/>
      <x:c r="J29" s="15"/>
      <x:c r="K29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27:C27"/>
    <x:mergeCell ref="D27:E27"/>
    <x:mergeCell ref="F27:G27"/>
    <x:mergeCell ref="H27:K27"/>
    <x:mergeCell ref="B28:C28"/>
    <x:mergeCell ref="D28:E28"/>
    <x:mergeCell ref="F28:G28"/>
    <x:mergeCell ref="H28:K28"/>
    <x:mergeCell ref="B29:C29"/>
    <x:mergeCell ref="D29:E29"/>
    <x:mergeCell ref="F29:G29"/>
    <x:mergeCell ref="H29:K29"/>
  </x:mergeCell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security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auth_sessions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인증 세션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Application PostgreSQL의 인증 세션을 관리한다. 현재 Alembic head 20260828_49에서 재현한 물리 구조다.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token_sha256</x:v>
      </x:c>
      <x:c r="C17" s="15" t="str">
        <x:v>token sha256</x:v>
      </x:c>
      <x:c r="D17" s="15" t="str">
        <x:v>character</x:v>
      </x:c>
      <x:c r="E17" s="15" t="n">
        <x:v>64</x:v>
      </x:c>
      <x:c r="F17" s="15" t="str">
        <x:v>PK</x:v>
      </x:c>
      <x:c r="G17" s="15" t="str">
        <x:v>NOT NULL</x:v>
      </x:c>
      <x:c r="H17" s="15"/>
      <x:c r="I17" s="15" t="str">
        <x:v>security.auth_sessions의 한 행을 식별하는 token sha256 기본키다.</x:v>
      </x:c>
      <x:c r="J17" s="15"/>
      <x:c r="K17" s="15" t="str">
        <x:v>보안: SECRET_REF</x:v>
      </x:c>
    </x:row>
    <x:row r="18" ht="44" customHeight="1">
      <x:c r="A18" s="15" t="n">
        <x:v>2</x:v>
      </x:c>
      <x:c r="B18" s="15" t="str">
        <x:v>subject</x:v>
      </x:c>
      <x:c r="C18" s="15" t="str">
        <x:v>subject</x:v>
      </x:c>
      <x:c r="D18" s="15" t="str">
        <x:v>uuid</x:v>
      </x:c>
      <x:c r="E18" s="15"/>
      <x:c r="F18" s="15"/>
      <x:c r="G18" s="15" t="str">
        <x:v>NOT NULL</x:v>
      </x:c>
      <x:c r="H18" s="15"/>
      <x:c r="I18" s="15" t="str">
        <x:v>security.auth_sessions에서 subject 값을 저장한다.</x:v>
      </x:c>
      <x:c r="J18" s="15"/>
      <x:c r="K18" s="15" t="str">
        <x:v>보안: INTERNAL</x:v>
      </x:c>
    </x:row>
    <x:row r="19" ht="44" customHeight="1">
      <x:c r="A19" s="15" t="n">
        <x:v>3</x:v>
      </x:c>
      <x:c r="B19" s="15" t="str">
        <x:v>role</x:v>
      </x:c>
      <x:c r="C19" s="15" t="str">
        <x:v>역할</x:v>
      </x:c>
      <x:c r="D19" s="15" t="str">
        <x:v>varchar</x:v>
      </x:c>
      <x:c r="E19" s="15" t="n">
        <x:v>32</x:v>
      </x:c>
      <x:c r="F19" s="15"/>
      <x:c r="G19" s="15" t="str">
        <x:v>NOT NULL</x:v>
      </x:c>
      <x:c r="H19" s="15"/>
      <x:c r="I19" s="15" t="str">
        <x:v>security.auth_sessions에서 역할 값을 저장한다.</x:v>
      </x:c>
      <x:c r="J19" s="15" t="str">
        <x:v>CHECK | CHECK (role::text = ANY (ARRAY['analyst'::character varying, 'report_admin'::character varying, 'data_admin'::character varying, 'platform_admin'::character varying]::text[]))</x:v>
      </x:c>
      <x:c r="K19" s="15" t="str">
        <x:v>보안: INTERNAL</x:v>
      </x:c>
    </x:row>
    <x:row r="20" ht="44" customHeight="1">
      <x:c r="A20" s="15" t="n">
        <x:v>4</x:v>
      </x:c>
      <x:c r="B20" s="15" t="str">
        <x:v>issued_at</x:v>
      </x:c>
      <x:c r="C20" s="15" t="str">
        <x:v>issued 시각</x:v>
      </x:c>
      <x:c r="D20" s="15" t="str">
        <x:v>timestamptz</x:v>
      </x:c>
      <x:c r="E20" s="15"/>
      <x:c r="F20" s="15"/>
      <x:c r="G20" s="15" t="str">
        <x:v>NOT NULL</x:v>
      </x:c>
      <x:c r="H20" s="15"/>
      <x:c r="I20" s="15" t="str">
        <x:v>security.auth_sessions의 issued 시각을 UTC 기준 시각으로 저장한다.</x:v>
      </x:c>
      <x:c r="J20" s="15" t="str">
        <x:v>CHECK | CHECK (expires_at &gt; issued_at)</x:v>
      </x:c>
      <x:c r="K20" s="15" t="str">
        <x:v>보안: INTERNAL</x:v>
      </x:c>
    </x:row>
    <x:row r="21" ht="44" customHeight="1">
      <x:c r="A21" s="15" t="n">
        <x:v>5</x:v>
      </x:c>
      <x:c r="B21" s="15" t="str">
        <x:v>expires_at</x:v>
      </x:c>
      <x:c r="C21" s="15" t="str">
        <x:v>expires 시각</x:v>
      </x:c>
      <x:c r="D21" s="15" t="str">
        <x:v>timestamptz</x:v>
      </x:c>
      <x:c r="E21" s="15"/>
      <x:c r="F21" s="15"/>
      <x:c r="G21" s="15" t="str">
        <x:v>NOT NULL</x:v>
      </x:c>
      <x:c r="H21" s="15"/>
      <x:c r="I21" s="15" t="str">
        <x:v>security.auth_sessions의 expires 시각을 UTC 기준 시각으로 저장한다.</x:v>
      </x:c>
      <x:c r="J21" s="15" t="str">
        <x:v>CHECK | CHECK (expires_at &gt; issued_at)</x:v>
      </x:c>
      <x:c r="K21" s="15" t="str">
        <x:v>보안: INTERNAL</x:v>
      </x:c>
    </x:row>
    <x:row r="22" ht="44" customHeight="1">
      <x:c r="A22" s="15" t="n">
        <x:v>6</x:v>
      </x:c>
      <x:c r="B22" s="15" t="str">
        <x:v>revoked_at</x:v>
      </x:c>
      <x:c r="C22" s="15" t="str">
        <x:v>revoked 시각</x:v>
      </x:c>
      <x:c r="D22" s="15" t="str">
        <x:v>timestamptz</x:v>
      </x:c>
      <x:c r="E22" s="15"/>
      <x:c r="F22" s="15"/>
      <x:c r="G22" s="15"/>
      <x:c r="H22" s="15"/>
      <x:c r="I22" s="15" t="str">
        <x:v>security.auth_sessions의 revoked 시각을 UTC 기준 시각으로 저장한다.</x:v>
      </x:c>
      <x:c r="J22" s="15"/>
      <x:c r="K22" s="15" t="str">
        <x:v>보안: INTERNAL</x:v>
      </x:c>
    </x:row>
    <x:row r="23" ht="44" customHeight="1">
      <x:c r="A23" s="15" t="n">
        <x:v>7</x:v>
      </x:c>
      <x:c r="B23" s="15" t="str">
        <x:v>created_at</x:v>
      </x:c>
      <x:c r="C23" s="15" t="str">
        <x:v>생성 시각</x:v>
      </x:c>
      <x:c r="D23" s="15" t="str">
        <x:v>timestamptz</x:v>
      </x:c>
      <x:c r="E23" s="15"/>
      <x:c r="F23" s="15"/>
      <x:c r="G23" s="15" t="str">
        <x:v>NOT NULL</x:v>
      </x:c>
      <x:c r="H23" s="15" t="str">
        <x:v>now()</x:v>
      </x:c>
      <x:c r="I23" s="15" t="str">
        <x:v>security.auth_sessions의 생성 시각을 UTC 기준 시각으로 저장한다.</x:v>
      </x:c>
      <x:c r="J23" s="15"/>
      <x:c r="K23" s="15" t="str">
        <x:v>보안: INTERNAL</x:v>
      </x:c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>
      <x:c r="A25" s="58" t="str">
        <x:v>no</x:v>
      </x:c>
      <x:c r="B25" s="58" t="str">
        <x:v>Index name</x:v>
      </x:c>
      <x:c r="C25" s="58"/>
      <x:c r="D25" s="58" t="str">
        <x:v>Index type</x:v>
      </x:c>
      <x:c r="E25" s="58"/>
      <x:c r="F25" s="58" t="str">
        <x:v>Unique</x:v>
      </x:c>
      <x:c r="G25" s="58"/>
      <x:c r="H25" s="58" t="str">
        <x:v>구성 컬럼</x:v>
      </x:c>
      <x:c r="I25" s="58"/>
      <x:c r="J25" s="58"/>
      <x:c r="K25" s="58"/>
    </x:row>
    <x:row r="26">
      <x:c r="A26" s="15" t="n">
        <x:v>1</x:v>
      </x:c>
      <x:c r="B26" s="15" t="str">
        <x:v>auth_sessions_pkey</x:v>
      </x:c>
      <x:c r="C26" s="15"/>
      <x:c r="D26" s="15" t="str">
        <x:v>BTREE</x:v>
      </x:c>
      <x:c r="E26" s="15"/>
      <x:c r="F26" s="15" t="str">
        <x:v>Unique</x:v>
      </x:c>
      <x:c r="G26" s="15"/>
      <x:c r="H26" s="15" t="str">
        <x:v>token_sha256</x:v>
      </x:c>
      <x:c r="I26" s="15"/>
      <x:c r="J26" s="15"/>
      <x:c r="K26" s="15"/>
    </x:row>
    <x:row r="27">
      <x:c r="A27" s="15" t="n">
        <x:v>2</x:v>
      </x:c>
      <x:c r="B27" s="15" t="str">
        <x:v>ix_auth_sessions_active</x:v>
      </x:c>
      <x:c r="C27" s="15"/>
      <x:c r="D27" s="15" t="str">
        <x:v>BTREE</x:v>
      </x:c>
      <x:c r="E27" s="15"/>
      <x:c r="F27" s="15" t="str">
        <x:v>Non-Unique</x:v>
      </x:c>
      <x:c r="G27" s="15"/>
      <x:c r="H27" s="15" t="str">
        <x:v>expires_at) WHERE (revoked_at IS NULL</x:v>
      </x:c>
      <x:c r="I27" s="15"/>
      <x:c r="J27" s="15"/>
      <x:c r="K27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25:C25"/>
    <x:mergeCell ref="D25:E25"/>
    <x:mergeCell ref="F25:G25"/>
    <x:mergeCell ref="H25:K25"/>
    <x:mergeCell ref="B26:C26"/>
    <x:mergeCell ref="D26:E26"/>
    <x:mergeCell ref="F26:G26"/>
    <x:mergeCell ref="H26:K26"/>
    <x:mergeCell ref="B27:C27"/>
    <x:mergeCell ref="D27:E27"/>
    <x:mergeCell ref="F27:G27"/>
    <x:mergeCell ref="H27:K27"/>
  </x:mergeCells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tooling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tool_registry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도구 등록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최소 읽기 전용 MCP Tool 계약을 버전별로 등록한다. 입력·출력 JSON Schema, 허용 역할, 안전성 힌트, 활성·health 상태를 관리하며 현재 검증 범위는 승인된 read-only Tool이다. RAG·ML 확장 Tool은 현재 MVP 실행 범위에 포함하지 않는다.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tool_id</x:v>
      </x:c>
      <x:c r="C17" s="15" t="str">
        <x:v>Tool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/>
      <x:c r="I17" s="15" t="str">
        <x:v>도구 등록의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15" t="str">
        <x:v>참조됨 | tooling.tool_runs.tool_id</x:v>
      </x:c>
      <x:c r="K17" s="15" t="str">
        <x:v>보안: INTERNAL</x:v>
      </x:c>
    </x:row>
    <x:row r="18" ht="44" customHeight="1">
      <x:c r="A18" s="15" t="n">
        <x:v>2</x:v>
      </x:c>
      <x:c r="B18" s="15" t="str">
        <x:v>tool_code</x:v>
      </x:c>
      <x:c r="C18" s="15" t="str">
        <x:v>Tool 코드</x:v>
      </x:c>
      <x:c r="D18" s="15" t="str">
        <x:v>varchar</x:v>
      </x:c>
      <x:c r="E18" s="15" t="n">
        <x:v>96</x:v>
      </x:c>
      <x:c r="F18" s="15" t="str">
        <x:v>UK</x:v>
      </x:c>
      <x:c r="G18" s="15" t="str">
        <x:v>NOT NULL</x:v>
      </x:c>
      <x:c r="H18" s="15"/>
      <x:c r="I18" s="15" t="str">
        <x:v>Tool 코드: 자유서술이 아닌 승인 코드로 저장한다. 자유서술 대신 승인된 코드 도메인을 사용해 source 간 집계와 필터 조건을 일관되게 유지한다.</x:v>
      </x:c>
      <x:c r="J18" s="15"/>
      <x:c r="K18" s="15" t="str">
        <x:v>보안: INTERNAL</x:v>
      </x:c>
    </x:row>
    <x:row r="19" ht="44" customHeight="1">
      <x:c r="A19" s="15" t="n">
        <x:v>3</x:v>
      </x:c>
      <x:c r="B19" s="15" t="str">
        <x:v>semantic_version</x:v>
      </x:c>
      <x:c r="C19" s="15" t="str">
        <x:v>semantic version</x:v>
      </x:c>
      <x:c r="D19" s="15" t="str">
        <x:v>varchar</x:v>
      </x:c>
      <x:c r="E19" s="15" t="n">
        <x:v>32</x:v>
      </x:c>
      <x:c r="F19" s="15"/>
      <x:c r="G19" s="15" t="str">
        <x:v>NOT NULL</x:v>
      </x:c>
      <x:c r="H19" s="15"/>
      <x:c r="I19" s="15" t="str">
        <x:v>semantic version의 정확한 버전을 식별한다. 최신값을 묵시적으로 사용하지 않고 실행·승인·평가 시 이 값을 함께 고정해 결과를 재현한다.</x:v>
      </x:c>
      <x:c r="J19" s="15"/>
      <x:c r="K19" s="15" t="str">
        <x:v>보안: INTERNAL</x:v>
      </x:c>
    </x:row>
    <x:row r="20" ht="44" customHeight="1">
      <x:c r="A20" s="15" t="n">
        <x:v>4</x:v>
      </x:c>
      <x:c r="B20" s="15" t="str">
        <x:v>description</x:v>
      </x:c>
      <x:c r="C20" s="15" t="str">
        <x:v>설명</x:v>
      </x:c>
      <x:c r="D20" s="15" t="str">
        <x:v>text</x:v>
      </x:c>
      <x:c r="E20" s="15"/>
      <x:c r="F20" s="15"/>
      <x:c r="G20" s="15" t="str">
        <x:v>NOT NULL</x:v>
      </x:c>
      <x:c r="H20" s="15"/>
      <x:c r="I20" s="15" t="str">
        <x:v>도구 등록 객체의 용도와 입력·출력·제약을 관리자가 이해할 수 있도록 설명하는 본문이다. 호출 코드나 비밀값 대신 사용자용 의미를 기록한다.</x:v>
      </x:c>
      <x:c r="J20" s="15"/>
      <x:c r="K20" s="15" t="str">
        <x:v>보안: INTERNAL</x:v>
      </x:c>
    </x:row>
    <x:row r="21" ht="44" customHeight="1">
      <x:c r="A21" s="15" t="n">
        <x:v>5</x:v>
      </x:c>
      <x:c r="B21" s="15" t="str">
        <x:v>input_schema_json</x:v>
      </x:c>
      <x:c r="C21" s="15" t="str">
        <x:v>입력 schema</x:v>
      </x:c>
      <x:c r="D21" s="15" t="str">
        <x:v>jsonb</x:v>
      </x:c>
      <x:c r="E21" s="15"/>
      <x:c r="F21" s="15"/>
      <x:c r="G21" s="15" t="str">
        <x:v>NOT NULL</x:v>
      </x:c>
      <x:c r="H21" s="15"/>
      <x:c r="I21" s="15" t="str">
        <x:v>도구 호출 입력의 JSON Schema다. 필수 필드, 타입, 길이·enum 제한을 정의하며 호출 전에 서버가 검증한다.</x:v>
      </x:c>
      <x:c r="J21" s="15" t="str">
        <x:v>구조 기준 | 해당 컬럼의 승인 JSON Schema</x:v>
      </x:c>
      <x:c r="K21" s="15" t="str">
        <x:v>보안: POLICY</x:v>
      </x:c>
    </x:row>
    <x:row r="22" ht="44" customHeight="1">
      <x:c r="A22" s="15" t="n">
        <x:v>6</x:v>
      </x:c>
      <x:c r="B22" s="15" t="str">
        <x:v>output_schema_json</x:v>
      </x:c>
      <x:c r="C22" s="15" t="str">
        <x:v>출력 schema</x:v>
      </x:c>
      <x:c r="D22" s="15" t="str">
        <x:v>jsonb</x:v>
      </x:c>
      <x:c r="E22" s="15"/>
      <x:c r="F22" s="15"/>
      <x:c r="G22" s="15" t="str">
        <x:v>NOT NULL</x:v>
      </x:c>
      <x:c r="H22" s="15"/>
      <x:c r="I22" s="15" t="str">
        <x:v>도구가 반환해야 하는 성공·오류 응답의 JSON Schema다. 원문 credential이나 허용되지 않은 데이터가 반환되지 않도록 필드를 제한한다.</x:v>
      </x:c>
      <x:c r="J22" s="15" t="str">
        <x:v>구조 기준 | 해당 컬럼의 승인 JSON Schema</x:v>
      </x:c>
      <x:c r="K22" s="15" t="str">
        <x:v>보안: POLICY</x:v>
      </x:c>
    </x:row>
    <x:row r="23" ht="44" customHeight="1">
      <x:c r="A23" s="15" t="n">
        <x:v>7</x:v>
      </x:c>
      <x:c r="B23" s="15" t="str">
        <x:v>transport</x:v>
      </x:c>
      <x:c r="C23" s="15" t="str">
        <x:v>transport</x:v>
      </x:c>
      <x:c r="D23" s="15" t="str">
        <x:v>varchar</x:v>
      </x:c>
      <x:c r="E23" s="15" t="n">
        <x:v>24</x:v>
      </x:c>
      <x:c r="F23" s="15"/>
      <x:c r="G23" s="15" t="str">
        <x:v>NOT NULL</x:v>
      </x:c>
      <x:c r="H23" s="15"/>
      <x:c r="I23" s="15" t="str">
        <x:v>transport: 승인된 표준 코드 값이다. 허용값은 INTERNAL, HTTP, MCP_STDIO, MCP_SSE이며 값에 따라 도구 등록의 처리 규칙·집계 범위·표시 방식이 달라지므로 자유서술을 허용하지 않는다.</x:v>
      </x:c>
      <x:c r="J23" s="15" t="str">
        <x:v>CHECK | CHECK (transport::text = 'MCP_STREAMABLE_HTTP'::text)</x:v>
      </x:c>
      <x:c r="K23" s="15" t="str">
        <x:v>보안: INTERNAL</x:v>
      </x:c>
    </x:row>
    <x:row r="24" ht="44" customHeight="1">
      <x:c r="A24" s="15" t="n">
        <x:v>8</x:v>
      </x:c>
      <x:c r="B24" s="15" t="str">
        <x:v>timeout_seconds</x:v>
      </x:c>
      <x:c r="C24" s="15" t="str">
        <x:v>timeout</x:v>
      </x:c>
      <x:c r="D24" s="15" t="str">
        <x:v>integer</x:v>
      </x:c>
      <x:c r="E24" s="15"/>
      <x:c r="F24" s="15"/>
      <x:c r="G24" s="15" t="str">
        <x:v>NOT NULL</x:v>
      </x:c>
      <x:c r="H24" s="15"/>
      <x:c r="I24" s="15" t="str">
        <x:v>timeout을 초 단위로 저장한다. 음수는 허용하지 않으며 시작·종료 시각 또는 운영 기준과 계산 결과가 일치하도록 검증한다.</x:v>
      </x:c>
      <x:c r="J24" s="15" t="str">
        <x:v>CHECK | CHECK (timeout_seconds &gt;= 1 AND timeout_seconds &lt;= 30)</x:v>
      </x:c>
      <x:c r="K24" s="15" t="str">
        <x:v>보안: POLICY</x:v>
      </x:c>
    </x:row>
    <x:row r="25" ht="44" customHeight="1">
      <x:c r="A25" s="15" t="n">
        <x:v>9</x:v>
      </x:c>
      <x:c r="B25" s="15" t="str">
        <x:v>required_roles_json</x:v>
      </x:c>
      <x:c r="C25" s="15" t="str">
        <x:v>필수 역할</x:v>
      </x:c>
      <x:c r="D25" s="15" t="str">
        <x:v>jsonb</x:v>
      </x:c>
      <x:c r="E25" s="15"/>
      <x:c r="F25" s="15"/>
      <x:c r="G25" s="15" t="str">
        <x:v>NOT NULL</x:v>
      </x:c>
      <x:c r="H25" s="15"/>
      <x:c r="I25" s="15" t="str">
        <x:v>도구를 호출할 수 있는 Answervice 역할 목록이다. 요청 시점 역할과 교집합이 없으면 실행 전에 DENIED 처리한다.</x:v>
      </x:c>
      <x:c r="J25" s="15" t="str">
        <x:v>구조 기준 | 해당 컬럼의 승인 JSON Schema</x:v>
      </x:c>
      <x:c r="K25" s="15" t="str">
        <x:v>보안: POLICY</x:v>
      </x:c>
    </x:row>
    <x:row r="26" ht="44" customHeight="1">
      <x:c r="A26" s="15" t="n">
        <x:v>10</x:v>
      </x:c>
      <x:c r="B26" s="15" t="str">
        <x:v>is_enabled</x:v>
      </x:c>
      <x:c r="C26" s="15" t="str">
        <x:v>활성 여부</x:v>
      </x:c>
      <x:c r="D26" s="15" t="str">
        <x:v>boolean</x:v>
      </x:c>
      <x:c r="E26" s="15"/>
      <x:c r="F26" s="15"/>
      <x:c r="G26" s="15" t="str">
        <x:v>NOT NULL</x:v>
      </x:c>
      <x:c r="H26" s="15" t="str">
        <x:v>false</x:v>
      </x:c>
      <x:c r="I26" s="15" t="str">
        <x:v>도구의 제품 노출·호출 허용 여부다. 현재 MVP에서는 승인된 read-only MCP Tool만 enabled=true로 운영하며 확장 Tool은 활성화하지 않는다.</x:v>
      </x:c>
      <x:c r="J26" s="15"/>
      <x:c r="K26" s="15" t="str">
        <x:v>보안: POLICY</x:v>
      </x:c>
    </x:row>
    <x:row r="27" ht="44" customHeight="1">
      <x:c r="A27" s="15" t="n">
        <x:v>11</x:v>
      </x:c>
      <x:c r="B27" s="15" t="str">
        <x:v>created_at</x:v>
      </x:c>
      <x:c r="C27" s="15" t="str">
        <x:v>생성 시각</x:v>
      </x:c>
      <x:c r="D27" s="15" t="str">
        <x:v>timestamptz</x:v>
      </x:c>
      <x:c r="E27" s="15"/>
      <x:c r="F27" s="15"/>
      <x:c r="G27" s="15" t="str">
        <x:v>NOT NULL</x:v>
      </x:c>
      <x:c r="H27" s="15" t="str">
        <x:v>now()</x:v>
      </x:c>
      <x:c r="I27" s="15" t="str">
        <x:v>tooling.tool_registry의 생성 시각을 UTC 기준 시각으로 저장한다.</x:v>
      </x:c>
      <x:c r="J27" s="15"/>
      <x:c r="K27" s="15" t="str">
        <x:v>보안: INTERNAL</x:v>
      </x:c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>
      <x:c r="A29" s="58" t="str">
        <x:v>no</x:v>
      </x:c>
      <x:c r="B29" s="58" t="str">
        <x:v>Index name</x:v>
      </x:c>
      <x:c r="C29" s="58"/>
      <x:c r="D29" s="58" t="str">
        <x:v>Index type</x:v>
      </x:c>
      <x:c r="E29" s="58"/>
      <x:c r="F29" s="58" t="str">
        <x:v>Unique</x:v>
      </x:c>
      <x:c r="G29" s="58"/>
      <x:c r="H29" s="58" t="str">
        <x:v>구성 컬럼</x:v>
      </x:c>
      <x:c r="I29" s="58"/>
      <x:c r="J29" s="58"/>
      <x:c r="K29" s="58"/>
    </x:row>
    <x:row r="30">
      <x:c r="A30" s="15" t="n">
        <x:v>1</x:v>
      </x:c>
      <x:c r="B30" s="15" t="str">
        <x:v>tool_registry_pkey</x:v>
      </x:c>
      <x:c r="C30" s="15"/>
      <x:c r="D30" s="15" t="str">
        <x:v>BTREE</x:v>
      </x:c>
      <x:c r="E30" s="15"/>
      <x:c r="F30" s="15" t="str">
        <x:v>Unique</x:v>
      </x:c>
      <x:c r="G30" s="15"/>
      <x:c r="H30" s="15" t="str">
        <x:v>tool_id</x:v>
      </x:c>
      <x:c r="I30" s="15"/>
      <x:c r="J30" s="15"/>
      <x:c r="K30" s="15"/>
    </x:row>
    <x:row r="31">
      <x:c r="A31" s="15" t="n">
        <x:v>2</x:v>
      </x:c>
      <x:c r="B31" s="15" t="str">
        <x:v>tool_registry_tool_code_key</x:v>
      </x:c>
      <x:c r="C31" s="15"/>
      <x:c r="D31" s="15" t="str">
        <x:v>BTREE</x:v>
      </x:c>
      <x:c r="E31" s="15"/>
      <x:c r="F31" s="15" t="str">
        <x:v>Unique</x:v>
      </x:c>
      <x:c r="G31" s="15"/>
      <x:c r="H31" s="15" t="str">
        <x:v>tool_code</x:v>
      </x:c>
      <x:c r="I31" s="15"/>
      <x:c r="J31" s="15"/>
      <x:c r="K31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29:C29"/>
    <x:mergeCell ref="D29:E29"/>
    <x:mergeCell ref="F29:G29"/>
    <x:mergeCell ref="H29:K29"/>
    <x:mergeCell ref="B30:C30"/>
    <x:mergeCell ref="D30:E30"/>
    <x:mergeCell ref="F30:G30"/>
    <x:mergeCell ref="H30:K30"/>
    <x:mergeCell ref="B31:C31"/>
    <x:mergeCell ref="D31:E31"/>
    <x:mergeCell ref="F31:G31"/>
    <x:mergeCell ref="H31:K31"/>
  </x:mergeCell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hotel_datahub_app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tooling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tool_runs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도구 실행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승인된 최소 읽기 전용 MCP Tool의 개별 호출 이력을 저장한다. Tool 계약 버전, 분석 요청 trace, 입력 hash, 상태·지연시간, 제한된 출력 참조와 비식별 오류를 기록한다. 현재 검증 기준은 tool_registry / tool_runs 및 analysis.get_run@1.0.0이다.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tool_run_id</x:v>
      </x:c>
      <x:c r="C17" s="15" t="str">
        <x:v>Tool 실행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/>
      <x:c r="I17" s="15" t="str">
        <x:v>도구 실행의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15"/>
      <x:c r="K17" s="15" t="str">
        <x:v>보안: INTERNAL</x:v>
      </x:c>
    </x:row>
    <x:row r="18" ht="44" customHeight="1">
      <x:c r="A18" s="15" t="n">
        <x:v>2</x:v>
      </x:c>
      <x:c r="B18" s="15" t="str">
        <x:v>tool_id</x:v>
      </x:c>
      <x:c r="C18" s="15" t="str">
        <x:v>Tool ID</x:v>
      </x:c>
      <x:c r="D18" s="15" t="str">
        <x:v>uuid</x:v>
      </x:c>
      <x:c r="E18" s="15"/>
      <x:c r="F18" s="15" t="str">
        <x:v>FK</x:v>
      </x:c>
      <x:c r="G18" s="15" t="str">
        <x:v>NOT NULL</x:v>
      </x:c>
      <x:c r="H18" s="15"/>
      <x:c r="I18" s="15" t="str">
        <x:v>Tool ID를 hotel_datahub_app.tooling.tool_registry.tool_id와 연결하는 물리 외래키다. 반드시 존재하는 상위 행을 참조해야 한다.</x:v>
      </x:c>
      <x:c r="J18" s="15" t="str">
        <x:v>물리 FK | tooling.tool_registry.tool_id</x:v>
      </x:c>
      <x:c r="K18" s="15" t="str">
        <x:v>보안: INTERNAL</x:v>
      </x:c>
    </x:row>
    <x:row r="19" ht="44" customHeight="1">
      <x:c r="A19" s="15" t="n">
        <x:v>3</x:v>
      </x:c>
      <x:c r="B19" s="15" t="str">
        <x:v>caller_user_id</x:v>
      </x:c>
      <x:c r="C19" s="15" t="str">
        <x:v>호출자</x:v>
      </x:c>
      <x:c r="D19" s="15" t="str">
        <x:v>uuid</x:v>
      </x:c>
      <x:c r="E19" s="15"/>
      <x:c r="F19" s="15"/>
      <x:c r="G19" s="15" t="str">
        <x:v>NOT NULL</x:v>
      </x:c>
      <x:c r="H19" s="15"/>
      <x:c r="I19" s="15" t="str">
        <x:v>호출자에 해당하는 Answervice 사용자 식별자다. 인증·SSO 사용자 디렉터리를 논리 참조하며 표시 이름·이메일 같은 개인정보를 이 테이블에 복제하지 않는다.</x:v>
      </x:c>
      <x:c r="J19" s="15" t="str">
        <x:v>논리 참조 | Answervice 인증·사용자 디렉터리 user_id | 물리 FK 미적용</x:v>
      </x:c>
      <x:c r="K19" s="15" t="str">
        <x:v>보안: INTERNAL</x:v>
      </x:c>
    </x:row>
    <x:row r="20" ht="44" customHeight="1">
      <x:c r="A20" s="15" t="n">
        <x:v>4</x:v>
      </x:c>
      <x:c r="B20" s="15" t="str">
        <x:v>caller_role</x:v>
      </x:c>
      <x:c r="C20" s="15" t="str">
        <x:v>caller 역할</x:v>
      </x:c>
      <x:c r="D20" s="15" t="str">
        <x:v>varchar</x:v>
      </x:c>
      <x:c r="E20" s="15" t="n">
        <x:v>32</x:v>
      </x:c>
      <x:c r="F20" s="15"/>
      <x:c r="G20" s="15" t="str">
        <x:v>NOT NULL</x:v>
      </x:c>
      <x:c r="H20" s="15"/>
      <x:c r="I20" s="15" t="str">
        <x:v>tooling.tool_runs에서 caller 역할 값을 저장한다.</x:v>
      </x:c>
      <x:c r="J20" s="15"/>
      <x:c r="K20" s="15" t="str">
        <x:v>보안: INTERNAL</x:v>
      </x:c>
    </x:row>
    <x:row r="21" ht="44" customHeight="1">
      <x:c r="A21" s="15" t="n">
        <x:v>5</x:v>
      </x:c>
      <x:c r="B21" s="15" t="str">
        <x:v>trace_id</x:v>
      </x:c>
      <x:c r="C21" s="15" t="str">
        <x:v>trace ID</x:v>
      </x:c>
      <x:c r="D21" s="15" t="str">
        <x:v>varchar</x:v>
      </x:c>
      <x:c r="E21" s="15" t="n">
        <x:v>128</x:v>
      </x:c>
      <x:c r="F21" s="15"/>
      <x:c r="G21" s="15" t="str">
        <x:v>NOT NULL</x:v>
      </x:c>
      <x:c r="H21" s="15"/>
      <x:c r="I21" s="15" t="str">
        <x:v>tooling.tool_runs에서 trace ID 값을 저장한다.</x:v>
      </x:c>
      <x:c r="J21" s="15"/>
      <x:c r="K21" s="15" t="str">
        <x:v>보안: INTERNAL</x:v>
      </x:c>
    </x:row>
    <x:row r="22" ht="44" customHeight="1">
      <x:c r="A22" s="15" t="n">
        <x:v>6</x:v>
      </x:c>
      <x:c r="B22" s="15" t="str">
        <x:v>input_hash</x:v>
      </x:c>
      <x:c r="C22" s="15" t="str">
        <x:v>입력 hash</x:v>
      </x:c>
      <x:c r="D22" s="15" t="str">
        <x:v>varchar</x:v>
      </x:c>
      <x:c r="E22" s="15" t="n">
        <x:v>64</x:v>
      </x:c>
      <x:c r="F22" s="15"/>
      <x:c r="G22" s="15" t="str">
        <x:v>NOT NULL</x:v>
      </x:c>
      <x:c r="H22" s="15"/>
      <x:c r="I22" s="15" t="str">
        <x:v>민감값을 제거하고 정규화한 도구 입력의 SHA-256 해시다. 같은 입력의 중복 호출·멱등성 검증에 사용하며 원문 복원에는 사용할 수 없다.</x:v>
      </x:c>
      <x:c r="J22" s="15" t="str">
        <x:v>CHECK | CHECK (length(input_hash::text) = 64)</x:v>
      </x:c>
      <x:c r="K22" s="15" t="str">
        <x:v>보안: INTERNAL</x:v>
      </x:c>
    </x:row>
    <x:row r="23" ht="44" customHeight="1">
      <x:c r="A23" s="15" t="n">
        <x:v>7</x:v>
      </x:c>
      <x:c r="B23" s="15" t="str">
        <x:v>status</x:v>
      </x:c>
      <x:c r="C23" s="15" t="str">
        <x:v>상태</x:v>
      </x:c>
      <x:c r="D23" s="15" t="str">
        <x:v>varchar</x:v>
      </x:c>
      <x:c r="E23" s="15" t="n">
        <x:v>16</x:v>
      </x:c>
      <x:c r="F23" s="15"/>
      <x:c r="G23" s="15" t="str">
        <x:v>NOT NULL</x:v>
      </x:c>
      <x:c r="H23" s="15"/>
      <x:c r="I23" s="15" t="str">
        <x:v>도구 실행 레코드의 현재 처리 단계 또는 사용 가능 상태를 나타낸다. 허용값은 RUNNING, SUCCEEDED, FAILED, DENIED, TIMEOUT이며 상태 전이는 업무 규칙과 감사 이벤트로 추적한다.</x:v>
      </x:c>
      <x:c r="J23" s="15" t="str">
        <x:v>CHECK | CHECK (status::text = 'SUCCEEDED'::text AND error_code IS NULL OR status::text &lt;&gt; 'SUCCEEDED'::text AND error_code IS NOT NULL)</x:v>
      </x:c>
      <x:c r="K23" s="15" t="str">
        <x:v>보안: INTERNAL</x:v>
      </x:c>
    </x:row>
    <x:row r="24" ht="44" customHeight="1">
      <x:c r="A24" s="15" t="n">
        <x:v>8</x:v>
      </x:c>
      <x:c r="B24" s="15" t="str">
        <x:v>latency_ms</x:v>
      </x:c>
      <x:c r="C24" s="15" t="str">
        <x:v>latency</x:v>
      </x:c>
      <x:c r="D24" s="15" t="str">
        <x:v>integer</x:v>
      </x:c>
      <x:c r="E24" s="15"/>
      <x:c r="F24" s="15"/>
      <x:c r="G24" s="15" t="str">
        <x:v>NOT NULL</x:v>
      </x:c>
      <x:c r="H24" s="15"/>
      <x:c r="I24" s="15" t="str">
        <x:v>latency을 밀리초 단위로 저장한다. 음수는 허용하지 않으며 시작·종료 시각 또는 운영 기준과 계산 결과가 일치하도록 검증한다.</x:v>
      </x:c>
      <x:c r="J24" s="15" t="str">
        <x:v>CHECK | CHECK (latency_ms &gt;= 0)</x:v>
      </x:c>
      <x:c r="K24" s="15" t="str">
        <x:v>보안: INTERNAL</x:v>
      </x:c>
    </x:row>
    <x:row r="25" ht="44" customHeight="1">
      <x:c r="A25" s="15" t="n">
        <x:v>9</x:v>
      </x:c>
      <x:c r="B25" s="15" t="str">
        <x:v>output_ref_json</x:v>
      </x:c>
      <x:c r="C25" s="15" t="str">
        <x:v>출력 참조</x:v>
      </x:c>
      <x:c r="D25" s="15" t="str">
        <x:v>jsonb</x:v>
      </x:c>
      <x:c r="E25" s="15"/>
      <x:c r="F25" s="15"/>
      <x:c r="G25" s="15" t="str">
        <x:v>NOT NULL</x:v>
      </x:c>
      <x:c r="H25" s="15"/>
      <x:c r="I25" s="15" t="str">
        <x:v>도구 결과의 제한된 요약 또는 별도 저장 위치를 구조화해 저장한다. 대용량·민감 결과를 audit DB에 직접 복제하지 않는다.</x:v>
      </x:c>
      <x:c r="J25" s="15" t="str">
        <x:v>구조 기준 | 해당 컬럼의 승인 JSON Schema</x:v>
      </x:c>
      <x:c r="K25" s="15" t="str">
        <x:v>보안: CONFIDENTIAL</x:v>
      </x:c>
    </x:row>
    <x:row r="26" ht="44" customHeight="1">
      <x:c r="A26" s="15" t="n">
        <x:v>10</x:v>
      </x:c>
      <x:c r="B26" s="15" t="str">
        <x:v>error_code</x:v>
      </x:c>
      <x:c r="C26" s="15" t="str">
        <x:v>오류 코드</x:v>
      </x:c>
      <x:c r="D26" s="15" t="str">
        <x:v>varchar</x:v>
      </x:c>
      <x:c r="E26" s="15" t="n">
        <x:v>64</x:v>
      </x:c>
      <x:c r="F26" s="15"/>
      <x:c r="G26" s="15"/>
      <x:c r="H26" s="15"/>
      <x:c r="I26" s="15" t="str">
        <x:v>오류 코드: 자유서술이 아닌 승인 코드로 저장한다. 자유서술 대신 승인된 코드 도메인을 사용해 source 간 집계와 필터 조건을 일관되게 유지한다.</x:v>
      </x:c>
      <x:c r="J26" s="15" t="str">
        <x:v>CHECK | CHECK (status::text = 'SUCCEEDED'::text AND error_code IS NULL OR status::text &lt;&gt; 'SUCCEEDED'::text AND error_code IS NOT NULL)</x:v>
      </x:c>
      <x:c r="K26" s="15" t="str">
        <x:v>보안: INTERNAL</x:v>
      </x:c>
    </x:row>
    <x:row r="27" ht="44" customHeight="1">
      <x:c r="A27" s="15" t="n">
        <x:v>11</x:v>
      </x:c>
      <x:c r="B27" s="15" t="str">
        <x:v>created_at</x:v>
      </x:c>
      <x:c r="C27" s="15" t="str">
        <x:v>생성 시각</x:v>
      </x:c>
      <x:c r="D27" s="15" t="str">
        <x:v>timestamptz</x:v>
      </x:c>
      <x:c r="E27" s="15"/>
      <x:c r="F27" s="15"/>
      <x:c r="G27" s="15" t="str">
        <x:v>NOT NULL</x:v>
      </x:c>
      <x:c r="H27" s="15" t="str">
        <x:v>now()</x:v>
      </x:c>
      <x:c r="I27" s="15" t="str">
        <x:v>tooling.tool_runs의 생성 시각을 UTC 기준 시각으로 저장한다.</x:v>
      </x:c>
      <x:c r="J27" s="15"/>
      <x:c r="K27" s="15" t="str">
        <x:v>보안: INTERNAL</x:v>
      </x:c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>
      <x:c r="A29" s="58" t="str">
        <x:v>no</x:v>
      </x:c>
      <x:c r="B29" s="58" t="str">
        <x:v>Index name</x:v>
      </x:c>
      <x:c r="C29" s="58"/>
      <x:c r="D29" s="58" t="str">
        <x:v>Index type</x:v>
      </x:c>
      <x:c r="E29" s="58"/>
      <x:c r="F29" s="58" t="str">
        <x:v>Unique</x:v>
      </x:c>
      <x:c r="G29" s="58"/>
      <x:c r="H29" s="58" t="str">
        <x:v>구성 컬럼</x:v>
      </x:c>
      <x:c r="I29" s="58"/>
      <x:c r="J29" s="58"/>
      <x:c r="K29" s="58"/>
    </x:row>
    <x:row r="30">
      <x:c r="A30" s="15" t="n">
        <x:v>1</x:v>
      </x:c>
      <x:c r="B30" s="15" t="str">
        <x:v>idx_tool_runs_tool_created</x:v>
      </x:c>
      <x:c r="C30" s="15"/>
      <x:c r="D30" s="15" t="str">
        <x:v>BTREE</x:v>
      </x:c>
      <x:c r="E30" s="15"/>
      <x:c r="F30" s="15" t="str">
        <x:v>Non-Unique</x:v>
      </x:c>
      <x:c r="G30" s="15"/>
      <x:c r="H30" s="15" t="str">
        <x:v>tool_id, created_at DESC</x:v>
      </x:c>
      <x:c r="I30" s="15"/>
      <x:c r="J30" s="15"/>
      <x:c r="K30" s="15"/>
    </x:row>
    <x:row r="31">
      <x:c r="A31" s="15" t="n">
        <x:v>2</x:v>
      </x:c>
      <x:c r="B31" s="15" t="str">
        <x:v>tool_runs_pkey</x:v>
      </x:c>
      <x:c r="C31" s="15"/>
      <x:c r="D31" s="15" t="str">
        <x:v>BTREE</x:v>
      </x:c>
      <x:c r="E31" s="15"/>
      <x:c r="F31" s="15" t="str">
        <x:v>Unique</x:v>
      </x:c>
      <x:c r="G31" s="15"/>
      <x:c r="H31" s="15" t="str">
        <x:v>tool_run_id</x:v>
      </x:c>
      <x:c r="I31" s="15"/>
      <x:c r="J31" s="15"/>
      <x:c r="K31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29:C29"/>
    <x:mergeCell ref="D29:E29"/>
    <x:mergeCell ref="F29:G29"/>
    <x:mergeCell ref="H29:K29"/>
    <x:mergeCell ref="B30:C30"/>
    <x:mergeCell ref="D30:E30"/>
    <x:mergeCell ref="F30:G30"/>
    <x:mergeCell ref="H30:K30"/>
    <x:mergeCell ref="B31:C31"/>
    <x:mergeCell ref="D31:E31"/>
    <x:mergeCell ref="F31:G31"/>
    <x:mergeCell ref="H31:K31"/>
  </x:mergeCells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 + pgvector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rag_db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public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answer_traces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RAG 답변 추적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RAG pgvector 저장소의 RAG 답변 추적을 관리한다. 현재 init 001~009에서 재현한 물리 구조이며 기능 호출 기본값은 비활성이다.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초기 30일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request_id</x:v>
      </x:c>
      <x:c r="C17" s="15" t="str">
        <x:v>요청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/>
      <x:c r="I17" s="15" t="str">
        <x:v>public.answer_traces의 한 행을 식별하는 요청 ID 기본키다.</x:v>
      </x:c>
      <x:c r="J17" s="15"/>
      <x:c r="K17" s="15" t="str">
        <x:v>보안: INTERNAL</x:v>
      </x:c>
    </x:row>
    <x:row r="18" ht="44" customHeight="1">
      <x:c r="A18" s="15" t="n">
        <x:v>2</x:v>
      </x:c>
      <x:c r="B18" s="15" t="str">
        <x:v>trace_id</x:v>
      </x:c>
      <x:c r="C18" s="15" t="str">
        <x:v>trace ID</x:v>
      </x:c>
      <x:c r="D18" s="15" t="str">
        <x:v>uuid</x:v>
      </x:c>
      <x:c r="E18" s="15"/>
      <x:c r="F18" s="15"/>
      <x:c r="G18" s="15" t="str">
        <x:v>NOT NULL</x:v>
      </x:c>
      <x:c r="H18" s="15"/>
      <x:c r="I18" s="15" t="str">
        <x:v>public.answer_traces에서 trace ID 값을 저장한다.</x:v>
      </x:c>
      <x:c r="J18" s="15"/>
      <x:c r="K18" s="15" t="str">
        <x:v>보안: INTERNAL</x:v>
      </x:c>
    </x:row>
    <x:row r="19" ht="44" customHeight="1">
      <x:c r="A19" s="15" t="n">
        <x:v>3</x:v>
      </x:c>
      <x:c r="B19" s="15" t="str">
        <x:v>query_hash</x:v>
      </x:c>
      <x:c r="C19" s="15" t="str">
        <x:v>쿼리 해시</x:v>
      </x:c>
      <x:c r="D19" s="15" t="str">
        <x:v>varchar</x:v>
      </x:c>
      <x:c r="E19" s="15" t="n">
        <x:v>64</x:v>
      </x:c>
      <x:c r="F19" s="15"/>
      <x:c r="G19" s="15" t="str">
        <x:v>NOT NULL</x:v>
      </x:c>
      <x:c r="H19" s="15"/>
      <x:c r="I19" s="15" t="str">
        <x:v>public.answer_traces에서 쿼리 해시 값을 저장한다.</x:v>
      </x:c>
      <x:c r="J19" s="15"/>
      <x:c r="K19" s="15" t="str">
        <x:v>보안: INTERNAL</x:v>
      </x:c>
    </x:row>
    <x:row r="20" ht="44" customHeight="1">
      <x:c r="A20" s="15" t="n">
        <x:v>4</x:v>
      </x:c>
      <x:c r="B20" s="15" t="str">
        <x:v>status</x:v>
      </x:c>
      <x:c r="C20" s="15" t="str">
        <x:v>상태</x:v>
      </x:c>
      <x:c r="D20" s="15" t="str">
        <x:v>varchar</x:v>
      </x:c>
      <x:c r="E20" s="15" t="n">
        <x:v>50</x:v>
      </x:c>
      <x:c r="F20" s="15"/>
      <x:c r="G20" s="15" t="str">
        <x:v>NOT NULL</x:v>
      </x:c>
      <x:c r="H20" s="15"/>
      <x:c r="I20" s="15" t="str">
        <x:v>public.answer_traces의 현재 상태를 저장한다. 허용 범위는 연결된 CHECK 제약과 서비스 계약을 따른다.</x:v>
      </x:c>
      <x:c r="J20" s="15"/>
      <x:c r="K20" s="15" t="str">
        <x:v>보안: INTERNAL</x:v>
      </x:c>
    </x:row>
    <x:row r="21" ht="44" customHeight="1">
      <x:c r="A21" s="15" t="n">
        <x:v>5</x:v>
      </x:c>
      <x:c r="B21" s="15" t="str">
        <x:v>latency_ms</x:v>
      </x:c>
      <x:c r="C21" s="15" t="str">
        <x:v>latency ms</x:v>
      </x:c>
      <x:c r="D21" s="15" t="str">
        <x:v>real</x:v>
      </x:c>
      <x:c r="E21" s="15"/>
      <x:c r="F21" s="15"/>
      <x:c r="G21" s="15"/>
      <x:c r="H21" s="15"/>
      <x:c r="I21" s="15" t="str">
        <x:v>public.answer_traces에서 latency ms 값을 저장한다.</x:v>
      </x:c>
      <x:c r="J21" s="15"/>
      <x:c r="K21" s="15" t="str">
        <x:v>보안: INTERNAL</x:v>
      </x:c>
    </x:row>
    <x:row r="22" ht="44" customHeight="1">
      <x:c r="A22" s="15" t="n">
        <x:v>6</x:v>
      </x:c>
      <x:c r="B22" s="15" t="str">
        <x:v>model_id</x:v>
      </x:c>
      <x:c r="C22" s="15" t="str">
        <x:v>모델 ID</x:v>
      </x:c>
      <x:c r="D22" s="15" t="str">
        <x:v>varchar</x:v>
      </x:c>
      <x:c r="E22" s="15" t="n">
        <x:v>100</x:v>
      </x:c>
      <x:c r="F22" s="15"/>
      <x:c r="G22" s="15"/>
      <x:c r="H22" s="15"/>
      <x:c r="I22" s="15" t="str">
        <x:v>public.answer_traces에서 모델 ID 값을 저장한다.</x:v>
      </x:c>
      <x:c r="J22" s="15"/>
      <x:c r="K22" s="15" t="str">
        <x:v>보안: INTERNAL</x:v>
      </x:c>
    </x:row>
    <x:row r="23" ht="44" customHeight="1">
      <x:c r="A23" s="15" t="n">
        <x:v>7</x:v>
      </x:c>
      <x:c r="B23" s="15" t="str">
        <x:v>created_at</x:v>
      </x:c>
      <x:c r="C23" s="15" t="str">
        <x:v>생성 시각</x:v>
      </x:c>
      <x:c r="D23" s="15" t="str">
        <x:v>timestamptz</x:v>
      </x:c>
      <x:c r="E23" s="15"/>
      <x:c r="F23" s="15"/>
      <x:c r="G23" s="15"/>
      <x:c r="H23" s="15" t="str">
        <x:v>CURRENT_TIMESTAMP</x:v>
      </x:c>
      <x:c r="I23" s="15" t="str">
        <x:v>public.answer_traces의 생성 시각을 UTC 기준 시각으로 저장한다.</x:v>
      </x:c>
      <x:c r="J23" s="15"/>
      <x:c r="K23" s="15" t="str">
        <x:v>보안: INTERNAL</x:v>
      </x:c>
    </x:row>
    <x:row r="24" ht="44" customHeight="1">
      <x:c r="A24" s="15" t="n">
        <x:v>8</x:v>
      </x:c>
      <x:c r="B24" s="15" t="str">
        <x:v>retrieval_request_id</x:v>
      </x:c>
      <x:c r="C24" s="15" t="str">
        <x:v>검색 요청 ID</x:v>
      </x:c>
      <x:c r="D24" s="15" t="str">
        <x:v>uuid</x:v>
      </x:c>
      <x:c r="E24" s="15"/>
      <x:c r="F24" s="15"/>
      <x:c r="G24" s="15"/>
      <x:c r="H24" s="15"/>
      <x:c r="I24" s="15" t="str">
        <x:v>public.answer_traces에서 검색 요청 ID 값을 저장한다.</x:v>
      </x:c>
      <x:c r="J24" s="15"/>
      <x:c r="K24" s="15" t="str">
        <x:v>보안: INTERNAL</x:v>
      </x:c>
    </x:row>
    <x:row r="25" ht="44" customHeight="1">
      <x:c r="A25" s="15" t="n">
        <x:v>9</x:v>
      </x:c>
      <x:c r="B25" s="15" t="str">
        <x:v>answer_hash</x:v>
      </x:c>
      <x:c r="C25" s="15" t="str">
        <x:v>answer 해시</x:v>
      </x:c>
      <x:c r="D25" s="15" t="str">
        <x:v>varchar</x:v>
      </x:c>
      <x:c r="E25" s="15" t="n">
        <x:v>64</x:v>
      </x:c>
      <x:c r="F25" s="15"/>
      <x:c r="G25" s="15"/>
      <x:c r="H25" s="15"/>
      <x:c r="I25" s="15" t="str">
        <x:v>public.answer_traces에서 answer 해시 값을 저장한다.</x:v>
      </x:c>
      <x:c r="J25" s="15"/>
      <x:c r="K25" s="15" t="str">
        <x:v>보안: INTERNAL</x:v>
      </x:c>
    </x:row>
    <x:row r="26" ht="44" customHeight="1">
      <x:c r="A26" s="15" t="n">
        <x:v>10</x:v>
      </x:c>
      <x:c r="B26" s="15" t="str">
        <x:v>answer_type</x:v>
      </x:c>
      <x:c r="C26" s="15" t="str">
        <x:v>answer 유형</x:v>
      </x:c>
      <x:c r="D26" s="15" t="str">
        <x:v>varchar</x:v>
      </x:c>
      <x:c r="E26" s="15" t="n">
        <x:v>50</x:v>
      </x:c>
      <x:c r="F26" s="15"/>
      <x:c r="G26" s="15"/>
      <x:c r="H26" s="15"/>
      <x:c r="I26" s="15" t="str">
        <x:v>public.answer_traces에서 answer 유형 값을 저장한다.</x:v>
      </x:c>
      <x:c r="J26" s="15"/>
      <x:c r="K26" s="15" t="str">
        <x:v>보안: INTERNAL</x:v>
      </x:c>
    </x:row>
    <x:row r="27" ht="44" customHeight="1">
      <x:c r="A27" s="15" t="n">
        <x:v>11</x:v>
      </x:c>
      <x:c r="B27" s="15" t="str">
        <x:v>citation_evidence_ids</x:v>
      </x:c>
      <x:c r="C27" s="15" t="str">
        <x:v>citation evidence ID</x:v>
      </x:c>
      <x:c r="D27" s="15" t="str">
        <x:v>jsonb</x:v>
      </x:c>
      <x:c r="E27" s="15"/>
      <x:c r="F27" s="15"/>
      <x:c r="G27" s="15" t="str">
        <x:v>NOT NULL</x:v>
      </x:c>
      <x:c r="H27" s="15" t="str">
        <x:v>'[]'::jsonb</x:v>
      </x:c>
      <x:c r="I27" s="15" t="str">
        <x:v>public.answer_traces의 citation evidence ID 구조를 JSONB로 저장하며 승인된 스키마 계약으로 검증한다.</x:v>
      </x:c>
      <x:c r="J27" s="15"/>
      <x:c r="K27" s="15" t="str">
        <x:v>보안: INTERNAL</x:v>
      </x:c>
    </x:row>
    <x:row r="28" ht="44" customHeight="1">
      <x:c r="A28" s="15" t="n">
        <x:v>12</x:v>
      </x:c>
      <x:c r="B28" s="15" t="str">
        <x:v>citation_count</x:v>
      </x:c>
      <x:c r="C28" s="15" t="str">
        <x:v>citation 수</x:v>
      </x:c>
      <x:c r="D28" s="15" t="str">
        <x:v>integer</x:v>
      </x:c>
      <x:c r="E28" s="15"/>
      <x:c r="F28" s="15"/>
      <x:c r="G28" s="15" t="str">
        <x:v>NOT NULL</x:v>
      </x:c>
      <x:c r="H28" s="15" t="str">
        <x:v>0</x:v>
      </x:c>
      <x:c r="I28" s="15" t="str">
        <x:v>public.answer_traces에서 citation 수 값을 저장한다.</x:v>
      </x:c>
      <x:c r="J28" s="15"/>
      <x:c r="K28" s="15" t="str">
        <x:v>보안: INTERNAL</x:v>
      </x:c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>
      <x:c r="A30" s="58" t="str">
        <x:v>no</x:v>
      </x:c>
      <x:c r="B30" s="58" t="str">
        <x:v>Index name</x:v>
      </x:c>
      <x:c r="C30" s="58"/>
      <x:c r="D30" s="58" t="str">
        <x:v>Index type</x:v>
      </x:c>
      <x:c r="E30" s="58"/>
      <x:c r="F30" s="58" t="str">
        <x:v>Unique</x:v>
      </x:c>
      <x:c r="G30" s="58"/>
      <x:c r="H30" s="58" t="str">
        <x:v>구성 컬럼</x:v>
      </x:c>
      <x:c r="I30" s="58"/>
      <x:c r="J30" s="58"/>
      <x:c r="K30" s="58"/>
    </x:row>
    <x:row r="31">
      <x:c r="A31" s="15" t="n">
        <x:v>1</x:v>
      </x:c>
      <x:c r="B31" s="15" t="str">
        <x:v>answer_traces_pkey</x:v>
      </x:c>
      <x:c r="C31" s="15"/>
      <x:c r="D31" s="15" t="str">
        <x:v>BTREE</x:v>
      </x:c>
      <x:c r="E31" s="15"/>
      <x:c r="F31" s="15" t="str">
        <x:v>Unique</x:v>
      </x:c>
      <x:c r="G31" s="15"/>
      <x:c r="H31" s="15" t="str">
        <x:v>request_id</x:v>
      </x:c>
      <x:c r="I31" s="15"/>
      <x:c r="J31" s="15"/>
      <x:c r="K31" s="15"/>
    </x:row>
    <x:row r="32">
      <x:c r="A32" s="15" t="n">
        <x:v>2</x:v>
      </x:c>
      <x:c r="B32" s="15" t="str">
        <x:v>ix_answer_traces_retrieval_request_id</x:v>
      </x:c>
      <x:c r="C32" s="15"/>
      <x:c r="D32" s="15" t="str">
        <x:v>BTREE</x:v>
      </x:c>
      <x:c r="E32" s="15"/>
      <x:c r="F32" s="15" t="str">
        <x:v>Non-Unique</x:v>
      </x:c>
      <x:c r="G32" s="15"/>
      <x:c r="H32" s="15" t="str">
        <x:v>retrieval_request_id</x:v>
      </x:c>
      <x:c r="I32" s="15"/>
      <x:c r="J32" s="15"/>
      <x:c r="K32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0:C30"/>
    <x:mergeCell ref="D30:E30"/>
    <x:mergeCell ref="F30:G30"/>
    <x:mergeCell ref="H30:K30"/>
    <x:mergeCell ref="B31:C31"/>
    <x:mergeCell ref="D31:E31"/>
    <x:mergeCell ref="F31:G31"/>
    <x:mergeCell ref="H31:K31"/>
    <x:mergeCell ref="B32:C32"/>
    <x:mergeCell ref="D32:E32"/>
    <x:mergeCell ref="F32:G32"/>
    <x:mergeCell ref="H32:K32"/>
  </x:mergeCells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 + pgvector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rag_db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public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api_request_nonces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API 요청 nonce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RAG pgvector 저장소의 API 요청 nonce을 관리한다. 현재 init 001~009에서 재현한 물리 구조이며 기능 호출 기본값은 비활성이다.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초기 30일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request_id</x:v>
      </x:c>
      <x:c r="C17" s="15" t="str">
        <x:v>요청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/>
      <x:c r="I17" s="15" t="str">
        <x:v>public.api_request_nonces의 한 행을 식별하는 요청 ID 기본키다.</x:v>
      </x:c>
      <x:c r="J17" s="15"/>
      <x:c r="K17" s="15" t="str">
        <x:v>보안: INTERNAL</x:v>
      </x:c>
    </x:row>
    <x:row r="18" ht="44" customHeight="1">
      <x:c r="A18" s="15" t="n">
        <x:v>2</x:v>
      </x:c>
      <x:c r="B18" s="15" t="str">
        <x:v>expires_at</x:v>
      </x:c>
      <x:c r="C18" s="15" t="str">
        <x:v>expires 시각</x:v>
      </x:c>
      <x:c r="D18" s="15" t="str">
        <x:v>timestamptz</x:v>
      </x:c>
      <x:c r="E18" s="15"/>
      <x:c r="F18" s="15"/>
      <x:c r="G18" s="15" t="str">
        <x:v>NOT NULL</x:v>
      </x:c>
      <x:c r="H18" s="15"/>
      <x:c r="I18" s="15" t="str">
        <x:v>public.api_request_nonces의 expires 시각을 UTC 기준 시각으로 저장한다.</x:v>
      </x:c>
      <x:c r="J18" s="15"/>
      <x:c r="K18" s="15" t="str">
        <x:v>보안: INTERNAL</x:v>
      </x:c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>
      <x:c r="A20" s="58" t="str">
        <x:v>no</x:v>
      </x:c>
      <x:c r="B20" s="58" t="str">
        <x:v>Index name</x:v>
      </x:c>
      <x:c r="C20" s="58"/>
      <x:c r="D20" s="58" t="str">
        <x:v>Index type</x:v>
      </x:c>
      <x:c r="E20" s="58"/>
      <x:c r="F20" s="58" t="str">
        <x:v>Unique</x:v>
      </x:c>
      <x:c r="G20" s="58"/>
      <x:c r="H20" s="58" t="str">
        <x:v>구성 컬럼</x:v>
      </x:c>
      <x:c r="I20" s="58"/>
      <x:c r="J20" s="58"/>
      <x:c r="K20" s="58"/>
    </x:row>
    <x:row r="21">
      <x:c r="A21" s="15" t="n">
        <x:v>1</x:v>
      </x:c>
      <x:c r="B21" s="15" t="str">
        <x:v>api_request_nonces_pkey</x:v>
      </x:c>
      <x:c r="C21" s="15"/>
      <x:c r="D21" s="15" t="str">
        <x:v>BTREE</x:v>
      </x:c>
      <x:c r="E21" s="15"/>
      <x:c r="F21" s="15" t="str">
        <x:v>Unique</x:v>
      </x:c>
      <x:c r="G21" s="15"/>
      <x:c r="H21" s="15" t="str">
        <x:v>request_id</x:v>
      </x:c>
      <x:c r="I21" s="15"/>
      <x:c r="J21" s="15"/>
      <x:c r="K21" s="15"/>
    </x:row>
    <x:row r="22">
      <x:c r="A22" s="15" t="n">
        <x:v>2</x:v>
      </x:c>
      <x:c r="B22" s="15" t="str">
        <x:v>idx_api_request_nonces_expiry</x:v>
      </x:c>
      <x:c r="C22" s="15"/>
      <x:c r="D22" s="15" t="str">
        <x:v>BTREE</x:v>
      </x:c>
      <x:c r="E22" s="15"/>
      <x:c r="F22" s="15" t="str">
        <x:v>Non-Unique</x:v>
      </x:c>
      <x:c r="G22" s="15"/>
      <x:c r="H22" s="15" t="str">
        <x:v>expires_at</x:v>
      </x:c>
      <x:c r="I22" s="15"/>
      <x:c r="J22" s="15"/>
      <x:c r="K22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20:C20"/>
    <x:mergeCell ref="D20:E20"/>
    <x:mergeCell ref="F20:G20"/>
    <x:mergeCell ref="H20:K20"/>
    <x:mergeCell ref="B21:C21"/>
    <x:mergeCell ref="D21:E21"/>
    <x:mergeCell ref="F21:G21"/>
    <x:mergeCell ref="H21:K21"/>
    <x:mergeCell ref="B22:C22"/>
    <x:mergeCell ref="D22:E22"/>
    <x:mergeCell ref="F22:G22"/>
    <x:mergeCell ref="H22:K22"/>
  </x:mergeCells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 + pgvector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rag_db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public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api_security_audit_logs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API 보안 감사 로그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RAG pgvector 저장소의 API 보안 감사 로그을 관리한다. 현재 init 001~009에서 재현한 물리 구조이며 기능 호출 기본값은 비활성이다.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초기 30일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event_id</x:v>
      </x:c>
      <x:c r="C17" s="15" t="str">
        <x:v>event ID</x:v>
      </x:c>
      <x:c r="D17" s="15" t="str">
        <x:v>bigint</x:v>
      </x:c>
      <x:c r="E17" s="15"/>
      <x:c r="F17" s="15" t="str">
        <x:v>PK</x:v>
      </x:c>
      <x:c r="G17" s="15" t="str">
        <x:v>NOT NULL</x:v>
      </x:c>
      <x:c r="H17" s="15" t="str">
        <x:v>nextval('api_security_audit_logs_event_id_seq'::regclass)</x:v>
      </x:c>
      <x:c r="I17" s="15" t="str">
        <x:v>public.api_security_audit_logs의 한 행을 식별하는 event ID 기본키다.</x:v>
      </x:c>
      <x:c r="J17" s="15"/>
      <x:c r="K17" s="15" t="str">
        <x:v>보안: INTERNAL</x:v>
      </x:c>
    </x:row>
    <x:row r="18" ht="44" customHeight="1">
      <x:c r="A18" s="15" t="n">
        <x:v>2</x:v>
      </x:c>
      <x:c r="B18" s="15" t="str">
        <x:v>request_id</x:v>
      </x:c>
      <x:c r="C18" s="15" t="str">
        <x:v>요청 ID</x:v>
      </x:c>
      <x:c r="D18" s="15" t="str">
        <x:v>text</x:v>
      </x:c>
      <x:c r="E18" s="15"/>
      <x:c r="F18" s="15"/>
      <x:c r="G18" s="15" t="str">
        <x:v>NOT NULL</x:v>
      </x:c>
      <x:c r="H18" s="15"/>
      <x:c r="I18" s="15" t="str">
        <x:v>public.api_security_audit_logs에서 요청 ID 값을 저장한다.</x:v>
      </x:c>
      <x:c r="J18" s="15"/>
      <x:c r="K18" s="15" t="str">
        <x:v>보안: INTERNAL</x:v>
      </x:c>
    </x:row>
    <x:row r="19" ht="44" customHeight="1">
      <x:c r="A19" s="15" t="n">
        <x:v>3</x:v>
      </x:c>
      <x:c r="B19" s="15" t="str">
        <x:v>presented_role</x:v>
      </x:c>
      <x:c r="C19" s="15" t="str">
        <x:v>presented 역할</x:v>
      </x:c>
      <x:c r="D19" s="15" t="str">
        <x:v>text</x:v>
      </x:c>
      <x:c r="E19" s="15"/>
      <x:c r="F19" s="15"/>
      <x:c r="G19" s="15" t="str">
        <x:v>NOT NULL</x:v>
      </x:c>
      <x:c r="H19" s="15"/>
      <x:c r="I19" s="15" t="str">
        <x:v>public.api_security_audit_logs에서 presented 역할 값을 저장한다.</x:v>
      </x:c>
      <x:c r="J19" s="15"/>
      <x:c r="K19" s="15" t="str">
        <x:v>보안: INTERNAL</x:v>
      </x:c>
    </x:row>
    <x:row r="20" ht="44" customHeight="1">
      <x:c r="A20" s="15" t="n">
        <x:v>4</x:v>
      </x:c>
      <x:c r="B20" s="15" t="str">
        <x:v>query_hash</x:v>
      </x:c>
      <x:c r="C20" s="15" t="str">
        <x:v>쿼리 해시</x:v>
      </x:c>
      <x:c r="D20" s="15" t="str">
        <x:v>text</x:v>
      </x:c>
      <x:c r="E20" s="15"/>
      <x:c r="F20" s="15"/>
      <x:c r="G20" s="15" t="str">
        <x:v>NOT NULL</x:v>
      </x:c>
      <x:c r="H20" s="15"/>
      <x:c r="I20" s="15" t="str">
        <x:v>public.api_security_audit_logs에서 쿼리 해시 값을 저장한다.</x:v>
      </x:c>
      <x:c r="J20" s="15"/>
      <x:c r="K20" s="15" t="str">
        <x:v>보안: INTERNAL</x:v>
      </x:c>
    </x:row>
    <x:row r="21" ht="44" customHeight="1">
      <x:c r="A21" s="15" t="n">
        <x:v>5</x:v>
      </x:c>
      <x:c r="B21" s="15" t="str">
        <x:v>outcome</x:v>
      </x:c>
      <x:c r="C21" s="15" t="str">
        <x:v>outcome</x:v>
      </x:c>
      <x:c r="D21" s="15" t="str">
        <x:v>text</x:v>
      </x:c>
      <x:c r="E21" s="15"/>
      <x:c r="F21" s="15"/>
      <x:c r="G21" s="15" t="str">
        <x:v>NOT NULL</x:v>
      </x:c>
      <x:c r="H21" s="15"/>
      <x:c r="I21" s="15" t="str">
        <x:v>public.api_security_audit_logs에서 outcome 값을 저장한다.</x:v>
      </x:c>
      <x:c r="J21" s="15" t="str">
        <x:v>CHECK | CHECK (outcome = ANY (ARRAY['AUTHORIZED'::text, 'DENIED'::text, 'ERROR'::text]))</x:v>
      </x:c>
      <x:c r="K21" s="15" t="str">
        <x:v>보안: INTERNAL</x:v>
      </x:c>
    </x:row>
    <x:row r="22" ht="44" customHeight="1">
      <x:c r="A22" s="15" t="n">
        <x:v>6</x:v>
      </x:c>
      <x:c r="B22" s="15" t="str">
        <x:v>reason</x:v>
      </x:c>
      <x:c r="C22" s="15" t="str">
        <x:v>사유</x:v>
      </x:c>
      <x:c r="D22" s="15" t="str">
        <x:v>text</x:v>
      </x:c>
      <x:c r="E22" s="15"/>
      <x:c r="F22" s="15"/>
      <x:c r="G22" s="15" t="str">
        <x:v>NOT NULL</x:v>
      </x:c>
      <x:c r="H22" s="15"/>
      <x:c r="I22" s="15" t="str">
        <x:v>public.api_security_audit_logs에서 사유 값을 저장한다.</x:v>
      </x:c>
      <x:c r="J22" s="15"/>
      <x:c r="K22" s="15" t="str">
        <x:v>보안: INTERNAL</x:v>
      </x:c>
    </x:row>
    <x:row r="23" ht="44" customHeight="1">
      <x:c r="A23" s="15" t="n">
        <x:v>7</x:v>
      </x:c>
      <x:c r="B23" s="15" t="str">
        <x:v>created_at</x:v>
      </x:c>
      <x:c r="C23" s="15" t="str">
        <x:v>생성 시각</x:v>
      </x:c>
      <x:c r="D23" s="15" t="str">
        <x:v>timestamptz</x:v>
      </x:c>
      <x:c r="E23" s="15"/>
      <x:c r="F23" s="15"/>
      <x:c r="G23" s="15" t="str">
        <x:v>NOT NULL</x:v>
      </x:c>
      <x:c r="H23" s="15" t="str">
        <x:v>CURRENT_TIMESTAMP</x:v>
      </x:c>
      <x:c r="I23" s="15" t="str">
        <x:v>public.api_security_audit_logs의 생성 시각을 UTC 기준 시각으로 저장한다.</x:v>
      </x:c>
      <x:c r="J23" s="15"/>
      <x:c r="K23" s="15" t="str">
        <x:v>보안: INTERNAL</x:v>
      </x:c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>
      <x:c r="A25" s="58" t="str">
        <x:v>no</x:v>
      </x:c>
      <x:c r="B25" s="58" t="str">
        <x:v>Index name</x:v>
      </x:c>
      <x:c r="C25" s="58"/>
      <x:c r="D25" s="58" t="str">
        <x:v>Index type</x:v>
      </x:c>
      <x:c r="E25" s="58"/>
      <x:c r="F25" s="58" t="str">
        <x:v>Unique</x:v>
      </x:c>
      <x:c r="G25" s="58"/>
      <x:c r="H25" s="58" t="str">
        <x:v>구성 컬럼</x:v>
      </x:c>
      <x:c r="I25" s="58"/>
      <x:c r="J25" s="58"/>
      <x:c r="K25" s="58"/>
    </x:row>
    <x:row r="26">
      <x:c r="A26" s="15" t="n">
        <x:v>1</x:v>
      </x:c>
      <x:c r="B26" s="15" t="str">
        <x:v>api_security_audit_logs_pkey</x:v>
      </x:c>
      <x:c r="C26" s="15"/>
      <x:c r="D26" s="15" t="str">
        <x:v>BTREE</x:v>
      </x:c>
      <x:c r="E26" s="15"/>
      <x:c r="F26" s="15" t="str">
        <x:v>Unique</x:v>
      </x:c>
      <x:c r="G26" s="15"/>
      <x:c r="H26" s="15" t="str">
        <x:v>event_id</x:v>
      </x:c>
      <x:c r="I26" s="15"/>
      <x:c r="J26" s="15"/>
      <x:c r="K26" s="15"/>
    </x:row>
    <x:row r="27">
      <x:c r="A27" s="15" t="n">
        <x:v>2</x:v>
      </x:c>
      <x:c r="B27" s="15" t="str">
        <x:v>idx_api_security_audit_created</x:v>
      </x:c>
      <x:c r="C27" s="15"/>
      <x:c r="D27" s="15" t="str">
        <x:v>BTREE</x:v>
      </x:c>
      <x:c r="E27" s="15"/>
      <x:c r="F27" s="15" t="str">
        <x:v>Non-Unique</x:v>
      </x:c>
      <x:c r="G27" s="15"/>
      <x:c r="H27" s="15" t="str">
        <x:v>created_at DESC</x:v>
      </x:c>
      <x:c r="I27" s="15"/>
      <x:c r="J27" s="15"/>
      <x:c r="K27" s="15"/>
    </x:row>
    <x:row r="28">
      <x:c r="A28" s="15" t="n">
        <x:v>3</x:v>
      </x:c>
      <x:c r="B28" s="15" t="str">
        <x:v>idx_api_security_audit_request</x:v>
      </x:c>
      <x:c r="C28" s="15"/>
      <x:c r="D28" s="15" t="str">
        <x:v>BTREE</x:v>
      </x:c>
      <x:c r="E28" s="15"/>
      <x:c r="F28" s="15" t="str">
        <x:v>Non-Unique</x:v>
      </x:c>
      <x:c r="G28" s="15"/>
      <x:c r="H28" s="15" t="str">
        <x:v>request_id</x:v>
      </x:c>
      <x:c r="I28" s="15"/>
      <x:c r="J28" s="15"/>
      <x:c r="K28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25:C25"/>
    <x:mergeCell ref="D25:E25"/>
    <x:mergeCell ref="F25:G25"/>
    <x:mergeCell ref="H25:K25"/>
    <x:mergeCell ref="B26:C26"/>
    <x:mergeCell ref="D26:E26"/>
    <x:mergeCell ref="F26:G26"/>
    <x:mergeCell ref="H26:K26"/>
    <x:mergeCell ref="B27:C27"/>
    <x:mergeCell ref="D27:E27"/>
    <x:mergeCell ref="F27:G27"/>
    <x:mergeCell ref="H27:K27"/>
    <x:mergeCell ref="B28:C28"/>
    <x:mergeCell ref="D28:E28"/>
    <x:mergeCell ref="F28:G28"/>
    <x:mergeCell ref="H28:K28"/>
  </x:mergeCells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 + pgvector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rag_db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public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document_chunk_versions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문서 청크 버전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RAG pgvector 저장소의 문서 청크 버전을 관리한다. 현재 init 001~009에서 재현한 물리 구조이며 기능 호출 기본값은 비활성이다.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초기 30일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version_id</x:v>
      </x:c>
      <x:c r="C17" s="15" t="str">
        <x:v>버전 ID</x:v>
      </x:c>
      <x:c r="D17" s="15" t="str">
        <x:v>bigint</x:v>
      </x:c>
      <x:c r="E17" s="15"/>
      <x:c r="F17" s="15" t="str">
        <x:v>PK</x:v>
      </x:c>
      <x:c r="G17" s="15" t="str">
        <x:v>NOT NULL</x:v>
      </x:c>
      <x:c r="H17" s="15"/>
      <x:c r="I17" s="15" t="str">
        <x:v>public.document_chunk_versions의 한 행을 식별하는 버전 ID 기본키다.</x:v>
      </x:c>
      <x:c r="J17" s="15" t="str">
        <x:v>물리 FK | document_versions.version_id</x:v>
      </x:c>
      <x:c r="K17" s="15" t="str">
        <x:v>보안: INTERNAL</x:v>
      </x:c>
    </x:row>
    <x:row r="18" ht="44" customHeight="1">
      <x:c r="A18" s="15" t="n">
        <x:v>2</x:v>
      </x:c>
      <x:c r="B18" s="15" t="str">
        <x:v>chunk_id</x:v>
      </x:c>
      <x:c r="C18" s="15" t="str">
        <x:v>청크 ID</x:v>
      </x:c>
      <x:c r="D18" s="15" t="str">
        <x:v>text</x:v>
      </x:c>
      <x:c r="E18" s="15"/>
      <x:c r="F18" s="15" t="str">
        <x:v>PK</x:v>
      </x:c>
      <x:c r="G18" s="15" t="str">
        <x:v>NOT NULL</x:v>
      </x:c>
      <x:c r="H18" s="15"/>
      <x:c r="I18" s="15" t="str">
        <x:v>public.document_chunk_versions의 한 행을 식별하는 청크 ID 기본키다.</x:v>
      </x:c>
      <x:c r="J18" s="15"/>
      <x:c r="K18" s="15" t="str">
        <x:v>보안: INTERNAL</x:v>
      </x:c>
    </x:row>
    <x:row r="19" ht="44" customHeight="1">
      <x:c r="A19" s="15" t="n">
        <x:v>3</x:v>
      </x:c>
      <x:c r="B19" s="15" t="str">
        <x:v>page_start</x:v>
      </x:c>
      <x:c r="C19" s="15" t="str">
        <x:v>page start</x:v>
      </x:c>
      <x:c r="D19" s="15" t="str">
        <x:v>integer</x:v>
      </x:c>
      <x:c r="E19" s="15"/>
      <x:c r="F19" s="15"/>
      <x:c r="G19" s="15" t="str">
        <x:v>NOT NULL</x:v>
      </x:c>
      <x:c r="H19" s="15"/>
      <x:c r="I19" s="15" t="str">
        <x:v>public.document_chunk_versions에서 page start 값을 저장한다.</x:v>
      </x:c>
      <x:c r="J19" s="15"/>
      <x:c r="K19" s="15" t="str">
        <x:v>보안: INTERNAL</x:v>
      </x:c>
    </x:row>
    <x:row r="20" ht="44" customHeight="1">
      <x:c r="A20" s="15" t="n">
        <x:v>4</x:v>
      </x:c>
      <x:c r="B20" s="15" t="str">
        <x:v>page_end</x:v>
      </x:c>
      <x:c r="C20" s="15" t="str">
        <x:v>page end</x:v>
      </x:c>
      <x:c r="D20" s="15" t="str">
        <x:v>integer</x:v>
      </x:c>
      <x:c r="E20" s="15"/>
      <x:c r="F20" s="15"/>
      <x:c r="G20" s="15" t="str">
        <x:v>NOT NULL</x:v>
      </x:c>
      <x:c r="H20" s="15"/>
      <x:c r="I20" s="15" t="str">
        <x:v>public.document_chunk_versions에서 page end 값을 저장한다.</x:v>
      </x:c>
      <x:c r="J20" s="15"/>
      <x:c r="K20" s="15" t="str">
        <x:v>보안: INTERNAL</x:v>
      </x:c>
    </x:row>
    <x:row r="21" ht="44" customHeight="1">
      <x:c r="A21" s="15" t="n">
        <x:v>5</x:v>
      </x:c>
      <x:c r="B21" s="15" t="str">
        <x:v>section_title</x:v>
      </x:c>
      <x:c r="C21" s="15" t="str">
        <x:v>section title</x:v>
      </x:c>
      <x:c r="D21" s="15" t="str">
        <x:v>text</x:v>
      </x:c>
      <x:c r="E21" s="15"/>
      <x:c r="F21" s="15"/>
      <x:c r="G21" s="15" t="str">
        <x:v>NOT NULL</x:v>
      </x:c>
      <x:c r="H21" s="15"/>
      <x:c r="I21" s="15" t="str">
        <x:v>public.document_chunk_versions에서 section title 값을 저장한다.</x:v>
      </x:c>
      <x:c r="J21" s="15"/>
      <x:c r="K21" s="15" t="str">
        <x:v>보안: INTERNAL</x:v>
      </x:c>
    </x:row>
    <x:row r="22" ht="44" customHeight="1">
      <x:c r="A22" s="15" t="n">
        <x:v>6</x:v>
      </x:c>
      <x:c r="B22" s="15" t="str">
        <x:v>content</x:v>
      </x:c>
      <x:c r="C22" s="15" t="str">
        <x:v>content</x:v>
      </x:c>
      <x:c r="D22" s="15" t="str">
        <x:v>text</x:v>
      </x:c>
      <x:c r="E22" s="15"/>
      <x:c r="F22" s="15"/>
      <x:c r="G22" s="15" t="str">
        <x:v>NOT NULL</x:v>
      </x:c>
      <x:c r="H22" s="15"/>
      <x:c r="I22" s="15" t="str">
        <x:v>public.document_chunk_versions에서 content 값을 저장한다.</x:v>
      </x:c>
      <x:c r="J22" s="15"/>
      <x:c r="K22" s="15" t="str">
        <x:v>보안: CONFIDENTIAL</x:v>
      </x:c>
    </x:row>
    <x:row r="23" ht="44" customHeight="1">
      <x:c r="A23" s="15" t="n">
        <x:v>7</x:v>
      </x:c>
      <x:c r="B23" s="15" t="str">
        <x:v>content_checksum</x:v>
      </x:c>
      <x:c r="C23" s="15" t="str">
        <x:v>content checksum</x:v>
      </x:c>
      <x:c r="D23" s="15" t="str">
        <x:v>text</x:v>
      </x:c>
      <x:c r="E23" s="15"/>
      <x:c r="F23" s="15"/>
      <x:c r="G23" s="15" t="str">
        <x:v>NOT NULL</x:v>
      </x:c>
      <x:c r="H23" s="15"/>
      <x:c r="I23" s="15" t="str">
        <x:v>public.document_chunk_versions에서 content checksum 값을 저장한다.</x:v>
      </x:c>
      <x:c r="J23" s="15"/>
      <x:c r="K23" s="15" t="str">
        <x:v>보안: CONFIDENTIAL</x:v>
      </x:c>
    </x:row>
    <x:row r="24" ht="44" customHeight="1">
      <x:c r="A24" s="15" t="n">
        <x:v>8</x:v>
      </x:c>
      <x:c r="B24" s="15" t="str">
        <x:v>embedding</x:v>
      </x:c>
      <x:c r="C24" s="15" t="str">
        <x:v>embedding</x:v>
      </x:c>
      <x:c r="D24" s="15" t="str">
        <x:v>vector</x:v>
      </x:c>
      <x:c r="E24" s="15"/>
      <x:c r="F24" s="15"/>
      <x:c r="G24" s="15" t="str">
        <x:v>NOT NULL</x:v>
      </x:c>
      <x:c r="H24" s="15"/>
      <x:c r="I24" s="15" t="str">
        <x:v>public.document_chunk_versions에서 embedding 값을 저장한다.</x:v>
      </x:c>
      <x:c r="J24" s="15"/>
      <x:c r="K24" s="15" t="str">
        <x:v>보안: INTERNAL</x:v>
      </x:c>
    </x:row>
    <x:row r="25" ht="44" customHeight="1">
      <x:c r="A25" s="15" t="n">
        <x:v>9</x:v>
      </x:c>
      <x:c r="B25" s="15" t="str">
        <x:v>chunk_index</x:v>
      </x:c>
      <x:c r="C25" s="15" t="str">
        <x:v>청크 index</x:v>
      </x:c>
      <x:c r="D25" s="15" t="str">
        <x:v>integer</x:v>
      </x:c>
      <x:c r="E25" s="15"/>
      <x:c r="F25" s="15"/>
      <x:c r="G25" s="15" t="str">
        <x:v>NOT NULL</x:v>
      </x:c>
      <x:c r="H25" s="15" t="str">
        <x:v>0</x:v>
      </x:c>
      <x:c r="I25" s="15" t="str">
        <x:v>public.document_chunk_versions에서 청크 index 값을 저장한다.</x:v>
      </x:c>
      <x:c r="J25" s="15"/>
      <x:c r="K25" s="15" t="str">
        <x:v>보안: INTERNAL</x:v>
      </x:c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>
      <x:c r="A27" s="58" t="str">
        <x:v>no</x:v>
      </x:c>
      <x:c r="B27" s="58" t="str">
        <x:v>Index name</x:v>
      </x:c>
      <x:c r="C27" s="58"/>
      <x:c r="D27" s="58" t="str">
        <x:v>Index type</x:v>
      </x:c>
      <x:c r="E27" s="58"/>
      <x:c r="F27" s="58" t="str">
        <x:v>Unique</x:v>
      </x:c>
      <x:c r="G27" s="58"/>
      <x:c r="H27" s="58" t="str">
        <x:v>구성 컬럼</x:v>
      </x:c>
      <x:c r="I27" s="58"/>
      <x:c r="J27" s="58"/>
      <x:c r="K27" s="58"/>
    </x:row>
    <x:row r="28">
      <x:c r="A28" s="15" t="n">
        <x:v>1</x:v>
      </x:c>
      <x:c r="B28" s="15" t="str">
        <x:v>document_chunk_versions_pkey</x:v>
      </x:c>
      <x:c r="C28" s="15"/>
      <x:c r="D28" s="15" t="str">
        <x:v>BTREE</x:v>
      </x:c>
      <x:c r="E28" s="15"/>
      <x:c r="F28" s="15" t="str">
        <x:v>Unique</x:v>
      </x:c>
      <x:c r="G28" s="15"/>
      <x:c r="H28" s="15" t="str">
        <x:v>version_id, chunk_id</x:v>
      </x:c>
      <x:c r="I28" s="15"/>
      <x:c r="J28" s="15"/>
      <x:c r="K28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27:C27"/>
    <x:mergeCell ref="D27:E27"/>
    <x:mergeCell ref="F27:G27"/>
    <x:mergeCell ref="H27:K27"/>
    <x:mergeCell ref="B28:C28"/>
    <x:mergeCell ref="D28:E28"/>
    <x:mergeCell ref="F28:G28"/>
    <x:mergeCell ref="H28:K28"/>
  </x:mergeCells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 + pgvector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rag_db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public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document_chunks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문서 청크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RAG pgvector 저장소의 문서 청크을 관리한다. 현재 init 001~009에서 재현한 물리 구조이며 기능 호출 기본값은 비활성이다.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초기 30일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chunk_id</x:v>
      </x:c>
      <x:c r="C17" s="15" t="str">
        <x:v>청크 ID</x:v>
      </x:c>
      <x:c r="D17" s="15" t="str">
        <x:v>text</x:v>
      </x:c>
      <x:c r="E17" s="15"/>
      <x:c r="F17" s="15" t="str">
        <x:v>PK</x:v>
      </x:c>
      <x:c r="G17" s="15" t="str">
        <x:v>NOT NULL</x:v>
      </x:c>
      <x:c r="H17" s="15"/>
      <x:c r="I17" s="15" t="str">
        <x:v>public.document_chunks의 한 행을 식별하는 청크 ID 기본키다.</x:v>
      </x:c>
      <x:c r="J17" s="15"/>
      <x:c r="K17" s="15" t="str">
        <x:v>보안: INTERNAL</x:v>
      </x:c>
    </x:row>
    <x:row r="18" ht="44" customHeight="1">
      <x:c r="A18" s="15" t="n">
        <x:v>2</x:v>
      </x:c>
      <x:c r="B18" s="15" t="str">
        <x:v>manual_id</x:v>
      </x:c>
      <x:c r="C18" s="15" t="str">
        <x:v>manual ID</x:v>
      </x:c>
      <x:c r="D18" s="15" t="str">
        <x:v>text</x:v>
      </x:c>
      <x:c r="E18" s="15"/>
      <x:c r="F18" s="15" t="str">
        <x:v>FK</x:v>
      </x:c>
      <x:c r="G18" s="15" t="str">
        <x:v>NOT NULL</x:v>
      </x:c>
      <x:c r="H18" s="15"/>
      <x:c r="I18" s="15" t="str">
        <x:v>documents.manual_id를 참조해 public.document_chunks의 manual ID 관계를 연결한다.</x:v>
      </x:c>
      <x:c r="J18" s="15" t="str">
        <x:v>물리 FK | documents.manual_id</x:v>
      </x:c>
      <x:c r="K18" s="15" t="str">
        <x:v>보안: INTERNAL</x:v>
      </x:c>
    </x:row>
    <x:row r="19" ht="44" customHeight="1">
      <x:c r="A19" s="15" t="n">
        <x:v>3</x:v>
      </x:c>
      <x:c r="B19" s="15" t="str">
        <x:v>page_start</x:v>
      </x:c>
      <x:c r="C19" s="15" t="str">
        <x:v>page start</x:v>
      </x:c>
      <x:c r="D19" s="15" t="str">
        <x:v>integer</x:v>
      </x:c>
      <x:c r="E19" s="15"/>
      <x:c r="F19" s="15"/>
      <x:c r="G19" s="15" t="str">
        <x:v>NOT NULL</x:v>
      </x:c>
      <x:c r="H19" s="15"/>
      <x:c r="I19" s="15" t="str">
        <x:v>public.document_chunks에서 page start 값을 저장한다.</x:v>
      </x:c>
      <x:c r="J19" s="15"/>
      <x:c r="K19" s="15" t="str">
        <x:v>보안: INTERNAL</x:v>
      </x:c>
    </x:row>
    <x:row r="20" ht="44" customHeight="1">
      <x:c r="A20" s="15" t="n">
        <x:v>4</x:v>
      </x:c>
      <x:c r="B20" s="15" t="str">
        <x:v>page_end</x:v>
      </x:c>
      <x:c r="C20" s="15" t="str">
        <x:v>page end</x:v>
      </x:c>
      <x:c r="D20" s="15" t="str">
        <x:v>integer</x:v>
      </x:c>
      <x:c r="E20" s="15"/>
      <x:c r="F20" s="15"/>
      <x:c r="G20" s="15" t="str">
        <x:v>NOT NULL</x:v>
      </x:c>
      <x:c r="H20" s="15"/>
      <x:c r="I20" s="15" t="str">
        <x:v>public.document_chunks에서 page end 값을 저장한다.</x:v>
      </x:c>
      <x:c r="J20" s="15"/>
      <x:c r="K20" s="15" t="str">
        <x:v>보안: INTERNAL</x:v>
      </x:c>
    </x:row>
    <x:row r="21" ht="44" customHeight="1">
      <x:c r="A21" s="15" t="n">
        <x:v>5</x:v>
      </x:c>
      <x:c r="B21" s="15" t="str">
        <x:v>section_title</x:v>
      </x:c>
      <x:c r="C21" s="15" t="str">
        <x:v>section title</x:v>
      </x:c>
      <x:c r="D21" s="15" t="str">
        <x:v>text</x:v>
      </x:c>
      <x:c r="E21" s="15"/>
      <x:c r="F21" s="15"/>
      <x:c r="G21" s="15" t="str">
        <x:v>NOT NULL</x:v>
      </x:c>
      <x:c r="H21" s="15"/>
      <x:c r="I21" s="15" t="str">
        <x:v>public.document_chunks에서 section title 값을 저장한다.</x:v>
      </x:c>
      <x:c r="J21" s="15"/>
      <x:c r="K21" s="15" t="str">
        <x:v>보안: INTERNAL</x:v>
      </x:c>
    </x:row>
    <x:row r="22" ht="44" customHeight="1">
      <x:c r="A22" s="15" t="n">
        <x:v>6</x:v>
      </x:c>
      <x:c r="B22" s="15" t="str">
        <x:v>content</x:v>
      </x:c>
      <x:c r="C22" s="15" t="str">
        <x:v>content</x:v>
      </x:c>
      <x:c r="D22" s="15" t="str">
        <x:v>text</x:v>
      </x:c>
      <x:c r="E22" s="15"/>
      <x:c r="F22" s="15"/>
      <x:c r="G22" s="15" t="str">
        <x:v>NOT NULL</x:v>
      </x:c>
      <x:c r="H22" s="15"/>
      <x:c r="I22" s="15" t="str">
        <x:v>public.document_chunks에서 content 값을 저장한다.</x:v>
      </x:c>
      <x:c r="J22" s="15"/>
      <x:c r="K22" s="15" t="str">
        <x:v>보안: CONFIDENTIAL</x:v>
      </x:c>
    </x:row>
    <x:row r="23" ht="44" customHeight="1">
      <x:c r="A23" s="15" t="n">
        <x:v>7</x:v>
      </x:c>
      <x:c r="B23" s="15" t="str">
        <x:v>content_checksum</x:v>
      </x:c>
      <x:c r="C23" s="15" t="str">
        <x:v>content checksum</x:v>
      </x:c>
      <x:c r="D23" s="15" t="str">
        <x:v>text</x:v>
      </x:c>
      <x:c r="E23" s="15"/>
      <x:c r="F23" s="15"/>
      <x:c r="G23" s="15" t="str">
        <x:v>NOT NULL</x:v>
      </x:c>
      <x:c r="H23" s="15"/>
      <x:c r="I23" s="15" t="str">
        <x:v>public.document_chunks에서 content checksum 값을 저장한다.</x:v>
      </x:c>
      <x:c r="J23" s="15"/>
      <x:c r="K23" s="15" t="str">
        <x:v>보안: CONFIDENTIAL</x:v>
      </x:c>
    </x:row>
    <x:row r="24" ht="44" customHeight="1">
      <x:c r="A24" s="15" t="n">
        <x:v>8</x:v>
      </x:c>
      <x:c r="B24" s="15" t="str">
        <x:v>embedding</x:v>
      </x:c>
      <x:c r="C24" s="15" t="str">
        <x:v>embedding</x:v>
      </x:c>
      <x:c r="D24" s="15" t="str">
        <x:v>vector</x:v>
      </x:c>
      <x:c r="E24" s="15"/>
      <x:c r="F24" s="15"/>
      <x:c r="G24" s="15" t="str">
        <x:v>NOT NULL</x:v>
      </x:c>
      <x:c r="H24" s="15"/>
      <x:c r="I24" s="15" t="str">
        <x:v>public.document_chunks에서 embedding 값을 저장한다.</x:v>
      </x:c>
      <x:c r="J24" s="15"/>
      <x:c r="K24" s="15" t="str">
        <x:v>보안: INTERNAL</x:v>
      </x:c>
    </x:row>
    <x:row r="25" ht="44" customHeight="1">
      <x:c r="A25" s="15" t="n">
        <x:v>9</x:v>
      </x:c>
      <x:c r="B25" s="15" t="str">
        <x:v>deleted_at</x:v>
      </x:c>
      <x:c r="C25" s="15" t="str">
        <x:v>삭제 시각</x:v>
      </x:c>
      <x:c r="D25" s="15" t="str">
        <x:v>timestamptz</x:v>
      </x:c>
      <x:c r="E25" s="15"/>
      <x:c r="F25" s="15"/>
      <x:c r="G25" s="15"/>
      <x:c r="H25" s="15"/>
      <x:c r="I25" s="15" t="str">
        <x:v>public.document_chunks의 삭제 시각을 UTC 기준 시각으로 저장한다.</x:v>
      </x:c>
      <x:c r="J25" s="15"/>
      <x:c r="K25" s="15" t="str">
        <x:v>보안: INTERNAL</x:v>
      </x:c>
    </x:row>
    <x:row r="26" ht="44" customHeight="1">
      <x:c r="A26" s="15" t="n">
        <x:v>10</x:v>
      </x:c>
      <x:c r="B26" s="15" t="str">
        <x:v>created_at</x:v>
      </x:c>
      <x:c r="C26" s="15" t="str">
        <x:v>생성 시각</x:v>
      </x:c>
      <x:c r="D26" s="15" t="str">
        <x:v>timestamptz</x:v>
      </x:c>
      <x:c r="E26" s="15"/>
      <x:c r="F26" s="15"/>
      <x:c r="G26" s="15" t="str">
        <x:v>NOT NULL</x:v>
      </x:c>
      <x:c r="H26" s="15" t="str">
        <x:v>CURRENT_TIMESTAMP</x:v>
      </x:c>
      <x:c r="I26" s="15" t="str">
        <x:v>public.document_chunks의 생성 시각을 UTC 기준 시각으로 저장한다.</x:v>
      </x:c>
      <x:c r="J26" s="15"/>
      <x:c r="K26" s="15" t="str">
        <x:v>보안: INTERNAL</x:v>
      </x:c>
    </x:row>
    <x:row r="27" ht="44" customHeight="1">
      <x:c r="A27" s="15" t="n">
        <x:v>11</x:v>
      </x:c>
      <x:c r="B27" s="15" t="str">
        <x:v>token_count</x:v>
      </x:c>
      <x:c r="C27" s="15" t="str">
        <x:v>token 수</x:v>
      </x:c>
      <x:c r="D27" s="15" t="str">
        <x:v>integer</x:v>
      </x:c>
      <x:c r="E27" s="15"/>
      <x:c r="F27" s="15"/>
      <x:c r="G27" s="15"/>
      <x:c r="H27" s="15" t="str">
        <x:v>0</x:v>
      </x:c>
      <x:c r="I27" s="15" t="str">
        <x:v>public.document_chunks에서 token 수 값을 저장한다.</x:v>
      </x:c>
      <x:c r="J27" s="15"/>
      <x:c r="K27" s="15" t="str">
        <x:v>보안: SECRET_REF</x:v>
      </x:c>
    </x:row>
    <x:row r="28" ht="44" customHeight="1">
      <x:c r="A28" s="15" t="n">
        <x:v>12</x:v>
      </x:c>
      <x:c r="B28" s="15" t="str">
        <x:v>embedding_provider</x:v>
      </x:c>
      <x:c r="C28" s="15" t="str">
        <x:v>embedding provider</x:v>
      </x:c>
      <x:c r="D28" s="15" t="str">
        <x:v>text</x:v>
      </x:c>
      <x:c r="E28" s="15"/>
      <x:c r="F28" s="15"/>
      <x:c r="G28" s="15"/>
      <x:c r="H28" s="15"/>
      <x:c r="I28" s="15" t="str">
        <x:v>public.document_chunks에서 embedding provider 값을 저장한다.</x:v>
      </x:c>
      <x:c r="J28" s="15"/>
      <x:c r="K28" s="15" t="str">
        <x:v>보안: INTERNAL</x:v>
      </x:c>
    </x:row>
    <x:row r="29" ht="44" customHeight="1">
      <x:c r="A29" s="15" t="n">
        <x:v>13</x:v>
      </x:c>
      <x:c r="B29" s="15" t="str">
        <x:v>embedding_model</x:v>
      </x:c>
      <x:c r="C29" s="15" t="str">
        <x:v>embedding 모델</x:v>
      </x:c>
      <x:c r="D29" s="15" t="str">
        <x:v>text</x:v>
      </x:c>
      <x:c r="E29" s="15"/>
      <x:c r="F29" s="15"/>
      <x:c r="G29" s="15"/>
      <x:c r="H29" s="15"/>
      <x:c r="I29" s="15" t="str">
        <x:v>public.document_chunks에서 embedding 모델 값을 저장한다.</x:v>
      </x:c>
      <x:c r="J29" s="15"/>
      <x:c r="K29" s="15" t="str">
        <x:v>보안: INTERNAL</x:v>
      </x:c>
    </x:row>
    <x:row r="30" ht="44" customHeight="1">
      <x:c r="A30" s="15" t="n">
        <x:v>14</x:v>
      </x:c>
      <x:c r="B30" s="15" t="str">
        <x:v>embedding_dimensions</x:v>
      </x:c>
      <x:c r="C30" s="15" t="str">
        <x:v>embedding dimensions</x:v>
      </x:c>
      <x:c r="D30" s="15" t="str">
        <x:v>integer</x:v>
      </x:c>
      <x:c r="E30" s="15"/>
      <x:c r="F30" s="15"/>
      <x:c r="G30" s="15"/>
      <x:c r="H30" s="15"/>
      <x:c r="I30" s="15" t="str">
        <x:v>public.document_chunks에서 embedding dimensions 값을 저장한다.</x:v>
      </x:c>
      <x:c r="J30" s="15"/>
      <x:c r="K30" s="15" t="str">
        <x:v>보안: INTERNAL</x:v>
      </x:c>
    </x:row>
    <x:row r="31" ht="44" customHeight="1">
      <x:c r="A31" s="15" t="n">
        <x:v>15</x:v>
      </x:c>
      <x:c r="B31" s="15" t="str">
        <x:v>embedding_version</x:v>
      </x:c>
      <x:c r="C31" s="15" t="str">
        <x:v>embedding 버전</x:v>
      </x:c>
      <x:c r="D31" s="15" t="str">
        <x:v>text</x:v>
      </x:c>
      <x:c r="E31" s="15"/>
      <x:c r="F31" s="15"/>
      <x:c r="G31" s="15"/>
      <x:c r="H31" s="15"/>
      <x:c r="I31" s="15" t="str">
        <x:v>public.document_chunks에서 embedding 버전 값을 저장한다.</x:v>
      </x:c>
      <x:c r="J31" s="15"/>
      <x:c r="K31" s="15" t="str">
        <x:v>보안: INTERNAL</x:v>
      </x:c>
    </x:row>
    <x:row r="32" ht="44" customHeight="1">
      <x:c r="A32" s="15" t="n">
        <x:v>16</x:v>
      </x:c>
      <x:c r="B32" s="15" t="str">
        <x:v>source_document_hash</x:v>
      </x:c>
      <x:c r="C32" s="15" t="str">
        <x:v>소스 문서 해시</x:v>
      </x:c>
      <x:c r="D32" s="15" t="str">
        <x:v>text</x:v>
      </x:c>
      <x:c r="E32" s="15"/>
      <x:c r="F32" s="15"/>
      <x:c r="G32" s="15"/>
      <x:c r="H32" s="15"/>
      <x:c r="I32" s="15" t="str">
        <x:v>public.document_chunks에서 소스 문서 해시 값을 저장한다.</x:v>
      </x:c>
      <x:c r="J32" s="15"/>
      <x:c r="K32" s="15" t="str">
        <x:v>보안: INTERNAL</x:v>
      </x:c>
    </x:row>
    <x:row r="33" ht="44" customHeight="1">
      <x:c r="A33" s="15" t="n">
        <x:v>17</x:v>
      </x:c>
      <x:c r="B33" s="15" t="str">
        <x:v>embedded_at</x:v>
      </x:c>
      <x:c r="C33" s="15" t="str">
        <x:v>embedded 시각</x:v>
      </x:c>
      <x:c r="D33" s="15" t="str">
        <x:v>timestamptz</x:v>
      </x:c>
      <x:c r="E33" s="15"/>
      <x:c r="F33" s="15"/>
      <x:c r="G33" s="15"/>
      <x:c r="H33" s="15"/>
      <x:c r="I33" s="15" t="str">
        <x:v>public.document_chunks의 embedded 시각을 UTC 기준 시각으로 저장한다.</x:v>
      </x:c>
      <x:c r="J33" s="15"/>
      <x:c r="K33" s="15" t="str">
        <x:v>보안: INTERNAL</x:v>
      </x:c>
    </x:row>
    <x:row r="34" ht="44" customHeight="1">
      <x:c r="A34" s="15" t="n">
        <x:v>18</x:v>
      </x:c>
      <x:c r="B34" s="15" t="str">
        <x:v>chunk_index</x:v>
      </x:c>
      <x:c r="C34" s="15" t="str">
        <x:v>청크 index</x:v>
      </x:c>
      <x:c r="D34" s="15" t="str">
        <x:v>integer</x:v>
      </x:c>
      <x:c r="E34" s="15"/>
      <x:c r="F34" s="15"/>
      <x:c r="G34" s="15" t="str">
        <x:v>NOT NULL</x:v>
      </x:c>
      <x:c r="H34" s="15" t="str">
        <x:v>0</x:v>
      </x:c>
      <x:c r="I34" s="15" t="str">
        <x:v>public.document_chunks에서 청크 index 값을 저장한다.</x:v>
      </x:c>
      <x:c r="J34" s="15"/>
      <x:c r="K34" s="15" t="str">
        <x:v>보안: INTERNAL</x:v>
      </x:c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</x:row>
    <x:row r="36">
      <x:c r="A36" s="58" t="str">
        <x:v>no</x:v>
      </x:c>
      <x:c r="B36" s="58" t="str">
        <x:v>Index name</x:v>
      </x:c>
      <x:c r="C36" s="58"/>
      <x:c r="D36" s="58" t="str">
        <x:v>Index type</x:v>
      </x:c>
      <x:c r="E36" s="58"/>
      <x:c r="F36" s="58" t="str">
        <x:v>Unique</x:v>
      </x:c>
      <x:c r="G36" s="58"/>
      <x:c r="H36" s="58" t="str">
        <x:v>구성 컬럼</x:v>
      </x:c>
      <x:c r="I36" s="58"/>
      <x:c r="J36" s="58"/>
      <x:c r="K36" s="58"/>
    </x:row>
    <x:row r="37">
      <x:c r="A37" s="15" t="n">
        <x:v>1</x:v>
      </x:c>
      <x:c r="B37" s="15" t="str">
        <x:v>document_chunks_pkey</x:v>
      </x:c>
      <x:c r="C37" s="15"/>
      <x:c r="D37" s="15" t="str">
        <x:v>BTREE</x:v>
      </x:c>
      <x:c r="E37" s="15"/>
      <x:c r="F37" s="15" t="str">
        <x:v>Unique</x:v>
      </x:c>
      <x:c r="G37" s="15"/>
      <x:c r="H37" s="15" t="str">
        <x:v>chunk_id</x:v>
      </x:c>
      <x:c r="I37" s="15"/>
      <x:c r="J37" s="15"/>
      <x:c r="K37" s="15"/>
    </x:row>
    <x:row r="38">
      <x:c r="A38" s="15" t="n">
        <x:v>2</x:v>
      </x:c>
      <x:c r="B38" s="15" t="str">
        <x:v>idx_chunks_content_trgm</x:v>
      </x:c>
      <x:c r="C38" s="15"/>
      <x:c r="D38" s="15" t="str">
        <x:v>GIN</x:v>
      </x:c>
      <x:c r="E38" s="15"/>
      <x:c r="F38" s="15" t="str">
        <x:v>Non-Unique</x:v>
      </x:c>
      <x:c r="G38" s="15"/>
      <x:c r="H38" s="15" t="str">
        <x:v>content gin_trgm_ops</x:v>
      </x:c>
      <x:c r="I38" s="15"/>
      <x:c r="J38" s="15"/>
      <x:c r="K38" s="15"/>
    </x:row>
    <x:row r="39">
      <x:c r="A39" s="15" t="n">
        <x:v>3</x:v>
      </x:c>
      <x:c r="B39" s="15" t="str">
        <x:v>idx_chunks_embedding_hnsw</x:v>
      </x:c>
      <x:c r="C39" s="15"/>
      <x:c r="D39" s="15" t="str">
        <x:v>HNSW</x:v>
      </x:c>
      <x:c r="E39" s="15"/>
      <x:c r="F39" s="15" t="str">
        <x:v>Non-Unique</x:v>
      </x:c>
      <x:c r="G39" s="15"/>
      <x:c r="H39" s="15" t="str">
        <x:v>embedding vector_cosine_ops</x:v>
      </x:c>
      <x:c r="I39" s="15"/>
      <x:c r="J39" s="15"/>
      <x:c r="K39" s="15"/>
    </x:row>
    <x:row r="40">
      <x:c r="A40" s="15" t="n">
        <x:v>4</x:v>
      </x:c>
      <x:c r="B40" s="15" t="str">
        <x:v>idx_chunks_embedding_version</x:v>
      </x:c>
      <x:c r="C40" s="15"/>
      <x:c r="D40" s="15" t="str">
        <x:v>BTREE</x:v>
      </x:c>
      <x:c r="E40" s="15"/>
      <x:c r="F40" s="15" t="str">
        <x:v>Non-Unique</x:v>
      </x:c>
      <x:c r="G40" s="15"/>
      <x:c r="H40" s="15" t="str">
        <x:v>embedding_provider, embedding_model, embedding_version) WHERE (deleted_at IS NULL</x:v>
      </x:c>
      <x:c r="I40" s="15"/>
      <x:c r="J40" s="15"/>
      <x:c r="K40" s="15"/>
    </x:row>
    <x:row r="41">
      <x:c r="A41" s="15" t="n">
        <x:v>5</x:v>
      </x:c>
      <x:c r="B41" s="15" t="str">
        <x:v>idx_chunks_manual_active</x:v>
      </x:c>
      <x:c r="C41" s="15"/>
      <x:c r="D41" s="15" t="str">
        <x:v>BTREE</x:v>
      </x:c>
      <x:c r="E41" s="15"/>
      <x:c r="F41" s="15" t="str">
        <x:v>Non-Unique</x:v>
      </x:c>
      <x:c r="G41" s="15"/>
      <x:c r="H41" s="15" t="str">
        <x:v>manual_id) WHERE (deleted_at IS NULL</x:v>
      </x:c>
      <x:c r="I41" s="15"/>
      <x:c r="J41" s="15"/>
      <x:c r="K41" s="15"/>
    </x:row>
    <x:row r="42">
      <x:c r="A42" s="15" t="n">
        <x:v>6</x:v>
      </x:c>
      <x:c r="B42" s="15" t="str">
        <x:v>idx_chunks_source_order</x:v>
      </x:c>
      <x:c r="C42" s="15"/>
      <x:c r="D42" s="15" t="str">
        <x:v>BTREE</x:v>
      </x:c>
      <x:c r="E42" s="15"/>
      <x:c r="F42" s="15" t="str">
        <x:v>Non-Unique</x:v>
      </x:c>
      <x:c r="G42" s="15"/>
      <x:c r="H42" s="15" t="str">
        <x:v>manual_id, page_start, chunk_index) WHERE (deleted_at IS NULL</x:v>
      </x:c>
      <x:c r="I42" s="15"/>
      <x:c r="J42" s="15"/>
      <x:c r="K42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6:C36"/>
    <x:mergeCell ref="D36:E36"/>
    <x:mergeCell ref="F36:G36"/>
    <x:mergeCell ref="H36:K36"/>
    <x:mergeCell ref="B37:C37"/>
    <x:mergeCell ref="D37:E37"/>
    <x:mergeCell ref="F37:G37"/>
    <x:mergeCell ref="H37:K37"/>
    <x:mergeCell ref="B38:C38"/>
    <x:mergeCell ref="D38:E38"/>
    <x:mergeCell ref="F38:G38"/>
    <x:mergeCell ref="H38:K38"/>
    <x:mergeCell ref="B39:C39"/>
    <x:mergeCell ref="D39:E39"/>
    <x:mergeCell ref="F39:G39"/>
    <x:mergeCell ref="H39:K39"/>
    <x:mergeCell ref="B40:C40"/>
    <x:mergeCell ref="D40:E40"/>
    <x:mergeCell ref="F40:G40"/>
    <x:mergeCell ref="H40:K40"/>
    <x:mergeCell ref="B41:C41"/>
    <x:mergeCell ref="D41:E41"/>
    <x:mergeCell ref="F41:G41"/>
    <x:mergeCell ref="H41:K41"/>
    <x:mergeCell ref="B42:C42"/>
    <x:mergeCell ref="D42:E42"/>
    <x:mergeCell ref="F42:G42"/>
    <x:mergeCell ref="H42:K42"/>
  </x:mergeCells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 + pgvector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rag_db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public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document_lifecycle_logs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문서 수명주기 로그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RAG pgvector 저장소의 문서 수명주기 로그을 관리한다. 현재 init 001~009에서 재현한 물리 구조이며 기능 호출 기본값은 비활성이다.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초기 30일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event_id</x:v>
      </x:c>
      <x:c r="C17" s="15" t="str">
        <x:v>event ID</x:v>
      </x:c>
      <x:c r="D17" s="15" t="str">
        <x:v>bigint</x:v>
      </x:c>
      <x:c r="E17" s="15"/>
      <x:c r="F17" s="15" t="str">
        <x:v>PK</x:v>
      </x:c>
      <x:c r="G17" s="15" t="str">
        <x:v>NOT NULL</x:v>
      </x:c>
      <x:c r="H17" s="15" t="str">
        <x:v>nextval('document_lifecycle_logs_event_id_seq'::regclass)</x:v>
      </x:c>
      <x:c r="I17" s="15" t="str">
        <x:v>public.document_lifecycle_logs의 한 행을 식별하는 event ID 기본키다.</x:v>
      </x:c>
      <x:c r="J17" s="15"/>
      <x:c r="K17" s="15" t="str">
        <x:v>보안: INTERNAL</x:v>
      </x:c>
    </x:row>
    <x:row r="18" ht="44" customHeight="1">
      <x:c r="A18" s="15" t="n">
        <x:v>2</x:v>
      </x:c>
      <x:c r="B18" s="15" t="str">
        <x:v>manual_id</x:v>
      </x:c>
      <x:c r="C18" s="15" t="str">
        <x:v>manual ID</x:v>
      </x:c>
      <x:c r="D18" s="15" t="str">
        <x:v>text</x:v>
      </x:c>
      <x:c r="E18" s="15"/>
      <x:c r="F18" s="15"/>
      <x:c r="G18" s="15" t="str">
        <x:v>NOT NULL</x:v>
      </x:c>
      <x:c r="H18" s="15"/>
      <x:c r="I18" s="15" t="str">
        <x:v>public.document_lifecycle_logs에서 manual ID 값을 저장한다.</x:v>
      </x:c>
      <x:c r="J18" s="15"/>
      <x:c r="K18" s="15" t="str">
        <x:v>보안: INTERNAL</x:v>
      </x:c>
    </x:row>
    <x:row r="19" ht="44" customHeight="1">
      <x:c r="A19" s="15" t="n">
        <x:v>3</x:v>
      </x:c>
      <x:c r="B19" s="15" t="str">
        <x:v>action</x:v>
      </x:c>
      <x:c r="C19" s="15" t="str">
        <x:v>action</x:v>
      </x:c>
      <x:c r="D19" s="15" t="str">
        <x:v>text</x:v>
      </x:c>
      <x:c r="E19" s="15"/>
      <x:c r="F19" s="15"/>
      <x:c r="G19" s="15" t="str">
        <x:v>NOT NULL</x:v>
      </x:c>
      <x:c r="H19" s="15"/>
      <x:c r="I19" s="15" t="str">
        <x:v>public.document_lifecycle_logs에서 action 값을 저장한다.</x:v>
      </x:c>
      <x:c r="J19" s="15" t="str">
        <x:v>CHECK | CHECK (action = ANY (ARRAY['VERSION_ARCHIVED'::text, 'UPSERT'::text, 'SOFT_DELETE'::text, 'RESTORE'::text]))</x:v>
      </x:c>
      <x:c r="K19" s="15" t="str">
        <x:v>보안: INTERNAL</x:v>
      </x:c>
    </x:row>
    <x:row r="20" ht="44" customHeight="1">
      <x:c r="A20" s="15" t="n">
        <x:v>4</x:v>
      </x:c>
      <x:c r="B20" s="15" t="str">
        <x:v>actor_role</x:v>
      </x:c>
      <x:c r="C20" s="15" t="str">
        <x:v>actor 역할</x:v>
      </x:c>
      <x:c r="D20" s="15" t="str">
        <x:v>text</x:v>
      </x:c>
      <x:c r="E20" s="15"/>
      <x:c r="F20" s="15"/>
      <x:c r="G20" s="15" t="str">
        <x:v>NOT NULL</x:v>
      </x:c>
      <x:c r="H20" s="15"/>
      <x:c r="I20" s="15" t="str">
        <x:v>public.document_lifecycle_logs에서 actor 역할 값을 저장한다.</x:v>
      </x:c>
      <x:c r="J20" s="15"/>
      <x:c r="K20" s="15" t="str">
        <x:v>보안: INTERNAL</x:v>
      </x:c>
    </x:row>
    <x:row r="21" ht="44" customHeight="1">
      <x:c r="A21" s="15" t="n">
        <x:v>5</x:v>
      </x:c>
      <x:c r="B21" s="15" t="str">
        <x:v>reason</x:v>
      </x:c>
      <x:c r="C21" s="15" t="str">
        <x:v>사유</x:v>
      </x:c>
      <x:c r="D21" s="15" t="str">
        <x:v>text</x:v>
      </x:c>
      <x:c r="E21" s="15"/>
      <x:c r="F21" s="15"/>
      <x:c r="G21" s="15" t="str">
        <x:v>NOT NULL</x:v>
      </x:c>
      <x:c r="H21" s="15"/>
      <x:c r="I21" s="15" t="str">
        <x:v>public.document_lifecycle_logs에서 사유 값을 저장한다.</x:v>
      </x:c>
      <x:c r="J21" s="15"/>
      <x:c r="K21" s="15" t="str">
        <x:v>보안: INTERNAL</x:v>
      </x:c>
    </x:row>
    <x:row r="22" ht="44" customHeight="1">
      <x:c r="A22" s="15" t="n">
        <x:v>6</x:v>
      </x:c>
      <x:c r="B22" s="15" t="str">
        <x:v>created_at</x:v>
      </x:c>
      <x:c r="C22" s="15" t="str">
        <x:v>생성 시각</x:v>
      </x:c>
      <x:c r="D22" s="15" t="str">
        <x:v>timestamptz</x:v>
      </x:c>
      <x:c r="E22" s="15"/>
      <x:c r="F22" s="15"/>
      <x:c r="G22" s="15" t="str">
        <x:v>NOT NULL</x:v>
      </x:c>
      <x:c r="H22" s="15" t="str">
        <x:v>CURRENT_TIMESTAMP</x:v>
      </x:c>
      <x:c r="I22" s="15" t="str">
        <x:v>public.document_lifecycle_logs의 생성 시각을 UTC 기준 시각으로 저장한다.</x:v>
      </x:c>
      <x:c r="J22" s="15"/>
      <x:c r="K22" s="15" t="str">
        <x:v>보안: INTERNAL</x:v>
      </x:c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>
      <x:c r="A24" s="58" t="str">
        <x:v>no</x:v>
      </x:c>
      <x:c r="B24" s="58" t="str">
        <x:v>Index name</x:v>
      </x:c>
      <x:c r="C24" s="58"/>
      <x:c r="D24" s="58" t="str">
        <x:v>Index type</x:v>
      </x:c>
      <x:c r="E24" s="58"/>
      <x:c r="F24" s="58" t="str">
        <x:v>Unique</x:v>
      </x:c>
      <x:c r="G24" s="58"/>
      <x:c r="H24" s="58" t="str">
        <x:v>구성 컬럼</x:v>
      </x:c>
      <x:c r="I24" s="58"/>
      <x:c r="J24" s="58"/>
      <x:c r="K24" s="58"/>
    </x:row>
    <x:row r="25">
      <x:c r="A25" s="15" t="n">
        <x:v>1</x:v>
      </x:c>
      <x:c r="B25" s="15" t="str">
        <x:v>document_lifecycle_logs_pkey</x:v>
      </x:c>
      <x:c r="C25" s="15"/>
      <x:c r="D25" s="15" t="str">
        <x:v>BTREE</x:v>
      </x:c>
      <x:c r="E25" s="15"/>
      <x:c r="F25" s="15" t="str">
        <x:v>Unique</x:v>
      </x:c>
      <x:c r="G25" s="15"/>
      <x:c r="H25" s="15" t="str">
        <x:v>event_id</x:v>
      </x:c>
      <x:c r="I25" s="15"/>
      <x:c r="J25" s="15"/>
      <x:c r="K25" s="15"/>
    </x:row>
    <x:row r="26">
      <x:c r="A26" s="15" t="n">
        <x:v>2</x:v>
      </x:c>
      <x:c r="B26" s="15" t="str">
        <x:v>idx_lifecycle_logs_manual</x:v>
      </x:c>
      <x:c r="C26" s="15"/>
      <x:c r="D26" s="15" t="str">
        <x:v>BTREE</x:v>
      </x:c>
      <x:c r="E26" s="15"/>
      <x:c r="F26" s="15" t="str">
        <x:v>Non-Unique</x:v>
      </x:c>
      <x:c r="G26" s="15"/>
      <x:c r="H26" s="15" t="str">
        <x:v>manual_id, created_at DESC</x:v>
      </x:c>
      <x:c r="I26" s="15"/>
      <x:c r="J26" s="15"/>
      <x:c r="K26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24:C24"/>
    <x:mergeCell ref="D24:E24"/>
    <x:mergeCell ref="F24:G24"/>
    <x:mergeCell ref="H24:K24"/>
    <x:mergeCell ref="B25:C25"/>
    <x:mergeCell ref="D25:E25"/>
    <x:mergeCell ref="F25:G25"/>
    <x:mergeCell ref="H25:K25"/>
    <x:mergeCell ref="B26:C26"/>
    <x:mergeCell ref="D26:E26"/>
    <x:mergeCell ref="F26:G26"/>
    <x:mergeCell ref="H26:K26"/>
  </x:mergeCells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 + pgvector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rag_db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public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document_versions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문서 버전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RAG pgvector 저장소의 문서 버전을 관리한다. 현재 init 001~009에서 재현한 물리 구조이며 기능 호출 기본값은 비활성이다.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초기 30일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version_id</x:v>
      </x:c>
      <x:c r="C17" s="15" t="str">
        <x:v>버전 ID</x:v>
      </x:c>
      <x:c r="D17" s="15" t="str">
        <x:v>bigint</x:v>
      </x:c>
      <x:c r="E17" s="15"/>
      <x:c r="F17" s="15" t="str">
        <x:v>PK</x:v>
      </x:c>
      <x:c r="G17" s="15" t="str">
        <x:v>NOT NULL</x:v>
      </x:c>
      <x:c r="H17" s="15" t="str">
        <x:v>nextval('document_versions_version_id_seq'::regclass)</x:v>
      </x:c>
      <x:c r="I17" s="15" t="str">
        <x:v>public.document_versions의 한 행을 식별하는 버전 ID 기본키다.</x:v>
      </x:c>
      <x:c r="J17" s="15"/>
      <x:c r="K17" s="15" t="str">
        <x:v>보안: INTERNAL</x:v>
      </x:c>
    </x:row>
    <x:row r="18" ht="44" customHeight="1">
      <x:c r="A18" s="15" t="n">
        <x:v>2</x:v>
      </x:c>
      <x:c r="B18" s="15" t="str">
        <x:v>manual_id</x:v>
      </x:c>
      <x:c r="C18" s="15" t="str">
        <x:v>manual ID</x:v>
      </x:c>
      <x:c r="D18" s="15" t="str">
        <x:v>text</x:v>
      </x:c>
      <x:c r="E18" s="15"/>
      <x:c r="F18" s="15" t="str">
        <x:v>UK</x:v>
      </x:c>
      <x:c r="G18" s="15" t="str">
        <x:v>NOT NULL</x:v>
      </x:c>
      <x:c r="H18" s="15"/>
      <x:c r="I18" s="15" t="str">
        <x:v>public.document_versions에서 manual ID 값을 저장한다.</x:v>
      </x:c>
      <x:c r="J18" s="15"/>
      <x:c r="K18" s="15" t="str">
        <x:v>보안: INTERNAL</x:v>
      </x:c>
    </x:row>
    <x:row r="19" ht="44" customHeight="1">
      <x:c r="A19" s="15" t="n">
        <x:v>3</x:v>
      </x:c>
      <x:c r="B19" s="15" t="str">
        <x:v>title</x:v>
      </x:c>
      <x:c r="C19" s="15" t="str">
        <x:v>title</x:v>
      </x:c>
      <x:c r="D19" s="15" t="str">
        <x:v>text</x:v>
      </x:c>
      <x:c r="E19" s="15"/>
      <x:c r="F19" s="15"/>
      <x:c r="G19" s="15" t="str">
        <x:v>NOT NULL</x:v>
      </x:c>
      <x:c r="H19" s="15"/>
      <x:c r="I19" s="15" t="str">
        <x:v>public.document_versions에서 title 값을 저장한다.</x:v>
      </x:c>
      <x:c r="J19" s="15"/>
      <x:c r="K19" s="15" t="str">
        <x:v>보안: INTERNAL</x:v>
      </x:c>
    </x:row>
    <x:row r="20" ht="44" customHeight="1">
      <x:c r="A20" s="15" t="n">
        <x:v>4</x:v>
      </x:c>
      <x:c r="B20" s="15" t="str">
        <x:v>version</x:v>
      </x:c>
      <x:c r="C20" s="15" t="str">
        <x:v>버전</x:v>
      </x:c>
      <x:c r="D20" s="15" t="str">
        <x:v>text</x:v>
      </x:c>
      <x:c r="E20" s="15"/>
      <x:c r="F20" s="15"/>
      <x:c r="G20" s="15" t="str">
        <x:v>NOT NULL</x:v>
      </x:c>
      <x:c r="H20" s="15"/>
      <x:c r="I20" s="15" t="str">
        <x:v>public.document_versions에서 버전 값을 저장한다.</x:v>
      </x:c>
      <x:c r="J20" s="15"/>
      <x:c r="K20" s="15" t="str">
        <x:v>보안: INTERNAL</x:v>
      </x:c>
    </x:row>
    <x:row r="21" ht="44" customHeight="1">
      <x:c r="A21" s="15" t="n">
        <x:v>5</x:v>
      </x:c>
      <x:c r="B21" s="15" t="str">
        <x:v>source_path</x:v>
      </x:c>
      <x:c r="C21" s="15" t="str">
        <x:v>소스 path</x:v>
      </x:c>
      <x:c r="D21" s="15" t="str">
        <x:v>text</x:v>
      </x:c>
      <x:c r="E21" s="15"/>
      <x:c r="F21" s="15"/>
      <x:c r="G21" s="15" t="str">
        <x:v>NOT NULL</x:v>
      </x:c>
      <x:c r="H21" s="15"/>
      <x:c r="I21" s="15" t="str">
        <x:v>public.document_versions에서 소스 path 값을 저장한다.</x:v>
      </x:c>
      <x:c r="J21" s="15"/>
      <x:c r="K21" s="15" t="str">
        <x:v>보안: INTERNAL</x:v>
      </x:c>
    </x:row>
    <x:row r="22" ht="44" customHeight="1">
      <x:c r="A22" s="15" t="n">
        <x:v>6</x:v>
      </x:c>
      <x:c r="B22" s="15" t="str">
        <x:v>content_checksum</x:v>
      </x:c>
      <x:c r="C22" s="15" t="str">
        <x:v>content checksum</x:v>
      </x:c>
      <x:c r="D22" s="15" t="str">
        <x:v>text</x:v>
      </x:c>
      <x:c r="E22" s="15"/>
      <x:c r="F22" s="15" t="str">
        <x:v>UK</x:v>
      </x:c>
      <x:c r="G22" s="15" t="str">
        <x:v>NOT NULL</x:v>
      </x:c>
      <x:c r="H22" s="15"/>
      <x:c r="I22" s="15" t="str">
        <x:v>public.document_versions에서 content checksum 값을 저장한다.</x:v>
      </x:c>
      <x:c r="J22" s="15"/>
      <x:c r="K22" s="15" t="str">
        <x:v>보안: CONFIDENTIAL</x:v>
      </x:c>
    </x:row>
    <x:row r="23" ht="44" customHeight="1">
      <x:c r="A23" s="15" t="n">
        <x:v>7</x:v>
      </x:c>
      <x:c r="B23" s="15" t="str">
        <x:v>document_status</x:v>
      </x:c>
      <x:c r="C23" s="15" t="str">
        <x:v>문서 상태</x:v>
      </x:c>
      <x:c r="D23" s="15" t="str">
        <x:v>text</x:v>
      </x:c>
      <x:c r="E23" s="15"/>
      <x:c r="F23" s="15"/>
      <x:c r="G23" s="15" t="str">
        <x:v>NOT NULL</x:v>
      </x:c>
      <x:c r="H23" s="15"/>
      <x:c r="I23" s="15" t="str">
        <x:v>public.document_versions의 현재 문서 상태를 저장한다. 허용 범위는 연결된 CHECK 제약과 서비스 계약을 따른다.</x:v>
      </x:c>
      <x:c r="J23" s="15"/>
      <x:c r="K23" s="15" t="str">
        <x:v>보안: INTERNAL</x:v>
      </x:c>
    </x:row>
    <x:row r="24" ht="44" customHeight="1">
      <x:c r="A24" s="15" t="n">
        <x:v>8</x:v>
      </x:c>
      <x:c r="B24" s="15" t="str">
        <x:v>authority_level</x:v>
      </x:c>
      <x:c r="C24" s="15" t="str">
        <x:v>authority level</x:v>
      </x:c>
      <x:c r="D24" s="15" t="str">
        <x:v>text</x:v>
      </x:c>
      <x:c r="E24" s="15"/>
      <x:c r="F24" s="15"/>
      <x:c r="G24" s="15" t="str">
        <x:v>NOT NULL</x:v>
      </x:c>
      <x:c r="H24" s="15"/>
      <x:c r="I24" s="15" t="str">
        <x:v>public.document_versions에서 authority level 값을 저장한다.</x:v>
      </x:c>
      <x:c r="J24" s="15"/>
      <x:c r="K24" s="15" t="str">
        <x:v>보안: INTERNAL</x:v>
      </x:c>
    </x:row>
    <x:row r="25" ht="44" customHeight="1">
      <x:c r="A25" s="15" t="n">
        <x:v>9</x:v>
      </x:c>
      <x:c r="B25" s="15" t="str">
        <x:v>validity_status</x:v>
      </x:c>
      <x:c r="C25" s="15" t="str">
        <x:v>validity 상태</x:v>
      </x:c>
      <x:c r="D25" s="15" t="str">
        <x:v>text</x:v>
      </x:c>
      <x:c r="E25" s="15"/>
      <x:c r="F25" s="15"/>
      <x:c r="G25" s="15" t="str">
        <x:v>NOT NULL</x:v>
      </x:c>
      <x:c r="H25" s="15"/>
      <x:c r="I25" s="15" t="str">
        <x:v>public.document_versions의 현재 validity 상태를 저장한다. 허용 범위는 연결된 CHECK 제약과 서비스 계약을 따른다.</x:v>
      </x:c>
      <x:c r="J25" s="15"/>
      <x:c r="K25" s="15" t="str">
        <x:v>보안: INTERNAL</x:v>
      </x:c>
    </x:row>
    <x:row r="26" ht="44" customHeight="1">
      <x:c r="A26" s="15" t="n">
        <x:v>10</x:v>
      </x:c>
      <x:c r="B26" s="15" t="str">
        <x:v>role_scope</x:v>
      </x:c>
      <x:c r="C26" s="15" t="str">
        <x:v>역할 scope</x:v>
      </x:c>
      <x:c r="D26" s="15" t="str">
        <x:v>text[]</x:v>
      </x:c>
      <x:c r="E26" s="15"/>
      <x:c r="F26" s="15"/>
      <x:c r="G26" s="15" t="str">
        <x:v>NOT NULL</x:v>
      </x:c>
      <x:c r="H26" s="15"/>
      <x:c r="I26" s="15" t="str">
        <x:v>public.document_versions에서 역할 scope 값을 저장한다.</x:v>
      </x:c>
      <x:c r="J26" s="15"/>
      <x:c r="K26" s="15" t="str">
        <x:v>보안: INTERNAL</x:v>
      </x:c>
    </x:row>
    <x:row r="27" ht="44" customHeight="1">
      <x:c r="A27" s="15" t="n">
        <x:v>11</x:v>
      </x:c>
      <x:c r="B27" s="15" t="str">
        <x:v>archived_at</x:v>
      </x:c>
      <x:c r="C27" s="15" t="str">
        <x:v>archived 시각</x:v>
      </x:c>
      <x:c r="D27" s="15" t="str">
        <x:v>timestamptz</x:v>
      </x:c>
      <x:c r="E27" s="15"/>
      <x:c r="F27" s="15"/>
      <x:c r="G27" s="15" t="str">
        <x:v>NOT NULL</x:v>
      </x:c>
      <x:c r="H27" s="15" t="str">
        <x:v>CURRENT_TIMESTAMP</x:v>
      </x:c>
      <x:c r="I27" s="15" t="str">
        <x:v>public.document_versions의 archived 시각을 UTC 기준 시각으로 저장한다.</x:v>
      </x:c>
      <x:c r="J27" s="15"/>
      <x:c r="K27" s="15" t="str">
        <x:v>보안: INTERNAL</x:v>
      </x:c>
    </x:row>
    <x:row r="28" ht="44" customHeight="1">
      <x:c r="A28" s="15" t="n">
        <x:v>12</x:v>
      </x:c>
      <x:c r="B28" s="15" t="str">
        <x:v>archive_reason</x:v>
      </x:c>
      <x:c r="C28" s="15" t="str">
        <x:v>archive 사유</x:v>
      </x:c>
      <x:c r="D28" s="15" t="str">
        <x:v>text</x:v>
      </x:c>
      <x:c r="E28" s="15"/>
      <x:c r="F28" s="15"/>
      <x:c r="G28" s="15" t="str">
        <x:v>NOT NULL</x:v>
      </x:c>
      <x:c r="H28" s="15"/>
      <x:c r="I28" s="15" t="str">
        <x:v>public.document_versions에서 archive 사유 값을 저장한다.</x:v>
      </x:c>
      <x:c r="J28" s="15"/>
      <x:c r="K28" s="15" t="str">
        <x:v>보안: INTERNAL</x:v>
      </x:c>
    </x:row>
    <x:row r="29" ht="44" customHeight="1">
      <x:c r="A29" s="15" t="n">
        <x:v>13</x:v>
      </x:c>
      <x:c r="B29" s="15" t="str">
        <x:v>document_type</x:v>
      </x:c>
      <x:c r="C29" s="15" t="str">
        <x:v>문서 유형</x:v>
      </x:c>
      <x:c r="D29" s="15" t="str">
        <x:v>text</x:v>
      </x:c>
      <x:c r="E29" s="15"/>
      <x:c r="F29" s="15"/>
      <x:c r="G29" s="15" t="str">
        <x:v>NOT NULL</x:v>
      </x:c>
      <x:c r="H29" s="15" t="str">
        <x:v>'MANUAL'::text</x:v>
      </x:c>
      <x:c r="I29" s="15" t="str">
        <x:v>public.document_versions에서 문서 유형 값을 저장한다.</x:v>
      </x:c>
      <x:c r="J29" s="15"/>
      <x:c r="K29" s="15" t="str">
        <x:v>보안: INTERNAL</x:v>
      </x:c>
    </x:row>
    <x:row r="30" ht="44" customHeight="1">
      <x:c r="A30" s="15" t="n">
        <x:v>14</x:v>
      </x:c>
      <x:c r="B30" s="15" t="str">
        <x:v>owner_team</x:v>
      </x:c>
      <x:c r="C30" s="15" t="str">
        <x:v>owner team</x:v>
      </x:c>
      <x:c r="D30" s="15" t="str">
        <x:v>text</x:v>
      </x:c>
      <x:c r="E30" s="15"/>
      <x:c r="F30" s="15"/>
      <x:c r="G30" s="15" t="str">
        <x:v>NOT NULL</x:v>
      </x:c>
      <x:c r="H30" s="15" t="str">
        <x:v>'UNASSIGNED'::text</x:v>
      </x:c>
      <x:c r="I30" s="15" t="str">
        <x:v>public.document_versions에서 owner team 값을 저장한다.</x:v>
      </x:c>
      <x:c r="J30" s="15"/>
      <x:c r="K30" s="15" t="str">
        <x:v>보안: INTERNAL</x:v>
      </x:c>
    </x:row>
    <x:row r="31" ht="44" customHeight="1">
      <x:c r="A31" s="15" t="n">
        <x:v>15</x:v>
      </x:c>
      <x:c r="B31" s="15" t="str">
        <x:v>effective_from</x:v>
      </x:c>
      <x:c r="C31" s="15" t="str">
        <x:v>effective from</x:v>
      </x:c>
      <x:c r="D31" s="15" t="str">
        <x:v>date</x:v>
      </x:c>
      <x:c r="E31" s="15"/>
      <x:c r="F31" s="15"/>
      <x:c r="G31" s="15"/>
      <x:c r="H31" s="15"/>
      <x:c r="I31" s="15" t="str">
        <x:v>public.document_versions에서 effective from 값을 저장한다.</x:v>
      </x:c>
      <x:c r="J31" s="15"/>
      <x:c r="K31" s="15" t="str">
        <x:v>보안: INTERNAL</x:v>
      </x:c>
    </x:row>
    <x:row r="32" ht="44" customHeight="1">
      <x:c r="A32" s="15" t="n">
        <x:v>16</x:v>
      </x:c>
      <x:c r="B32" s="15" t="str">
        <x:v>expires_at</x:v>
      </x:c>
      <x:c r="C32" s="15" t="str">
        <x:v>expires 시각</x:v>
      </x:c>
      <x:c r="D32" s="15" t="str">
        <x:v>date</x:v>
      </x:c>
      <x:c r="E32" s="15"/>
      <x:c r="F32" s="15"/>
      <x:c r="G32" s="15"/>
      <x:c r="H32" s="15"/>
      <x:c r="I32" s="15" t="str">
        <x:v>public.document_versions의 expires 시각을 UTC 기준 시각으로 저장한다.</x:v>
      </x:c>
      <x:c r="J32" s="15"/>
      <x:c r="K32" s="15" t="str">
        <x:v>보안: INTERNAL</x:v>
      </x:c>
    </x:row>
    <x:row r="33" ht="44" customHeight="1">
      <x:c r="A33" s="15" t="n">
        <x:v>17</x:v>
      </x:c>
      <x:c r="B33" s="15" t="str">
        <x:v>approval_status</x:v>
      </x:c>
      <x:c r="C33" s="15" t="str">
        <x:v>approval 상태</x:v>
      </x:c>
      <x:c r="D33" s="15" t="str">
        <x:v>text</x:v>
      </x:c>
      <x:c r="E33" s="15"/>
      <x:c r="F33" s="15"/>
      <x:c r="G33" s="15" t="str">
        <x:v>NOT NULL</x:v>
      </x:c>
      <x:c r="H33" s="15" t="str">
        <x:v>'NOT_APPROVED'::text</x:v>
      </x:c>
      <x:c r="I33" s="15" t="str">
        <x:v>public.document_versions의 현재 approval 상태를 저장한다. 허용 범위는 연결된 CHECK 제약과 서비스 계약을 따른다.</x:v>
      </x:c>
      <x:c r="J33" s="15"/>
      <x:c r="K33" s="15" t="str">
        <x:v>보안: INTERNAL</x:v>
      </x:c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</x:row>
    <x:row r="35">
      <x:c r="A35" s="58" t="str">
        <x:v>no</x:v>
      </x:c>
      <x:c r="B35" s="58" t="str">
        <x:v>Index name</x:v>
      </x:c>
      <x:c r="C35" s="58"/>
      <x:c r="D35" s="58" t="str">
        <x:v>Index type</x:v>
      </x:c>
      <x:c r="E35" s="58"/>
      <x:c r="F35" s="58" t="str">
        <x:v>Unique</x:v>
      </x:c>
      <x:c r="G35" s="58"/>
      <x:c r="H35" s="58" t="str">
        <x:v>구성 컬럼</x:v>
      </x:c>
      <x:c r="I35" s="58"/>
      <x:c r="J35" s="58"/>
      <x:c r="K35" s="58"/>
    </x:row>
    <x:row r="36">
      <x:c r="A36" s="15" t="n">
        <x:v>1</x:v>
      </x:c>
      <x:c r="B36" s="15" t="str">
        <x:v>document_versions_manual_id_content_checksum_key</x:v>
      </x:c>
      <x:c r="C36" s="15"/>
      <x:c r="D36" s="15" t="str">
        <x:v>BTREE</x:v>
      </x:c>
      <x:c r="E36" s="15"/>
      <x:c r="F36" s="15" t="str">
        <x:v>Unique</x:v>
      </x:c>
      <x:c r="G36" s="15"/>
      <x:c r="H36" s="15" t="str">
        <x:v>manual_id, content_checksum</x:v>
      </x:c>
      <x:c r="I36" s="15"/>
      <x:c r="J36" s="15"/>
      <x:c r="K36" s="15"/>
    </x:row>
    <x:row r="37">
      <x:c r="A37" s="15" t="n">
        <x:v>2</x:v>
      </x:c>
      <x:c r="B37" s="15" t="str">
        <x:v>document_versions_pkey</x:v>
      </x:c>
      <x:c r="C37" s="15"/>
      <x:c r="D37" s="15" t="str">
        <x:v>BTREE</x:v>
      </x:c>
      <x:c r="E37" s="15"/>
      <x:c r="F37" s="15" t="str">
        <x:v>Unique</x:v>
      </x:c>
      <x:c r="G37" s="15"/>
      <x:c r="H37" s="15" t="str">
        <x:v>version_id</x:v>
      </x:c>
      <x:c r="I37" s="15"/>
      <x:c r="J37" s="15"/>
      <x:c r="K37" s="15"/>
    </x:row>
    <x:row r="38">
      <x:c r="A38" s="15" t="n">
        <x:v>3</x:v>
      </x:c>
      <x:c r="B38" s="15" t="str">
        <x:v>idx_document_versions_manual</x:v>
      </x:c>
      <x:c r="C38" s="15"/>
      <x:c r="D38" s="15" t="str">
        <x:v>BTREE</x:v>
      </x:c>
      <x:c r="E38" s="15"/>
      <x:c r="F38" s="15" t="str">
        <x:v>Non-Unique</x:v>
      </x:c>
      <x:c r="G38" s="15"/>
      <x:c r="H38" s="15" t="str">
        <x:v>manual_id, archived_at DESC</x:v>
      </x:c>
      <x:c r="I38" s="15"/>
      <x:c r="J38" s="15"/>
      <x:c r="K38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5:C35"/>
    <x:mergeCell ref="D35:E35"/>
    <x:mergeCell ref="F35:G35"/>
    <x:mergeCell ref="H35:K35"/>
    <x:mergeCell ref="B36:C36"/>
    <x:mergeCell ref="D36:E36"/>
    <x:mergeCell ref="F36:G36"/>
    <x:mergeCell ref="H36:K36"/>
    <x:mergeCell ref="B37:C37"/>
    <x:mergeCell ref="D37:E37"/>
    <x:mergeCell ref="F37:G37"/>
    <x:mergeCell ref="H37:K37"/>
    <x:mergeCell ref="B38:C38"/>
    <x:mergeCell ref="D38:E38"/>
    <x:mergeCell ref="F38:G38"/>
    <x:mergeCell ref="H38:K38"/>
  </x:mergeCells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 + pgvector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rag_db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public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documents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RAG 문서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RAG pgvector 저장소의 RAG 문서을 관리한다. 현재 init 001~009에서 재현한 물리 구조이며 기능 호출 기본값은 비활성이다.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초기 30일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manual_id</x:v>
      </x:c>
      <x:c r="C17" s="15" t="str">
        <x:v>manual ID</x:v>
      </x:c>
      <x:c r="D17" s="15" t="str">
        <x:v>text</x:v>
      </x:c>
      <x:c r="E17" s="15"/>
      <x:c r="F17" s="15" t="str">
        <x:v>PK</x:v>
      </x:c>
      <x:c r="G17" s="15" t="str">
        <x:v>NOT NULL</x:v>
      </x:c>
      <x:c r="H17" s="15"/>
      <x:c r="I17" s="15" t="str">
        <x:v>public.documents의 한 행을 식별하는 manual ID 기본키다.</x:v>
      </x:c>
      <x:c r="J17" s="15"/>
      <x:c r="K17" s="15" t="str">
        <x:v>보안: INTERNAL</x:v>
      </x:c>
    </x:row>
    <x:row r="18" ht="44" customHeight="1">
      <x:c r="A18" s="15" t="n">
        <x:v>2</x:v>
      </x:c>
      <x:c r="B18" s="15" t="str">
        <x:v>title</x:v>
      </x:c>
      <x:c r="C18" s="15" t="str">
        <x:v>title</x:v>
      </x:c>
      <x:c r="D18" s="15" t="str">
        <x:v>text</x:v>
      </x:c>
      <x:c r="E18" s="15"/>
      <x:c r="F18" s="15"/>
      <x:c r="G18" s="15" t="str">
        <x:v>NOT NULL</x:v>
      </x:c>
      <x:c r="H18" s="15"/>
      <x:c r="I18" s="15" t="str">
        <x:v>public.documents에서 title 값을 저장한다.</x:v>
      </x:c>
      <x:c r="J18" s="15"/>
      <x:c r="K18" s="15" t="str">
        <x:v>보안: INTERNAL</x:v>
      </x:c>
    </x:row>
    <x:row r="19" ht="44" customHeight="1">
      <x:c r="A19" s="15" t="n">
        <x:v>3</x:v>
      </x:c>
      <x:c r="B19" s="15" t="str">
        <x:v>version</x:v>
      </x:c>
      <x:c r="C19" s="15" t="str">
        <x:v>버전</x:v>
      </x:c>
      <x:c r="D19" s="15" t="str">
        <x:v>text</x:v>
      </x:c>
      <x:c r="E19" s="15"/>
      <x:c r="F19" s="15"/>
      <x:c r="G19" s="15" t="str">
        <x:v>NOT NULL</x:v>
      </x:c>
      <x:c r="H19" s="15"/>
      <x:c r="I19" s="15" t="str">
        <x:v>public.documents에서 버전 값을 저장한다.</x:v>
      </x:c>
      <x:c r="J19" s="15"/>
      <x:c r="K19" s="15" t="str">
        <x:v>보안: INTERNAL</x:v>
      </x:c>
    </x:row>
    <x:row r="20" ht="44" customHeight="1">
      <x:c r="A20" s="15" t="n">
        <x:v>4</x:v>
      </x:c>
      <x:c r="B20" s="15" t="str">
        <x:v>source_path</x:v>
      </x:c>
      <x:c r="C20" s="15" t="str">
        <x:v>소스 path</x:v>
      </x:c>
      <x:c r="D20" s="15" t="str">
        <x:v>text</x:v>
      </x:c>
      <x:c r="E20" s="15"/>
      <x:c r="F20" s="15"/>
      <x:c r="G20" s="15" t="str">
        <x:v>NOT NULL</x:v>
      </x:c>
      <x:c r="H20" s="15"/>
      <x:c r="I20" s="15" t="str">
        <x:v>public.documents에서 소스 path 값을 저장한다.</x:v>
      </x:c>
      <x:c r="J20" s="15"/>
      <x:c r="K20" s="15" t="str">
        <x:v>보안: INTERNAL</x:v>
      </x:c>
    </x:row>
    <x:row r="21" ht="44" customHeight="1">
      <x:c r="A21" s="15" t="n">
        <x:v>5</x:v>
      </x:c>
      <x:c r="B21" s="15" t="str">
        <x:v>content_checksum</x:v>
      </x:c>
      <x:c r="C21" s="15" t="str">
        <x:v>content checksum</x:v>
      </x:c>
      <x:c r="D21" s="15" t="str">
        <x:v>text</x:v>
      </x:c>
      <x:c r="E21" s="15"/>
      <x:c r="F21" s="15"/>
      <x:c r="G21" s="15" t="str">
        <x:v>NOT NULL</x:v>
      </x:c>
      <x:c r="H21" s="15"/>
      <x:c r="I21" s="15" t="str">
        <x:v>public.documents에서 content checksum 값을 저장한다.</x:v>
      </x:c>
      <x:c r="J21" s="15"/>
      <x:c r="K21" s="15" t="str">
        <x:v>보안: CONFIDENTIAL</x:v>
      </x:c>
    </x:row>
    <x:row r="22" ht="44" customHeight="1">
      <x:c r="A22" s="15" t="n">
        <x:v>6</x:v>
      </x:c>
      <x:c r="B22" s="15" t="str">
        <x:v>document_status</x:v>
      </x:c>
      <x:c r="C22" s="15" t="str">
        <x:v>문서 상태</x:v>
      </x:c>
      <x:c r="D22" s="15" t="str">
        <x:v>text</x:v>
      </x:c>
      <x:c r="E22" s="15"/>
      <x:c r="F22" s="15"/>
      <x:c r="G22" s="15" t="str">
        <x:v>NOT NULL</x:v>
      </x:c>
      <x:c r="H22" s="15" t="str">
        <x:v>'WORKING_KNOWLEDGE'::text</x:v>
      </x:c>
      <x:c r="I22" s="15" t="str">
        <x:v>public.documents의 현재 문서 상태를 저장한다. 허용 범위는 연결된 CHECK 제약과 서비스 계약을 따른다.</x:v>
      </x:c>
      <x:c r="J22" s="15"/>
      <x:c r="K22" s="15" t="str">
        <x:v>보안: INTERNAL</x:v>
      </x:c>
    </x:row>
    <x:row r="23" ht="44" customHeight="1">
      <x:c r="A23" s="15" t="n">
        <x:v>7</x:v>
      </x:c>
      <x:c r="B23" s="15" t="str">
        <x:v>authority_level</x:v>
      </x:c>
      <x:c r="C23" s="15" t="str">
        <x:v>authority level</x:v>
      </x:c>
      <x:c r="D23" s="15" t="str">
        <x:v>text</x:v>
      </x:c>
      <x:c r="E23" s="15"/>
      <x:c r="F23" s="15"/>
      <x:c r="G23" s="15" t="str">
        <x:v>NOT NULL</x:v>
      </x:c>
      <x:c r="H23" s="15" t="str">
        <x:v>'INTERNAL_WORKING_GUIDE'::text</x:v>
      </x:c>
      <x:c r="I23" s="15" t="str">
        <x:v>public.documents에서 authority level 값을 저장한다.</x:v>
      </x:c>
      <x:c r="J23" s="15"/>
      <x:c r="K23" s="15" t="str">
        <x:v>보안: INTERNAL</x:v>
      </x:c>
    </x:row>
    <x:row r="24" ht="44" customHeight="1">
      <x:c r="A24" s="15" t="n">
        <x:v>8</x:v>
      </x:c>
      <x:c r="B24" s="15" t="str">
        <x:v>validity_status</x:v>
      </x:c>
      <x:c r="C24" s="15" t="str">
        <x:v>validity 상태</x:v>
      </x:c>
      <x:c r="D24" s="15" t="str">
        <x:v>text</x:v>
      </x:c>
      <x:c r="E24" s="15"/>
      <x:c r="F24" s="15"/>
      <x:c r="G24" s="15" t="str">
        <x:v>NOT NULL</x:v>
      </x:c>
      <x:c r="H24" s="15" t="str">
        <x:v>'UNRESOLVED'::text</x:v>
      </x:c>
      <x:c r="I24" s="15" t="str">
        <x:v>public.documents의 현재 validity 상태를 저장한다. 허용 범위는 연결된 CHECK 제약과 서비스 계약을 따른다.</x:v>
      </x:c>
      <x:c r="J24" s="15"/>
      <x:c r="K24" s="15" t="str">
        <x:v>보안: INTERNAL</x:v>
      </x:c>
    </x:row>
    <x:row r="25" ht="44" customHeight="1">
      <x:c r="A25" s="15" t="n">
        <x:v>9</x:v>
      </x:c>
      <x:c r="B25" s="15" t="str">
        <x:v>role_scope</x:v>
      </x:c>
      <x:c r="C25" s="15" t="str">
        <x:v>역할 scope</x:v>
      </x:c>
      <x:c r="D25" s="15" t="str">
        <x:v>text[]</x:v>
      </x:c>
      <x:c r="E25" s="15"/>
      <x:c r="F25" s="15"/>
      <x:c r="G25" s="15" t="str">
        <x:v>NOT NULL</x:v>
      </x:c>
      <x:c r="H25" s="15"/>
      <x:c r="I25" s="15" t="str">
        <x:v>public.documents에서 역할 scope 값을 저장한다.</x:v>
      </x:c>
      <x:c r="J25" s="15"/>
      <x:c r="K25" s="15" t="str">
        <x:v>보안: INTERNAL</x:v>
      </x:c>
    </x:row>
    <x:row r="26" ht="44" customHeight="1">
      <x:c r="A26" s="15" t="n">
        <x:v>10</x:v>
      </x:c>
      <x:c r="B26" s="15" t="str">
        <x:v>deleted_at</x:v>
      </x:c>
      <x:c r="C26" s="15" t="str">
        <x:v>삭제 시각</x:v>
      </x:c>
      <x:c r="D26" s="15" t="str">
        <x:v>timestamptz</x:v>
      </x:c>
      <x:c r="E26" s="15"/>
      <x:c r="F26" s="15"/>
      <x:c r="G26" s="15"/>
      <x:c r="H26" s="15"/>
      <x:c r="I26" s="15" t="str">
        <x:v>public.documents의 삭제 시각을 UTC 기준 시각으로 저장한다.</x:v>
      </x:c>
      <x:c r="J26" s="15"/>
      <x:c r="K26" s="15" t="str">
        <x:v>보안: INTERNAL</x:v>
      </x:c>
    </x:row>
    <x:row r="27" ht="44" customHeight="1">
      <x:c r="A27" s="15" t="n">
        <x:v>11</x:v>
      </x:c>
      <x:c r="B27" s="15" t="str">
        <x:v>updated_at</x:v>
      </x:c>
      <x:c r="C27" s="15" t="str">
        <x:v>수정 시각</x:v>
      </x:c>
      <x:c r="D27" s="15" t="str">
        <x:v>timestamptz</x:v>
      </x:c>
      <x:c r="E27" s="15"/>
      <x:c r="F27" s="15"/>
      <x:c r="G27" s="15" t="str">
        <x:v>NOT NULL</x:v>
      </x:c>
      <x:c r="H27" s="15" t="str">
        <x:v>CURRENT_TIMESTAMP</x:v>
      </x:c>
      <x:c r="I27" s="15" t="str">
        <x:v>public.documents의 수정 시각을 UTC 기준 시각으로 저장한다.</x:v>
      </x:c>
      <x:c r="J27" s="15"/>
      <x:c r="K27" s="15" t="str">
        <x:v>보안: INTERNAL</x:v>
      </x:c>
    </x:row>
    <x:row r="28" ht="44" customHeight="1">
      <x:c r="A28" s="15" t="n">
        <x:v>12</x:v>
      </x:c>
      <x:c r="B28" s="15" t="str">
        <x:v>document_type</x:v>
      </x:c>
      <x:c r="C28" s="15" t="str">
        <x:v>문서 유형</x:v>
      </x:c>
      <x:c r="D28" s="15" t="str">
        <x:v>text</x:v>
      </x:c>
      <x:c r="E28" s="15"/>
      <x:c r="F28" s="15"/>
      <x:c r="G28" s="15" t="str">
        <x:v>NOT NULL</x:v>
      </x:c>
      <x:c r="H28" s="15" t="str">
        <x:v>'MANUAL'::text</x:v>
      </x:c>
      <x:c r="I28" s="15" t="str">
        <x:v>public.documents에서 문서 유형 값을 저장한다.</x:v>
      </x:c>
      <x:c r="J28" s="15"/>
      <x:c r="K28" s="15" t="str">
        <x:v>보안: INTERNAL</x:v>
      </x:c>
    </x:row>
    <x:row r="29" ht="44" customHeight="1">
      <x:c r="A29" s="15" t="n">
        <x:v>13</x:v>
      </x:c>
      <x:c r="B29" s="15" t="str">
        <x:v>owner_team</x:v>
      </x:c>
      <x:c r="C29" s="15" t="str">
        <x:v>owner team</x:v>
      </x:c>
      <x:c r="D29" s="15" t="str">
        <x:v>text</x:v>
      </x:c>
      <x:c r="E29" s="15"/>
      <x:c r="F29" s="15"/>
      <x:c r="G29" s="15" t="str">
        <x:v>NOT NULL</x:v>
      </x:c>
      <x:c r="H29" s="15" t="str">
        <x:v>'UNASSIGNED'::text</x:v>
      </x:c>
      <x:c r="I29" s="15" t="str">
        <x:v>public.documents에서 owner team 값을 저장한다.</x:v>
      </x:c>
      <x:c r="J29" s="15"/>
      <x:c r="K29" s="15" t="str">
        <x:v>보안: INTERNAL</x:v>
      </x:c>
    </x:row>
    <x:row r="30" ht="44" customHeight="1">
      <x:c r="A30" s="15" t="n">
        <x:v>14</x:v>
      </x:c>
      <x:c r="B30" s="15" t="str">
        <x:v>effective_from</x:v>
      </x:c>
      <x:c r="C30" s="15" t="str">
        <x:v>effective from</x:v>
      </x:c>
      <x:c r="D30" s="15" t="str">
        <x:v>date</x:v>
      </x:c>
      <x:c r="E30" s="15"/>
      <x:c r="F30" s="15"/>
      <x:c r="G30" s="15"/>
      <x:c r="H30" s="15"/>
      <x:c r="I30" s="15" t="str">
        <x:v>public.documents에서 effective from 값을 저장한다.</x:v>
      </x:c>
      <x:c r="J30" s="15" t="str">
        <x:v>CHECK | CHECK (expires_at IS NULL OR effective_from IS NULL OR expires_at &gt;= effective_from)</x:v>
      </x:c>
      <x:c r="K30" s="15" t="str">
        <x:v>보안: INTERNAL</x:v>
      </x:c>
    </x:row>
    <x:row r="31" ht="44" customHeight="1">
      <x:c r="A31" s="15" t="n">
        <x:v>15</x:v>
      </x:c>
      <x:c r="B31" s="15" t="str">
        <x:v>expires_at</x:v>
      </x:c>
      <x:c r="C31" s="15" t="str">
        <x:v>expires 시각</x:v>
      </x:c>
      <x:c r="D31" s="15" t="str">
        <x:v>date</x:v>
      </x:c>
      <x:c r="E31" s="15"/>
      <x:c r="F31" s="15"/>
      <x:c r="G31" s="15"/>
      <x:c r="H31" s="15"/>
      <x:c r="I31" s="15" t="str">
        <x:v>public.documents의 expires 시각을 UTC 기준 시각으로 저장한다.</x:v>
      </x:c>
      <x:c r="J31" s="15" t="str">
        <x:v>CHECK | CHECK (expires_at IS NULL OR effective_from IS NULL OR expires_at &gt;= effective_from)</x:v>
      </x:c>
      <x:c r="K31" s="15" t="str">
        <x:v>보안: INTERNAL</x:v>
      </x:c>
    </x:row>
    <x:row r="32" ht="44" customHeight="1">
      <x:c r="A32" s="15" t="n">
        <x:v>16</x:v>
      </x:c>
      <x:c r="B32" s="15" t="str">
        <x:v>approval_status</x:v>
      </x:c>
      <x:c r="C32" s="15" t="str">
        <x:v>approval 상태</x:v>
      </x:c>
      <x:c r="D32" s="15" t="str">
        <x:v>text</x:v>
      </x:c>
      <x:c r="E32" s="15"/>
      <x:c r="F32" s="15"/>
      <x:c r="G32" s="15" t="str">
        <x:v>NOT NULL</x:v>
      </x:c>
      <x:c r="H32" s="15" t="str">
        <x:v>'NOT_APPROVED'::text</x:v>
      </x:c>
      <x:c r="I32" s="15" t="str">
        <x:v>public.documents의 현재 approval 상태를 저장한다. 허용 범위는 연결된 CHECK 제약과 서비스 계약을 따른다.</x:v>
      </x:c>
      <x:c r="J32" s="15"/>
      <x:c r="K32" s="15" t="str">
        <x:v>보안: INTERNAL</x:v>
      </x:c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  <x:row r="34">
      <x:c r="A34" s="58" t="str">
        <x:v>no</x:v>
      </x:c>
      <x:c r="B34" s="58" t="str">
        <x:v>Index name</x:v>
      </x:c>
      <x:c r="C34" s="58"/>
      <x:c r="D34" s="58" t="str">
        <x:v>Index type</x:v>
      </x:c>
      <x:c r="E34" s="58"/>
      <x:c r="F34" s="58" t="str">
        <x:v>Unique</x:v>
      </x:c>
      <x:c r="G34" s="58"/>
      <x:c r="H34" s="58" t="str">
        <x:v>구성 컬럼</x:v>
      </x:c>
      <x:c r="I34" s="58"/>
      <x:c r="J34" s="58"/>
      <x:c r="K34" s="58"/>
    </x:row>
    <x:row r="35">
      <x:c r="A35" s="15" t="n">
        <x:v>1</x:v>
      </x:c>
      <x:c r="B35" s="15" t="str">
        <x:v>documents_pkey</x:v>
      </x:c>
      <x:c r="C35" s="15"/>
      <x:c r="D35" s="15" t="str">
        <x:v>BTREE</x:v>
      </x:c>
      <x:c r="E35" s="15"/>
      <x:c r="F35" s="15" t="str">
        <x:v>Unique</x:v>
      </x:c>
      <x:c r="G35" s="15"/>
      <x:c r="H35" s="15" t="str">
        <x:v>manual_id</x:v>
      </x:c>
      <x:c r="I35" s="15"/>
      <x:c r="J35" s="15"/>
      <x:c r="K35" s="15"/>
    </x:row>
    <x:row r="36">
      <x:c r="A36" s="15" t="n">
        <x:v>2</x:v>
      </x:c>
      <x:c r="B36" s="15" t="str">
        <x:v>idx_documents_active</x:v>
      </x:c>
      <x:c r="C36" s="15"/>
      <x:c r="D36" s="15" t="str">
        <x:v>BTREE</x:v>
      </x:c>
      <x:c r="E36" s="15"/>
      <x:c r="F36" s="15" t="str">
        <x:v>Non-Unique</x:v>
      </x:c>
      <x:c r="G36" s="15"/>
      <x:c r="H36" s="15" t="str">
        <x:v>document_status, validity_status) WHERE (deleted_at IS NULL</x:v>
      </x:c>
      <x:c r="I36" s="15"/>
      <x:c r="J36" s="15"/>
      <x:c r="K36" s="15"/>
    </x:row>
    <x:row r="37">
      <x:c r="A37" s="15" t="n">
        <x:v>3</x:v>
      </x:c>
      <x:c r="B37" s="15" t="str">
        <x:v>idx_documents_role_scope</x:v>
      </x:c>
      <x:c r="C37" s="15"/>
      <x:c r="D37" s="15" t="str">
        <x:v>GIN</x:v>
      </x:c>
      <x:c r="E37" s="15"/>
      <x:c r="F37" s="15" t="str">
        <x:v>Non-Unique</x:v>
      </x:c>
      <x:c r="G37" s="15"/>
      <x:c r="H37" s="15" t="str">
        <x:v>role_scope</x:v>
      </x:c>
      <x:c r="I37" s="15"/>
      <x:c r="J37" s="15"/>
      <x:c r="K37" s="15"/>
    </x:row>
    <x:row r="38">
      <x:c r="A38" s="15" t="n">
        <x:v>4</x:v>
      </x:c>
      <x:c r="B38" s="15" t="str">
        <x:v>idx_documents_title_trgm</x:v>
      </x:c>
      <x:c r="C38" s="15"/>
      <x:c r="D38" s="15" t="str">
        <x:v>GIN</x:v>
      </x:c>
      <x:c r="E38" s="15"/>
      <x:c r="F38" s="15" t="str">
        <x:v>Non-Unique</x:v>
      </x:c>
      <x:c r="G38" s="15"/>
      <x:c r="H38" s="15" t="str">
        <x:v>title gin_trgm_ops</x:v>
      </x:c>
      <x:c r="I38" s="15"/>
      <x:c r="J38" s="15"/>
      <x:c r="K38" s="15"/>
    </x:row>
    <x:row r="39">
      <x:c r="A39" s="15" t="n">
        <x:v>5</x:v>
      </x:c>
      <x:c r="B39" s="15" t="str">
        <x:v>idx_documents_validity_window</x:v>
      </x:c>
      <x:c r="C39" s="15"/>
      <x:c r="D39" s="15" t="str">
        <x:v>BTREE</x:v>
      </x:c>
      <x:c r="E39" s="15"/>
      <x:c r="F39" s="15" t="str">
        <x:v>Non-Unique</x:v>
      </x:c>
      <x:c r="G39" s="15"/>
      <x:c r="H39" s="15" t="str">
        <x:v>effective_from, expires_at) WHERE (deleted_at IS NULL</x:v>
      </x:c>
      <x:c r="I39" s="15"/>
      <x:c r="J39" s="15"/>
      <x:c r="K39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4:C34"/>
    <x:mergeCell ref="D34:E34"/>
    <x:mergeCell ref="F34:G34"/>
    <x:mergeCell ref="H34:K34"/>
    <x:mergeCell ref="B35:C35"/>
    <x:mergeCell ref="D35:E35"/>
    <x:mergeCell ref="F35:G35"/>
    <x:mergeCell ref="H35:K35"/>
    <x:mergeCell ref="B36:C36"/>
    <x:mergeCell ref="D36:E36"/>
    <x:mergeCell ref="F36:G36"/>
    <x:mergeCell ref="H36:K36"/>
    <x:mergeCell ref="B37:C37"/>
    <x:mergeCell ref="D37:E37"/>
    <x:mergeCell ref="F37:G37"/>
    <x:mergeCell ref="H37:K37"/>
    <x:mergeCell ref="B38:C38"/>
    <x:mergeCell ref="D38:E38"/>
    <x:mergeCell ref="F38:G38"/>
    <x:mergeCell ref="H38:K38"/>
    <x:mergeCell ref="B39:C39"/>
    <x:mergeCell ref="D39:E39"/>
    <x:mergeCell ref="F39:G39"/>
    <x:mergeCell ref="H39:K39"/>
  </x:mergeCells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 + pgvector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rag_db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public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ingestion_runs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RAG 수집 실행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RAG pgvector 저장소의 RAG 수집 실행을 관리한다. 현재 init 001~009에서 재현한 물리 구조이며 기능 호출 기본값은 비활성이다.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초기 30일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run_id</x:v>
      </x:c>
      <x:c r="C17" s="15" t="str">
        <x:v>실행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/>
      <x:c r="I17" s="15" t="str">
        <x:v>public.ingestion_runs의 한 행을 식별하는 실행 ID 기본키다.</x:v>
      </x:c>
      <x:c r="J17" s="15"/>
      <x:c r="K17" s="15" t="str">
        <x:v>보안: INTERNAL</x:v>
      </x:c>
    </x:row>
    <x:row r="18" ht="44" customHeight="1">
      <x:c r="A18" s="15" t="n">
        <x:v>2</x:v>
      </x:c>
      <x:c r="B18" s="15" t="str">
        <x:v>started_at</x:v>
      </x:c>
      <x:c r="C18" s="15" t="str">
        <x:v>started 시각</x:v>
      </x:c>
      <x:c r="D18" s="15" t="str">
        <x:v>timestamptz</x:v>
      </x:c>
      <x:c r="E18" s="15"/>
      <x:c r="F18" s="15"/>
      <x:c r="G18" s="15" t="str">
        <x:v>NOT NULL</x:v>
      </x:c>
      <x:c r="H18" s="15"/>
      <x:c r="I18" s="15" t="str">
        <x:v>public.ingestion_runs의 started 시각을 UTC 기준 시각으로 저장한다.</x:v>
      </x:c>
      <x:c r="J18" s="15"/>
      <x:c r="K18" s="15" t="str">
        <x:v>보안: INTERNAL</x:v>
      </x:c>
    </x:row>
    <x:row r="19" ht="44" customHeight="1">
      <x:c r="A19" s="15" t="n">
        <x:v>3</x:v>
      </x:c>
      <x:c r="B19" s="15" t="str">
        <x:v>finished_at</x:v>
      </x:c>
      <x:c r="C19" s="15" t="str">
        <x:v>finished 시각</x:v>
      </x:c>
      <x:c r="D19" s="15" t="str">
        <x:v>timestamptz</x:v>
      </x:c>
      <x:c r="E19" s="15"/>
      <x:c r="F19" s="15"/>
      <x:c r="G19" s="15"/>
      <x:c r="H19" s="15"/>
      <x:c r="I19" s="15" t="str">
        <x:v>public.ingestion_runs의 finished 시각을 UTC 기준 시각으로 저장한다.</x:v>
      </x:c>
      <x:c r="J19" s="15"/>
      <x:c r="K19" s="15" t="str">
        <x:v>보안: INTERNAL</x:v>
      </x:c>
    </x:row>
    <x:row r="20" ht="44" customHeight="1">
      <x:c r="A20" s="15" t="n">
        <x:v>4</x:v>
      </x:c>
      <x:c r="B20" s="15" t="str">
        <x:v>status</x:v>
      </x:c>
      <x:c r="C20" s="15" t="str">
        <x:v>상태</x:v>
      </x:c>
      <x:c r="D20" s="15" t="str">
        <x:v>text</x:v>
      </x:c>
      <x:c r="E20" s="15"/>
      <x:c r="F20" s="15"/>
      <x:c r="G20" s="15" t="str">
        <x:v>NOT NULL</x:v>
      </x:c>
      <x:c r="H20" s="15"/>
      <x:c r="I20" s="15" t="str">
        <x:v>public.ingestion_runs의 현재 상태를 저장한다. 허용 범위는 연결된 CHECK 제약과 서비스 계약을 따른다.</x:v>
      </x:c>
      <x:c r="J20" s="15"/>
      <x:c r="K20" s="15" t="str">
        <x:v>보안: INTERNAL</x:v>
      </x:c>
    </x:row>
    <x:row r="21" ht="44" customHeight="1">
      <x:c r="A21" s="15" t="n">
        <x:v>5</x:v>
      </x:c>
      <x:c r="B21" s="15" t="str">
        <x:v>document_count</x:v>
      </x:c>
      <x:c r="C21" s="15" t="str">
        <x:v>문서 수</x:v>
      </x:c>
      <x:c r="D21" s="15" t="str">
        <x:v>integer</x:v>
      </x:c>
      <x:c r="E21" s="15"/>
      <x:c r="F21" s="15"/>
      <x:c r="G21" s="15" t="str">
        <x:v>NOT NULL</x:v>
      </x:c>
      <x:c r="H21" s="15" t="str">
        <x:v>0</x:v>
      </x:c>
      <x:c r="I21" s="15" t="str">
        <x:v>public.ingestion_runs에서 문서 수 값을 저장한다.</x:v>
      </x:c>
      <x:c r="J21" s="15"/>
      <x:c r="K21" s="15" t="str">
        <x:v>보안: INTERNAL</x:v>
      </x:c>
    </x:row>
    <x:row r="22" ht="44" customHeight="1">
      <x:c r="A22" s="15" t="n">
        <x:v>6</x:v>
      </x:c>
      <x:c r="B22" s="15" t="str">
        <x:v>chunk_count</x:v>
      </x:c>
      <x:c r="C22" s="15" t="str">
        <x:v>청크 수</x:v>
      </x:c>
      <x:c r="D22" s="15" t="str">
        <x:v>integer</x:v>
      </x:c>
      <x:c r="E22" s="15"/>
      <x:c r="F22" s="15"/>
      <x:c r="G22" s="15" t="str">
        <x:v>NOT NULL</x:v>
      </x:c>
      <x:c r="H22" s="15" t="str">
        <x:v>0</x:v>
      </x:c>
      <x:c r="I22" s="15" t="str">
        <x:v>public.ingestion_runs에서 청크 수 값을 저장한다.</x:v>
      </x:c>
      <x:c r="J22" s="15"/>
      <x:c r="K22" s="15" t="str">
        <x:v>보안: INTERNAL</x:v>
      </x:c>
    </x:row>
    <x:row r="23" ht="44" customHeight="1">
      <x:c r="A23" s="15" t="n">
        <x:v>7</x:v>
      </x:c>
      <x:c r="B23" s="15" t="str">
        <x:v>error_text</x:v>
      </x:c>
      <x:c r="C23" s="15" t="str">
        <x:v>오류 text</x:v>
      </x:c>
      <x:c r="D23" s="15" t="str">
        <x:v>text</x:v>
      </x:c>
      <x:c r="E23" s="15"/>
      <x:c r="F23" s="15"/>
      <x:c r="G23" s="15"/>
      <x:c r="H23" s="15"/>
      <x:c r="I23" s="15" t="str">
        <x:v>public.ingestion_runs에서 오류 text 값을 저장한다.</x:v>
      </x:c>
      <x:c r="J23" s="15"/>
      <x:c r="K23" s="15" t="str">
        <x:v>보안: INTERNAL</x:v>
      </x:c>
    </x:row>
    <x:row r="24" ht="44" customHeight="1">
      <x:c r="A24" s="15" t="n">
        <x:v>8</x:v>
      </x:c>
      <x:c r="B24" s="15" t="str">
        <x:v>chunking_schema_version</x:v>
      </x:c>
      <x:c r="C24" s="15" t="str">
        <x:v>chunking schema 버전</x:v>
      </x:c>
      <x:c r="D24" s="15" t="str">
        <x:v>varchar</x:v>
      </x:c>
      <x:c r="E24" s="15" t="n">
        <x:v>50</x:v>
      </x:c>
      <x:c r="F24" s="15"/>
      <x:c r="G24" s="15"/>
      <x:c r="H24" s="15"/>
      <x:c r="I24" s="15" t="str">
        <x:v>public.ingestion_runs에서 chunking schema 버전 값을 저장한다.</x:v>
      </x:c>
      <x:c r="J24" s="15"/>
      <x:c r="K24" s="15" t="str">
        <x:v>보안: INTERNAL</x:v>
      </x:c>
    </x:row>
    <x:row r="25" ht="44" customHeight="1">
      <x:c r="A25" s="15" t="n">
        <x:v>9</x:v>
      </x:c>
      <x:c r="B25" s="15" t="str">
        <x:v>embedding_profile_id</x:v>
      </x:c>
      <x:c r="C25" s="15" t="str">
        <x:v>embedding profile ID</x:v>
      </x:c>
      <x:c r="D25" s="15" t="str">
        <x:v>varchar</x:v>
      </x:c>
      <x:c r="E25" s="15" t="n">
        <x:v>100</x:v>
      </x:c>
      <x:c r="F25" s="15"/>
      <x:c r="G25" s="15"/>
      <x:c r="H25" s="15"/>
      <x:c r="I25" s="15" t="str">
        <x:v>public.ingestion_runs에서 embedding profile ID 값을 저장한다.</x:v>
      </x:c>
      <x:c r="J25" s="15"/>
      <x:c r="K25" s="15" t="str">
        <x:v>보안: INTERNAL</x:v>
      </x:c>
    </x:row>
    <x:row r="26" ht="44" customHeight="1">
      <x:c r="A26" s="15" t="n">
        <x:v>10</x:v>
      </x:c>
      <x:c r="B26" s="15" t="str">
        <x:v>embedding_provider</x:v>
      </x:c>
      <x:c r="C26" s="15" t="str">
        <x:v>embedding provider</x:v>
      </x:c>
      <x:c r="D26" s="15" t="str">
        <x:v>text</x:v>
      </x:c>
      <x:c r="E26" s="15"/>
      <x:c r="F26" s="15"/>
      <x:c r="G26" s="15"/>
      <x:c r="H26" s="15"/>
      <x:c r="I26" s="15" t="str">
        <x:v>public.ingestion_runs에서 embedding provider 값을 저장한다.</x:v>
      </x:c>
      <x:c r="J26" s="15"/>
      <x:c r="K26" s="15" t="str">
        <x:v>보안: INTERNAL</x:v>
      </x:c>
    </x:row>
    <x:row r="27" ht="44" customHeight="1">
      <x:c r="A27" s="15" t="n">
        <x:v>11</x:v>
      </x:c>
      <x:c r="B27" s="15" t="str">
        <x:v>embedding_model</x:v>
      </x:c>
      <x:c r="C27" s="15" t="str">
        <x:v>embedding 모델</x:v>
      </x:c>
      <x:c r="D27" s="15" t="str">
        <x:v>text</x:v>
      </x:c>
      <x:c r="E27" s="15"/>
      <x:c r="F27" s="15"/>
      <x:c r="G27" s="15"/>
      <x:c r="H27" s="15"/>
      <x:c r="I27" s="15" t="str">
        <x:v>public.ingestion_runs에서 embedding 모델 값을 저장한다.</x:v>
      </x:c>
      <x:c r="J27" s="15"/>
      <x:c r="K27" s="15" t="str">
        <x:v>보안: INTERNAL</x:v>
      </x:c>
    </x:row>
    <x:row r="28" ht="44" customHeight="1">
      <x:c r="A28" s="15" t="n">
        <x:v>12</x:v>
      </x:c>
      <x:c r="B28" s="15" t="str">
        <x:v>embedding_dimensions</x:v>
      </x:c>
      <x:c r="C28" s="15" t="str">
        <x:v>embedding dimensions</x:v>
      </x:c>
      <x:c r="D28" s="15" t="str">
        <x:v>integer</x:v>
      </x:c>
      <x:c r="E28" s="15"/>
      <x:c r="F28" s="15"/>
      <x:c r="G28" s="15"/>
      <x:c r="H28" s="15"/>
      <x:c r="I28" s="15" t="str">
        <x:v>public.ingestion_runs에서 embedding dimensions 값을 저장한다.</x:v>
      </x:c>
      <x:c r="J28" s="15"/>
      <x:c r="K28" s="15" t="str">
        <x:v>보안: INTERNAL</x:v>
      </x:c>
    </x:row>
    <x:row r="29" ht="44" customHeight="1">
      <x:c r="A29" s="15" t="n">
        <x:v>13</x:v>
      </x:c>
      <x:c r="B29" s="15" t="str">
        <x:v>embedding_version</x:v>
      </x:c>
      <x:c r="C29" s="15" t="str">
        <x:v>embedding 버전</x:v>
      </x:c>
      <x:c r="D29" s="15" t="str">
        <x:v>text</x:v>
      </x:c>
      <x:c r="E29" s="15"/>
      <x:c r="F29" s="15"/>
      <x:c r="G29" s="15"/>
      <x:c r="H29" s="15"/>
      <x:c r="I29" s="15" t="str">
        <x:v>public.ingestion_runs에서 embedding 버전 값을 저장한다.</x:v>
      </x:c>
      <x:c r="J29" s="15"/>
      <x:c r="K29" s="15" t="str">
        <x:v>보안: INTERNAL</x:v>
      </x:c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>
      <x:c r="A31" s="58" t="str">
        <x:v>no</x:v>
      </x:c>
      <x:c r="B31" s="58" t="str">
        <x:v>Index name</x:v>
      </x:c>
      <x:c r="C31" s="58"/>
      <x:c r="D31" s="58" t="str">
        <x:v>Index type</x:v>
      </x:c>
      <x:c r="E31" s="58"/>
      <x:c r="F31" s="58" t="str">
        <x:v>Unique</x:v>
      </x:c>
      <x:c r="G31" s="58"/>
      <x:c r="H31" s="58" t="str">
        <x:v>구성 컬럼</x:v>
      </x:c>
      <x:c r="I31" s="58"/>
      <x:c r="J31" s="58"/>
      <x:c r="K31" s="58"/>
    </x:row>
    <x:row r="32">
      <x:c r="A32" s="15" t="n">
        <x:v>1</x:v>
      </x:c>
      <x:c r="B32" s="15" t="str">
        <x:v>ingestion_runs_pkey</x:v>
      </x:c>
      <x:c r="C32" s="15"/>
      <x:c r="D32" s="15" t="str">
        <x:v>BTREE</x:v>
      </x:c>
      <x:c r="E32" s="15"/>
      <x:c r="F32" s="15" t="str">
        <x:v>Unique</x:v>
      </x:c>
      <x:c r="G32" s="15"/>
      <x:c r="H32" s="15" t="str">
        <x:v>run_id</x:v>
      </x:c>
      <x:c r="I32" s="15"/>
      <x:c r="J32" s="15"/>
      <x:c r="K32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1:C31"/>
    <x:mergeCell ref="D31:E31"/>
    <x:mergeCell ref="F31:G31"/>
    <x:mergeCell ref="H31:K31"/>
    <x:mergeCell ref="B32:C32"/>
    <x:mergeCell ref="D32:E32"/>
    <x:mergeCell ref="F32:G32"/>
    <x:mergeCell ref="H32:K32"/>
  </x:mergeCells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 + pgvector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rag_db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public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retrieval_audit_logs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검색 감사 로그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RAG pgvector 저장소의 검색 감사 로그을 관리한다. 현재 init 001~009에서 재현한 물리 구조이며 기능 호출 기본값은 비활성이다.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초기 30일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audit_id</x:v>
      </x:c>
      <x:c r="C17" s="15" t="str">
        <x:v>감사 ID</x:v>
      </x:c>
      <x:c r="D17" s="15" t="str">
        <x:v>bigint</x:v>
      </x:c>
      <x:c r="E17" s="15"/>
      <x:c r="F17" s="15" t="str">
        <x:v>PK</x:v>
      </x:c>
      <x:c r="G17" s="15" t="str">
        <x:v>NOT NULL</x:v>
      </x:c>
      <x:c r="H17" s="15" t="str">
        <x:v>nextval('retrieval_audit_logs_audit_id_seq'::regclass)</x:v>
      </x:c>
      <x:c r="I17" s="15" t="str">
        <x:v>public.retrieval_audit_logs의 한 행을 식별하는 감사 ID 기본키다.</x:v>
      </x:c>
      <x:c r="J17" s="15"/>
      <x:c r="K17" s="15" t="str">
        <x:v>보안: INTERNAL</x:v>
      </x:c>
    </x:row>
    <x:row r="18" ht="44" customHeight="1">
      <x:c r="A18" s="15" t="n">
        <x:v>2</x:v>
      </x:c>
      <x:c r="B18" s="15" t="str">
        <x:v>query_hash</x:v>
      </x:c>
      <x:c r="C18" s="15" t="str">
        <x:v>쿼리 해시</x:v>
      </x:c>
      <x:c r="D18" s="15" t="str">
        <x:v>text</x:v>
      </x:c>
      <x:c r="E18" s="15"/>
      <x:c r="F18" s="15"/>
      <x:c r="G18" s="15" t="str">
        <x:v>NOT NULL</x:v>
      </x:c>
      <x:c r="H18" s="15"/>
      <x:c r="I18" s="15" t="str">
        <x:v>public.retrieval_audit_logs에서 쿼리 해시 값을 저장한다.</x:v>
      </x:c>
      <x:c r="J18" s="15"/>
      <x:c r="K18" s="15" t="str">
        <x:v>보안: INTERNAL</x:v>
      </x:c>
    </x:row>
    <x:row r="19" ht="44" customHeight="1">
      <x:c r="A19" s="15" t="n">
        <x:v>3</x:v>
      </x:c>
      <x:c r="B19" s="15" t="str">
        <x:v>user_role</x:v>
      </x:c>
      <x:c r="C19" s="15" t="str">
        <x:v>사용자 역할</x:v>
      </x:c>
      <x:c r="D19" s="15" t="str">
        <x:v>text</x:v>
      </x:c>
      <x:c r="E19" s="15"/>
      <x:c r="F19" s="15"/>
      <x:c r="G19" s="15" t="str">
        <x:v>NOT NULL</x:v>
      </x:c>
      <x:c r="H19" s="15"/>
      <x:c r="I19" s="15" t="str">
        <x:v>public.retrieval_audit_logs에서 사용자 역할 값을 저장한다.</x:v>
      </x:c>
      <x:c r="J19" s="15"/>
      <x:c r="K19" s="15" t="str">
        <x:v>보안: INTERNAL</x:v>
      </x:c>
    </x:row>
    <x:row r="20" ht="44" customHeight="1">
      <x:c r="A20" s="15" t="n">
        <x:v>4</x:v>
      </x:c>
      <x:c r="B20" s="15" t="str">
        <x:v>result_count</x:v>
      </x:c>
      <x:c r="C20" s="15" t="str">
        <x:v>결과 수</x:v>
      </x:c>
      <x:c r="D20" s="15" t="str">
        <x:v>integer</x:v>
      </x:c>
      <x:c r="E20" s="15"/>
      <x:c r="F20" s="15"/>
      <x:c r="G20" s="15" t="str">
        <x:v>NOT NULL</x:v>
      </x:c>
      <x:c r="H20" s="15"/>
      <x:c r="I20" s="15" t="str">
        <x:v>public.retrieval_audit_logs에서 결과 수 값을 저장한다.</x:v>
      </x:c>
      <x:c r="J20" s="15"/>
      <x:c r="K20" s="15" t="str">
        <x:v>보안: INTERNAL</x:v>
      </x:c>
    </x:row>
    <x:row r="21" ht="44" customHeight="1">
      <x:c r="A21" s="15" t="n">
        <x:v>5</x:v>
      </x:c>
      <x:c r="B21" s="15" t="str">
        <x:v>latency_ms</x:v>
      </x:c>
      <x:c r="C21" s="15" t="str">
        <x:v>latency ms</x:v>
      </x:c>
      <x:c r="D21" s="15" t="str">
        <x:v>double precision</x:v>
      </x:c>
      <x:c r="E21" s="15"/>
      <x:c r="F21" s="15"/>
      <x:c r="G21" s="15" t="str">
        <x:v>NOT NULL</x:v>
      </x:c>
      <x:c r="H21" s="15"/>
      <x:c r="I21" s="15" t="str">
        <x:v>public.retrieval_audit_logs에서 latency ms 값을 저장한다.</x:v>
      </x:c>
      <x:c r="J21" s="15"/>
      <x:c r="K21" s="15" t="str">
        <x:v>보안: INTERNAL</x:v>
      </x:c>
    </x:row>
    <x:row r="22" ht="44" customHeight="1">
      <x:c r="A22" s="15" t="n">
        <x:v>6</x:v>
      </x:c>
      <x:c r="B22" s="15" t="str">
        <x:v>created_at</x:v>
      </x:c>
      <x:c r="C22" s="15" t="str">
        <x:v>생성 시각</x:v>
      </x:c>
      <x:c r="D22" s="15" t="str">
        <x:v>timestamptz</x:v>
      </x:c>
      <x:c r="E22" s="15"/>
      <x:c r="F22" s="15"/>
      <x:c r="G22" s="15" t="str">
        <x:v>NOT NULL</x:v>
      </x:c>
      <x:c r="H22" s="15" t="str">
        <x:v>CURRENT_TIMESTAMP</x:v>
      </x:c>
      <x:c r="I22" s="15" t="str">
        <x:v>public.retrieval_audit_logs의 생성 시각을 UTC 기준 시각으로 저장한다.</x:v>
      </x:c>
      <x:c r="J22" s="15"/>
      <x:c r="K22" s="15" t="str">
        <x:v>보안: INTERNAL</x:v>
      </x:c>
    </x:row>
    <x:row r="23" ht="44" customHeight="1">
      <x:c r="A23" s="15" t="n">
        <x:v>7</x:v>
      </x:c>
      <x:c r="B23" s="15" t="str">
        <x:v>request_id</x:v>
      </x:c>
      <x:c r="C23" s="15" t="str">
        <x:v>요청 ID</x:v>
      </x:c>
      <x:c r="D23" s="15" t="str">
        <x:v>text</x:v>
      </x:c>
      <x:c r="E23" s="15"/>
      <x:c r="F23" s="15"/>
      <x:c r="G23" s="15"/>
      <x:c r="H23" s="15"/>
      <x:c r="I23" s="15" t="str">
        <x:v>public.retrieval_audit_logs에서 요청 ID 값을 저장한다.</x:v>
      </x:c>
      <x:c r="J23" s="15"/>
      <x:c r="K23" s="15" t="str">
        <x:v>보안: INTERNAL</x:v>
      </x:c>
    </x:row>
    <x:row r="24" ht="44" customHeight="1">
      <x:c r="A24" s="15" t="n">
        <x:v>8</x:v>
      </x:c>
      <x:c r="B24" s="15" t="str">
        <x:v>trace_id</x:v>
      </x:c>
      <x:c r="C24" s="15" t="str">
        <x:v>trace ID</x:v>
      </x:c>
      <x:c r="D24" s="15" t="str">
        <x:v>text</x:v>
      </x:c>
      <x:c r="E24" s="15"/>
      <x:c r="F24" s="15"/>
      <x:c r="G24" s="15"/>
      <x:c r="H24" s="15"/>
      <x:c r="I24" s="15" t="str">
        <x:v>public.retrieval_audit_logs에서 trace ID 값을 저장한다.</x:v>
      </x:c>
      <x:c r="J24" s="15"/>
      <x:c r="K24" s="15" t="str">
        <x:v>보안: INTERNAL</x:v>
      </x:c>
    </x:row>
    <x:row r="25" ht="44" customHeight="1">
      <x:c r="A25" s="15" t="n">
        <x:v>9</x:v>
      </x:c>
      <x:c r="B25" s="15" t="str">
        <x:v>session_id</x:v>
      </x:c>
      <x:c r="C25" s="15" t="str">
        <x:v>세션 ID</x:v>
      </x:c>
      <x:c r="D25" s="15" t="str">
        <x:v>text</x:v>
      </x:c>
      <x:c r="E25" s="15"/>
      <x:c r="F25" s="15"/>
      <x:c r="G25" s="15"/>
      <x:c r="H25" s="15"/>
      <x:c r="I25" s="15" t="str">
        <x:v>public.retrieval_audit_logs에서 세션 ID 값을 저장한다.</x:v>
      </x:c>
      <x:c r="J25" s="15"/>
      <x:c r="K25" s="15" t="str">
        <x:v>보안: INTERNAL</x:v>
      </x:c>
    </x:row>
    <x:row r="26" ht="44" customHeight="1">
      <x:c r="A26" s="15" t="n">
        <x:v>10</x:v>
      </x:c>
      <x:c r="B26" s="15" t="str">
        <x:v>actor_hash</x:v>
      </x:c>
      <x:c r="C26" s="15" t="str">
        <x:v>actor 해시</x:v>
      </x:c>
      <x:c r="D26" s="15" t="str">
        <x:v>text</x:v>
      </x:c>
      <x:c r="E26" s="15"/>
      <x:c r="F26" s="15"/>
      <x:c r="G26" s="15"/>
      <x:c r="H26" s="15"/>
      <x:c r="I26" s="15" t="str">
        <x:v>public.retrieval_audit_logs에서 actor 해시 값을 저장한다.</x:v>
      </x:c>
      <x:c r="J26" s="15"/>
      <x:c r="K26" s="15" t="str">
        <x:v>보안: INTERNAL</x:v>
      </x:c>
    </x:row>
    <x:row r="27" ht="44" customHeight="1">
      <x:c r="A27" s="15" t="n">
        <x:v>11</x:v>
      </x:c>
      <x:c r="B27" s="15" t="str">
        <x:v>tool_code</x:v>
      </x:c>
      <x:c r="C27" s="15" t="str">
        <x:v>도구 코드</x:v>
      </x:c>
      <x:c r="D27" s="15" t="str">
        <x:v>text</x:v>
      </x:c>
      <x:c r="E27" s="15"/>
      <x:c r="F27" s="15"/>
      <x:c r="G27" s="15"/>
      <x:c r="H27" s="15"/>
      <x:c r="I27" s="15" t="str">
        <x:v>public.retrieval_audit_logs에서 도구 코드 값을 저장한다.</x:v>
      </x:c>
      <x:c r="J27" s="15"/>
      <x:c r="K27" s="15" t="str">
        <x:v>보안: INTERNAL</x:v>
      </x:c>
    </x:row>
    <x:row r="28" ht="44" customHeight="1">
      <x:c r="A28" s="15" t="n">
        <x:v>12</x:v>
      </x:c>
      <x:c r="B28" s="15" t="str">
        <x:v>tool_version</x:v>
      </x:c>
      <x:c r="C28" s="15" t="str">
        <x:v>도구 버전</x:v>
      </x:c>
      <x:c r="D28" s="15" t="str">
        <x:v>text</x:v>
      </x:c>
      <x:c r="E28" s="15"/>
      <x:c r="F28" s="15"/>
      <x:c r="G28" s="15"/>
      <x:c r="H28" s="15"/>
      <x:c r="I28" s="15" t="str">
        <x:v>public.retrieval_audit_logs에서 도구 버전 값을 저장한다.</x:v>
      </x:c>
      <x:c r="J28" s="15"/>
      <x:c r="K28" s="15" t="str">
        <x:v>보안: INTERNAL</x:v>
      </x:c>
    </x:row>
    <x:row r="29" ht="44" customHeight="1">
      <x:c r="A29" s="15" t="n">
        <x:v>13</x:v>
      </x:c>
      <x:c r="B29" s="15" t="str">
        <x:v>as_of</x:v>
      </x:c>
      <x:c r="C29" s="15" t="str">
        <x:v>as of</x:v>
      </x:c>
      <x:c r="D29" s="15" t="str">
        <x:v>timestamptz</x:v>
      </x:c>
      <x:c r="E29" s="15"/>
      <x:c r="F29" s="15"/>
      <x:c r="G29" s="15"/>
      <x:c r="H29" s="15"/>
      <x:c r="I29" s="15" t="str">
        <x:v>public.retrieval_audit_logs에서 as of 값을 저장한다.</x:v>
      </x:c>
      <x:c r="J29" s="15"/>
      <x:c r="K29" s="15" t="str">
        <x:v>보안: INTERNAL</x:v>
      </x:c>
    </x:row>
    <x:row r="30" ht="44" customHeight="1">
      <x:c r="A30" s="15" t="n">
        <x:v>14</x:v>
      </x:c>
      <x:c r="B30" s="15" t="str">
        <x:v>router_decision_id</x:v>
      </x:c>
      <x:c r="C30" s="15" t="str">
        <x:v>router decision ID</x:v>
      </x:c>
      <x:c r="D30" s="15" t="str">
        <x:v>text</x:v>
      </x:c>
      <x:c r="E30" s="15"/>
      <x:c r="F30" s="15"/>
      <x:c r="G30" s="15"/>
      <x:c r="H30" s="15"/>
      <x:c r="I30" s="15" t="str">
        <x:v>public.retrieval_audit_logs에서 router decision ID 값을 저장한다.</x:v>
      </x:c>
      <x:c r="J30" s="15"/>
      <x:c r="K30" s="15" t="str">
        <x:v>보안: INTERNAL</x:v>
      </x:c>
    </x:row>
    <x:row r="31" ht="44" customHeight="1">
      <x:c r="A31" s="15" t="n">
        <x:v>15</x:v>
      </x:c>
      <x:c r="B31" s="15" t="str">
        <x:v>parent_artifact_id</x:v>
      </x:c>
      <x:c r="C31" s="15" t="str">
        <x:v>parent 산출물 ID</x:v>
      </x:c>
      <x:c r="D31" s="15" t="str">
        <x:v>text</x:v>
      </x:c>
      <x:c r="E31" s="15"/>
      <x:c r="F31" s="15"/>
      <x:c r="G31" s="15"/>
      <x:c r="H31" s="15"/>
      <x:c r="I31" s="15" t="str">
        <x:v>public.retrieval_audit_logs에서 parent 산출물 ID 값을 저장한다.</x:v>
      </x:c>
      <x:c r="J31" s="15"/>
      <x:c r="K31" s="15" t="str">
        <x:v>보안: INTERNAL</x:v>
      </x:c>
    </x:row>
    <x:row r="32" ht="44" customHeight="1">
      <x:c r="A32" s="15" t="n">
        <x:v>16</x:v>
      </x:c>
      <x:c r="B32" s="15" t="str">
        <x:v>report_run_id</x:v>
      </x:c>
      <x:c r="C32" s="15" t="str">
        <x:v>보고서 실행 ID</x:v>
      </x:c>
      <x:c r="D32" s="15" t="str">
        <x:v>text</x:v>
      </x:c>
      <x:c r="E32" s="15"/>
      <x:c r="F32" s="15"/>
      <x:c r="G32" s="15"/>
      <x:c r="H32" s="15"/>
      <x:c r="I32" s="15" t="str">
        <x:v>public.retrieval_audit_logs에서 보고서 실행 ID 값을 저장한다.</x:v>
      </x:c>
      <x:c r="J32" s="15"/>
      <x:c r="K32" s="15" t="str">
        <x:v>보안: INTERNAL</x:v>
      </x:c>
    </x:row>
    <x:row r="33" ht="44" customHeight="1">
      <x:c r="A33" s="15" t="n">
        <x:v>17</x:v>
      </x:c>
      <x:c r="B33" s="15" t="str">
        <x:v>error_code</x:v>
      </x:c>
      <x:c r="C33" s="15" t="str">
        <x:v>오류 코드</x:v>
      </x:c>
      <x:c r="D33" s="15" t="str">
        <x:v>text</x:v>
      </x:c>
      <x:c r="E33" s="15"/>
      <x:c r="F33" s="15"/>
      <x:c r="G33" s="15"/>
      <x:c r="H33" s="15"/>
      <x:c r="I33" s="15" t="str">
        <x:v>public.retrieval_audit_logs에서 오류 코드 값을 저장한다.</x:v>
      </x:c>
      <x:c r="J33" s="15"/>
      <x:c r="K33" s="15" t="str">
        <x:v>보안: INTERNAL</x:v>
      </x:c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</x:row>
    <x:row r="35">
      <x:c r="A35" s="58" t="str">
        <x:v>no</x:v>
      </x:c>
      <x:c r="B35" s="58" t="str">
        <x:v>Index name</x:v>
      </x:c>
      <x:c r="C35" s="58"/>
      <x:c r="D35" s="58" t="str">
        <x:v>Index type</x:v>
      </x:c>
      <x:c r="E35" s="58"/>
      <x:c r="F35" s="58" t="str">
        <x:v>Unique</x:v>
      </x:c>
      <x:c r="G35" s="58"/>
      <x:c r="H35" s="58" t="str">
        <x:v>구성 컬럼</x:v>
      </x:c>
      <x:c r="I35" s="58"/>
      <x:c r="J35" s="58"/>
      <x:c r="K35" s="58"/>
    </x:row>
    <x:row r="36">
      <x:c r="A36" s="15" t="n">
        <x:v>1</x:v>
      </x:c>
      <x:c r="B36" s="15" t="str">
        <x:v>idx_retrieval_audit_request</x:v>
      </x:c>
      <x:c r="C36" s="15"/>
      <x:c r="D36" s="15" t="str">
        <x:v>BTREE</x:v>
      </x:c>
      <x:c r="E36" s="15"/>
      <x:c r="F36" s="15" t="str">
        <x:v>Non-Unique</x:v>
      </x:c>
      <x:c r="G36" s="15"/>
      <x:c r="H36" s="15" t="str">
        <x:v>request_id</x:v>
      </x:c>
      <x:c r="I36" s="15"/>
      <x:c r="J36" s="15"/>
      <x:c r="K36" s="15"/>
    </x:row>
    <x:row r="37">
      <x:c r="A37" s="15" t="n">
        <x:v>2</x:v>
      </x:c>
      <x:c r="B37" s="15" t="str">
        <x:v>retrieval_audit_logs_pkey</x:v>
      </x:c>
      <x:c r="C37" s="15"/>
      <x:c r="D37" s="15" t="str">
        <x:v>BTREE</x:v>
      </x:c>
      <x:c r="E37" s="15"/>
      <x:c r="F37" s="15" t="str">
        <x:v>Unique</x:v>
      </x:c>
      <x:c r="G37" s="15"/>
      <x:c r="H37" s="15" t="str">
        <x:v>audit_id</x:v>
      </x:c>
      <x:c r="I37" s="15"/>
      <x:c r="J37" s="15"/>
      <x:c r="K37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5:C35"/>
    <x:mergeCell ref="D35:E35"/>
    <x:mergeCell ref="F35:G35"/>
    <x:mergeCell ref="H35:K35"/>
    <x:mergeCell ref="B36:C36"/>
    <x:mergeCell ref="D36:E36"/>
    <x:mergeCell ref="F36:G36"/>
    <x:mergeCell ref="H36:K36"/>
    <x:mergeCell ref="B37:C37"/>
    <x:mergeCell ref="D37:E37"/>
    <x:mergeCell ref="F37:G37"/>
    <x:mergeCell ref="H37:K37"/>
  </x:mergeCells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 + pgvector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rag_db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public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tool_registry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RAG 도구 레지스트리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RAG pgvector 저장소의 RAG 도구 레지스트리을 관리한다. 현재 init 001~009에서 재현한 물리 구조이며 기능 호출 기본값은 비활성이다.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초기 30일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tool_code</x:v>
      </x:c>
      <x:c r="C17" s="15" t="str">
        <x:v>도구 코드</x:v>
      </x:c>
      <x:c r="D17" s="15" t="str">
        <x:v>text</x:v>
      </x:c>
      <x:c r="E17" s="15"/>
      <x:c r="F17" s="15" t="str">
        <x:v>PK</x:v>
      </x:c>
      <x:c r="G17" s="15" t="str">
        <x:v>NOT NULL</x:v>
      </x:c>
      <x:c r="H17" s="15"/>
      <x:c r="I17" s="15" t="str">
        <x:v>public.tool_registry의 한 행을 식별하는 도구 코드 기본키다.</x:v>
      </x:c>
      <x:c r="J17" s="15"/>
      <x:c r="K17" s="15" t="str">
        <x:v>보안: INTERNAL</x:v>
      </x:c>
    </x:row>
    <x:row r="18" ht="44" customHeight="1">
      <x:c r="A18" s="15" t="n">
        <x:v>2</x:v>
      </x:c>
      <x:c r="B18" s="15" t="str">
        <x:v>tool_type</x:v>
      </x:c>
      <x:c r="C18" s="15" t="str">
        <x:v>도구 유형</x:v>
      </x:c>
      <x:c r="D18" s="15" t="str">
        <x:v>text</x:v>
      </x:c>
      <x:c r="E18" s="15"/>
      <x:c r="F18" s="15"/>
      <x:c r="G18" s="15" t="str">
        <x:v>NOT NULL</x:v>
      </x:c>
      <x:c r="H18" s="15"/>
      <x:c r="I18" s="15" t="str">
        <x:v>public.tool_registry에서 도구 유형 값을 저장한다.</x:v>
      </x:c>
      <x:c r="J18" s="15" t="str">
        <x:v>CHECK | CHECK (tool_type = ANY (ARRAY['SQL'::text, 'DATAHUB'::text, 'RAG'::text, 'ML'::text]))</x:v>
      </x:c>
      <x:c r="K18" s="15" t="str">
        <x:v>보안: INTERNAL</x:v>
      </x:c>
    </x:row>
    <x:row r="19" ht="44" customHeight="1">
      <x:c r="A19" s="15" t="n">
        <x:v>3</x:v>
      </x:c>
      <x:c r="B19" s="15" t="str">
        <x:v>semantic_version</x:v>
      </x:c>
      <x:c r="C19" s="15" t="str">
        <x:v>semantic 버전</x:v>
      </x:c>
      <x:c r="D19" s="15" t="str">
        <x:v>text</x:v>
      </x:c>
      <x:c r="E19" s="15"/>
      <x:c r="F19" s="15"/>
      <x:c r="G19" s="15" t="str">
        <x:v>NOT NULL</x:v>
      </x:c>
      <x:c r="H19" s="15"/>
      <x:c r="I19" s="15" t="str">
        <x:v>public.tool_registry에서 semantic 버전 값을 저장한다.</x:v>
      </x:c>
      <x:c r="J19" s="15"/>
      <x:c r="K19" s="15" t="str">
        <x:v>보안: INTERNAL</x:v>
      </x:c>
    </x:row>
    <x:row r="20" ht="44" customHeight="1">
      <x:c r="A20" s="15" t="n">
        <x:v>4</x:v>
      </x:c>
      <x:c r="B20" s="15" t="str">
        <x:v>name</x:v>
      </x:c>
      <x:c r="C20" s="15" t="str">
        <x:v>이름</x:v>
      </x:c>
      <x:c r="D20" s="15" t="str">
        <x:v>text</x:v>
      </x:c>
      <x:c r="E20" s="15"/>
      <x:c r="F20" s="15"/>
      <x:c r="G20" s="15" t="str">
        <x:v>NOT NULL</x:v>
      </x:c>
      <x:c r="H20" s="15"/>
      <x:c r="I20" s="15" t="str">
        <x:v>public.tool_registry에서 이름 값을 저장한다.</x:v>
      </x:c>
      <x:c r="J20" s="15"/>
      <x:c r="K20" s="15" t="str">
        <x:v>보안: INTERNAL</x:v>
      </x:c>
    </x:row>
    <x:row r="21" ht="44" customHeight="1">
      <x:c r="A21" s="15" t="n">
        <x:v>5</x:v>
      </x:c>
      <x:c r="B21" s="15" t="str">
        <x:v>owner_team</x:v>
      </x:c>
      <x:c r="C21" s="15" t="str">
        <x:v>owner team</x:v>
      </x:c>
      <x:c r="D21" s="15" t="str">
        <x:v>text</x:v>
      </x:c>
      <x:c r="E21" s="15"/>
      <x:c r="F21" s="15"/>
      <x:c r="G21" s="15" t="str">
        <x:v>NOT NULL</x:v>
      </x:c>
      <x:c r="H21" s="15"/>
      <x:c r="I21" s="15" t="str">
        <x:v>public.tool_registry에서 owner team 값을 저장한다.</x:v>
      </x:c>
      <x:c r="J21" s="15"/>
      <x:c r="K21" s="15" t="str">
        <x:v>보안: INTERNAL</x:v>
      </x:c>
    </x:row>
    <x:row r="22" ht="44" customHeight="1">
      <x:c r="A22" s="15" t="n">
        <x:v>6</x:v>
      </x:c>
      <x:c r="B22" s="15" t="str">
        <x:v>risk_level</x:v>
      </x:c>
      <x:c r="C22" s="15" t="str">
        <x:v>risk level</x:v>
      </x:c>
      <x:c r="D22" s="15" t="str">
        <x:v>text</x:v>
      </x:c>
      <x:c r="E22" s="15"/>
      <x:c r="F22" s="15"/>
      <x:c r="G22" s="15" t="str">
        <x:v>NOT NULL</x:v>
      </x:c>
      <x:c r="H22" s="15"/>
      <x:c r="I22" s="15" t="str">
        <x:v>public.tool_registry에서 risk level 값을 저장한다.</x:v>
      </x:c>
      <x:c r="J22" s="15"/>
      <x:c r="K22" s="15" t="str">
        <x:v>보안: INTERNAL</x:v>
      </x:c>
    </x:row>
    <x:row r="23" ht="44" customHeight="1">
      <x:c r="A23" s="15" t="n">
        <x:v>7</x:v>
      </x:c>
      <x:c r="B23" s="15" t="str">
        <x:v>input_schema_json</x:v>
      </x:c>
      <x:c r="C23" s="15" t="str">
        <x:v>입력 schema json</x:v>
      </x:c>
      <x:c r="D23" s="15" t="str">
        <x:v>jsonb</x:v>
      </x:c>
      <x:c r="E23" s="15"/>
      <x:c r="F23" s="15"/>
      <x:c r="G23" s="15" t="str">
        <x:v>NOT NULL</x:v>
      </x:c>
      <x:c r="H23" s="15"/>
      <x:c r="I23" s="15" t="str">
        <x:v>public.tool_registry의 입력 schema json 구조를 JSONB로 저장하며 승인된 스키마 계약으로 검증한다.</x:v>
      </x:c>
      <x:c r="J23" s="15"/>
      <x:c r="K23" s="15" t="str">
        <x:v>보안: INTERNAL</x:v>
      </x:c>
    </x:row>
    <x:row r="24" ht="44" customHeight="1">
      <x:c r="A24" s="15" t="n">
        <x:v>8</x:v>
      </x:c>
      <x:c r="B24" s="15" t="str">
        <x:v>output_schema_json</x:v>
      </x:c>
      <x:c r="C24" s="15" t="str">
        <x:v>출력 schema json</x:v>
      </x:c>
      <x:c r="D24" s="15" t="str">
        <x:v>jsonb</x:v>
      </x:c>
      <x:c r="E24" s="15"/>
      <x:c r="F24" s="15"/>
      <x:c r="G24" s="15" t="str">
        <x:v>NOT NULL</x:v>
      </x:c>
      <x:c r="H24" s="15"/>
      <x:c r="I24" s="15" t="str">
        <x:v>public.tool_registry의 출력 schema json 구조를 JSONB로 저장하며 승인된 스키마 계약으로 검증한다.</x:v>
      </x:c>
      <x:c r="J24" s="15"/>
      <x:c r="K24" s="15" t="str">
        <x:v>보안: CONFIDENTIAL</x:v>
      </x:c>
    </x:row>
    <x:row r="25" ht="44" customHeight="1">
      <x:c r="A25" s="15" t="n">
        <x:v>9</x:v>
      </x:c>
      <x:c r="B25" s="15" t="str">
        <x:v>transport</x:v>
      </x:c>
      <x:c r="C25" s="15" t="str">
        <x:v>transport</x:v>
      </x:c>
      <x:c r="D25" s="15" t="str">
        <x:v>text</x:v>
      </x:c>
      <x:c r="E25" s="15"/>
      <x:c r="F25" s="15"/>
      <x:c r="G25" s="15" t="str">
        <x:v>NOT NULL</x:v>
      </x:c>
      <x:c r="H25" s="15"/>
      <x:c r="I25" s="15" t="str">
        <x:v>public.tool_registry에서 transport 값을 저장한다.</x:v>
      </x:c>
      <x:c r="J25" s="15"/>
      <x:c r="K25" s="15" t="str">
        <x:v>보안: INTERNAL</x:v>
      </x:c>
    </x:row>
    <x:row r="26" ht="44" customHeight="1">
      <x:c r="A26" s="15" t="n">
        <x:v>10</x:v>
      </x:c>
      <x:c r="B26" s="15" t="str">
        <x:v>endpoint_ref</x:v>
      </x:c>
      <x:c r="C26" s="15" t="str">
        <x:v>endpoint ref</x:v>
      </x:c>
      <x:c r="D26" s="15" t="str">
        <x:v>text</x:v>
      </x:c>
      <x:c r="E26" s="15"/>
      <x:c r="F26" s="15"/>
      <x:c r="G26" s="15"/>
      <x:c r="H26" s="15"/>
      <x:c r="I26" s="15" t="str">
        <x:v>public.tool_registry에서 endpoint ref 값을 저장한다.</x:v>
      </x:c>
      <x:c r="J26" s="15"/>
      <x:c r="K26" s="15" t="str">
        <x:v>보안: INTERNAL</x:v>
      </x:c>
    </x:row>
    <x:row r="27" ht="44" customHeight="1">
      <x:c r="A27" s="15" t="n">
        <x:v>11</x:v>
      </x:c>
      <x:c r="B27" s="15" t="str">
        <x:v>timeout_seconds</x:v>
      </x:c>
      <x:c r="C27" s="15" t="str">
        <x:v>timeout seconds</x:v>
      </x:c>
      <x:c r="D27" s="15" t="str">
        <x:v>integer</x:v>
      </x:c>
      <x:c r="E27" s="15"/>
      <x:c r="F27" s="15"/>
      <x:c r="G27" s="15" t="str">
        <x:v>NOT NULL</x:v>
      </x:c>
      <x:c r="H27" s="15"/>
      <x:c r="I27" s="15" t="str">
        <x:v>public.tool_registry에서 timeout seconds 값을 저장한다.</x:v>
      </x:c>
      <x:c r="J27" s="15" t="str">
        <x:v>CHECK | CHECK (timeout_seconds &gt; 0)</x:v>
      </x:c>
      <x:c r="K27" s="15" t="str">
        <x:v>보안: INTERNAL</x:v>
      </x:c>
    </x:row>
    <x:row r="28" ht="44" customHeight="1">
      <x:c r="A28" s="15" t="n">
        <x:v>12</x:v>
      </x:c>
      <x:c r="B28" s="15" t="str">
        <x:v>maximum_retries</x:v>
      </x:c>
      <x:c r="C28" s="15" t="str">
        <x:v>maximum retries</x:v>
      </x:c>
      <x:c r="D28" s="15" t="str">
        <x:v>integer</x:v>
      </x:c>
      <x:c r="E28" s="15"/>
      <x:c r="F28" s="15"/>
      <x:c r="G28" s="15" t="str">
        <x:v>NOT NULL</x:v>
      </x:c>
      <x:c r="H28" s="15" t="str">
        <x:v>0</x:v>
      </x:c>
      <x:c r="I28" s="15" t="str">
        <x:v>public.tool_registry에서 maximum retries 값을 저장한다.</x:v>
      </x:c>
      <x:c r="J28" s="15" t="str">
        <x:v>CHECK | CHECK (maximum_retries &gt;= 0)</x:v>
      </x:c>
      <x:c r="K28" s="15" t="str">
        <x:v>보안: INTERNAL</x:v>
      </x:c>
    </x:row>
    <x:row r="29" ht="44" customHeight="1">
      <x:c r="A29" s="15" t="n">
        <x:v>13</x:v>
      </x:c>
      <x:c r="B29" s="15" t="str">
        <x:v>required_roles</x:v>
      </x:c>
      <x:c r="C29" s="15" t="str">
        <x:v>required roles</x:v>
      </x:c>
      <x:c r="D29" s="15" t="str">
        <x:v>text[]</x:v>
      </x:c>
      <x:c r="E29" s="15"/>
      <x:c r="F29" s="15"/>
      <x:c r="G29" s="15" t="str">
        <x:v>NOT NULL</x:v>
      </x:c>
      <x:c r="H29" s="15"/>
      <x:c r="I29" s="15" t="str">
        <x:v>public.tool_registry에서 required roles 값을 저장한다.</x:v>
      </x:c>
      <x:c r="J29" s="15"/>
      <x:c r="K29" s="15" t="str">
        <x:v>보안: INTERNAL</x:v>
      </x:c>
    </x:row>
    <x:row r="30" ht="44" customHeight="1">
      <x:c r="A30" s="15" t="n">
        <x:v>14</x:v>
      </x:c>
      <x:c r="B30" s="15" t="str">
        <x:v>data_scope</x:v>
      </x:c>
      <x:c r="C30" s="15" t="str">
        <x:v>데이터 scope</x:v>
      </x:c>
      <x:c r="D30" s="15" t="str">
        <x:v>text</x:v>
      </x:c>
      <x:c r="E30" s="15"/>
      <x:c r="F30" s="15"/>
      <x:c r="G30" s="15" t="str">
        <x:v>NOT NULL</x:v>
      </x:c>
      <x:c r="H30" s="15"/>
      <x:c r="I30" s="15" t="str">
        <x:v>public.tool_registry에서 데이터 scope 값을 저장한다.</x:v>
      </x:c>
      <x:c r="J30" s="15"/>
      <x:c r="K30" s="15" t="str">
        <x:v>보안: INTERNAL</x:v>
      </x:c>
    </x:row>
    <x:row r="31" ht="44" customHeight="1">
      <x:c r="A31" s="15" t="n">
        <x:v>15</x:v>
      </x:c>
      <x:c r="B31" s="15" t="str">
        <x:v>read_only</x:v>
      </x:c>
      <x:c r="C31" s="15" t="str">
        <x:v>read only</x:v>
      </x:c>
      <x:c r="D31" s="15" t="str">
        <x:v>boolean</x:v>
      </x:c>
      <x:c r="E31" s="15"/>
      <x:c r="F31" s="15"/>
      <x:c r="G31" s="15" t="str">
        <x:v>NOT NULL</x:v>
      </x:c>
      <x:c r="H31" s="15"/>
      <x:c r="I31" s="15" t="str">
        <x:v>public.tool_registry에서 read only 값을 저장한다.</x:v>
      </x:c>
      <x:c r="J31" s="15"/>
      <x:c r="K31" s="15" t="str">
        <x:v>보안: INTERNAL</x:v>
      </x:c>
    </x:row>
    <x:row r="32" ht="44" customHeight="1">
      <x:c r="A32" s="15" t="n">
        <x:v>16</x:v>
      </x:c>
      <x:c r="B32" s="15" t="str">
        <x:v>destructive</x:v>
      </x:c>
      <x:c r="C32" s="15" t="str">
        <x:v>destructive</x:v>
      </x:c>
      <x:c r="D32" s="15" t="str">
        <x:v>boolean</x:v>
      </x:c>
      <x:c r="E32" s="15"/>
      <x:c r="F32" s="15"/>
      <x:c r="G32" s="15" t="str">
        <x:v>NOT NULL</x:v>
      </x:c>
      <x:c r="H32" s="15"/>
      <x:c r="I32" s="15" t="str">
        <x:v>public.tool_registry에서 destructive 값을 저장한다.</x:v>
      </x:c>
      <x:c r="J32" s="15"/>
      <x:c r="K32" s="15" t="str">
        <x:v>보안: INTERNAL</x:v>
      </x:c>
    </x:row>
    <x:row r="33" ht="44" customHeight="1">
      <x:c r="A33" s="15" t="n">
        <x:v>17</x:v>
      </x:c>
      <x:c r="B33" s="15" t="str">
        <x:v>idempotent</x:v>
      </x:c>
      <x:c r="C33" s="15" t="str">
        <x:v>idempotent</x:v>
      </x:c>
      <x:c r="D33" s="15" t="str">
        <x:v>boolean</x:v>
      </x:c>
      <x:c r="E33" s="15"/>
      <x:c r="F33" s="15"/>
      <x:c r="G33" s="15" t="str">
        <x:v>NOT NULL</x:v>
      </x:c>
      <x:c r="H33" s="15"/>
      <x:c r="I33" s="15" t="str">
        <x:v>public.tool_registry에서 idempotent 값을 저장한다.</x:v>
      </x:c>
      <x:c r="J33" s="15"/>
      <x:c r="K33" s="15" t="str">
        <x:v>보안: INTERNAL</x:v>
      </x:c>
    </x:row>
    <x:row r="34" ht="44" customHeight="1">
      <x:c r="A34" s="15" t="n">
        <x:v>18</x:v>
      </x:c>
      <x:c r="B34" s="15" t="str">
        <x:v>evidence_type</x:v>
      </x:c>
      <x:c r="C34" s="15" t="str">
        <x:v>evidence 유형</x:v>
      </x:c>
      <x:c r="D34" s="15" t="str">
        <x:v>text</x:v>
      </x:c>
      <x:c r="E34" s="15"/>
      <x:c r="F34" s="15"/>
      <x:c r="G34" s="15" t="str">
        <x:v>NOT NULL</x:v>
      </x:c>
      <x:c r="H34" s="15"/>
      <x:c r="I34" s="15" t="str">
        <x:v>public.tool_registry에서 evidence 유형 값을 저장한다.</x:v>
      </x:c>
      <x:c r="J34" s="15" t="str">
        <x:v>CHECK | CHECK (evidence_type = ANY (ARRAY['SQL_EVIDENCE'::text, 'DOCUMENT_EVIDENCE'::text]))</x:v>
      </x:c>
      <x:c r="K34" s="15" t="str">
        <x:v>보안: INTERNAL</x:v>
      </x:c>
    </x:row>
    <x:row r="35" ht="44" customHeight="1">
      <x:c r="A35" s="15" t="n">
        <x:v>19</x:v>
      </x:c>
      <x:c r="B35" s="15" t="str">
        <x:v>enabled</x:v>
      </x:c>
      <x:c r="C35" s="15" t="str">
        <x:v>활성 여부</x:v>
      </x:c>
      <x:c r="D35" s="15" t="str">
        <x:v>boolean</x:v>
      </x:c>
      <x:c r="E35" s="15"/>
      <x:c r="F35" s="15"/>
      <x:c r="G35" s="15" t="str">
        <x:v>NOT NULL</x:v>
      </x:c>
      <x:c r="H35" s="15" t="str">
        <x:v>false</x:v>
      </x:c>
      <x:c r="I35" s="15" t="str">
        <x:v>public.tool_registry에서 활성 여부 값을 저장한다.</x:v>
      </x:c>
      <x:c r="J35" s="15" t="str">
        <x:v>CHECK | CHECK (NOT enabled OR approval_status = 'APPROVED'::text)</x:v>
      </x:c>
      <x:c r="K35" s="15" t="str">
        <x:v>보안: INTERNAL</x:v>
      </x:c>
    </x:row>
    <x:row r="36" ht="44" customHeight="1">
      <x:c r="A36" s="15" t="n">
        <x:v>20</x:v>
      </x:c>
      <x:c r="B36" s="15" t="str">
        <x:v>approval_status</x:v>
      </x:c>
      <x:c r="C36" s="15" t="str">
        <x:v>approval 상태</x:v>
      </x:c>
      <x:c r="D36" s="15" t="str">
        <x:v>text</x:v>
      </x:c>
      <x:c r="E36" s="15"/>
      <x:c r="F36" s="15"/>
      <x:c r="G36" s="15" t="str">
        <x:v>NOT NULL</x:v>
      </x:c>
      <x:c r="H36" s="15" t="str">
        <x:v>'NOT_APPROVED'::text</x:v>
      </x:c>
      <x:c r="I36" s="15" t="str">
        <x:v>public.tool_registry의 현재 approval 상태를 저장한다. 허용 범위는 연결된 CHECK 제약과 서비스 계약을 따른다.</x:v>
      </x:c>
      <x:c r="J36" s="15" t="str">
        <x:v>CHECK | CHECK (NOT enabled OR approval_status = 'APPROVED'::text)</x:v>
      </x:c>
      <x:c r="K36" s="15" t="str">
        <x:v>보안: INTERNAL</x:v>
      </x:c>
    </x:row>
    <x:row r="37" ht="44" customHeight="1">
      <x:c r="A37" s="15" t="n">
        <x:v>21</x:v>
      </x:c>
      <x:c r="B37" s="15" t="str">
        <x:v>health_status</x:v>
      </x:c>
      <x:c r="C37" s="15" t="str">
        <x:v>health 상태</x:v>
      </x:c>
      <x:c r="D37" s="15" t="str">
        <x:v>text</x:v>
      </x:c>
      <x:c r="E37" s="15"/>
      <x:c r="F37" s="15"/>
      <x:c r="G37" s="15" t="str">
        <x:v>NOT NULL</x:v>
      </x:c>
      <x:c r="H37" s="15" t="str">
        <x:v>'UNKNOWN'::text</x:v>
      </x:c>
      <x:c r="I37" s="15" t="str">
        <x:v>public.tool_registry의 현재 health 상태를 저장한다. 허용 범위는 연결된 CHECK 제약과 서비스 계약을 따른다.</x:v>
      </x:c>
      <x:c r="J37" s="15"/>
      <x:c r="K37" s="15" t="str">
        <x:v>보안: INTERNAL</x:v>
      </x:c>
    </x:row>
    <x:row r="38" ht="44" customHeight="1">
      <x:c r="A38" s="15" t="n">
        <x:v>22</x:v>
      </x:c>
      <x:c r="B38" s="15" t="str">
        <x:v>updated_at</x:v>
      </x:c>
      <x:c r="C38" s="15" t="str">
        <x:v>수정 시각</x:v>
      </x:c>
      <x:c r="D38" s="15" t="str">
        <x:v>timestamptz</x:v>
      </x:c>
      <x:c r="E38" s="15"/>
      <x:c r="F38" s="15"/>
      <x:c r="G38" s="15" t="str">
        <x:v>NOT NULL</x:v>
      </x:c>
      <x:c r="H38" s="15" t="str">
        <x:v>CURRENT_TIMESTAMP</x:v>
      </x:c>
      <x:c r="I38" s="15" t="str">
        <x:v>public.tool_registry의 수정 시각을 UTC 기준 시각으로 저장한다.</x:v>
      </x:c>
      <x:c r="J38" s="15"/>
      <x:c r="K38" s="15" t="str">
        <x:v>보안: INTERNAL</x:v>
      </x:c>
    </x:row>
    <x:row r="39" ht="44" customHeight="1">
      <x:c r="A39" s="15" t="n">
        <x:v>23</x:v>
      </x:c>
      <x:c r="B39" s="15" t="str">
        <x:v>description</x:v>
      </x:c>
      <x:c r="C39" s="15" t="str">
        <x:v>description</x:v>
      </x:c>
      <x:c r="D39" s="15" t="str">
        <x:v>text</x:v>
      </x:c>
      <x:c r="E39" s="15"/>
      <x:c r="F39" s="15"/>
      <x:c r="G39" s="15" t="str">
        <x:v>NOT NULL</x:v>
      </x:c>
      <x:c r="H39" s="15" t="str">
        <x:v>''::text</x:v>
      </x:c>
      <x:c r="I39" s="15" t="str">
        <x:v>public.tool_registry에서 description 값을 저장한다.</x:v>
      </x:c>
      <x:c r="J39" s="15"/>
      <x:c r="K39" s="15" t="str">
        <x:v>보안: INTERNAL</x:v>
      </x:c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</x:row>
    <x:row r="41">
      <x:c r="A41" s="58" t="str">
        <x:v>no</x:v>
      </x:c>
      <x:c r="B41" s="58" t="str">
        <x:v>Index name</x:v>
      </x:c>
      <x:c r="C41" s="58"/>
      <x:c r="D41" s="58" t="str">
        <x:v>Index type</x:v>
      </x:c>
      <x:c r="E41" s="58"/>
      <x:c r="F41" s="58" t="str">
        <x:v>Unique</x:v>
      </x:c>
      <x:c r="G41" s="58"/>
      <x:c r="H41" s="58" t="str">
        <x:v>구성 컬럼</x:v>
      </x:c>
      <x:c r="I41" s="58"/>
      <x:c r="J41" s="58"/>
      <x:c r="K41" s="58"/>
    </x:row>
    <x:row r="42">
      <x:c r="A42" s="15" t="n">
        <x:v>1</x:v>
      </x:c>
      <x:c r="B42" s="15" t="str">
        <x:v>tool_registry_pkey</x:v>
      </x:c>
      <x:c r="C42" s="15"/>
      <x:c r="D42" s="15" t="str">
        <x:v>BTREE</x:v>
      </x:c>
      <x:c r="E42" s="15"/>
      <x:c r="F42" s="15" t="str">
        <x:v>Unique</x:v>
      </x:c>
      <x:c r="G42" s="15"/>
      <x:c r="H42" s="15" t="str">
        <x:v>tool_code</x:v>
      </x:c>
      <x:c r="I42" s="15"/>
      <x:c r="J42" s="15"/>
      <x:c r="K42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41:C41"/>
    <x:mergeCell ref="D41:E41"/>
    <x:mergeCell ref="F41:G41"/>
    <x:mergeCell ref="H41:K41"/>
    <x:mergeCell ref="B42:C42"/>
    <x:mergeCell ref="D42:E42"/>
    <x:mergeCell ref="F42:G42"/>
    <x:mergeCell ref="H42:K42"/>
  </x:mergeCells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 + pgvector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rag_db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public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tool_runs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RAG 도구 실행 이력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RAG pgvector 저장소의 RAG 도구 실행 이력을 관리한다. 현재 init 001~009에서 재현한 물리 구조이며 기능 호출 기본값은 비활성이다.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운영 산정 전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초기 30일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tool_run_id</x:v>
      </x:c>
      <x:c r="C17" s="15" t="str">
        <x:v>도구 실행 ID</x:v>
      </x:c>
      <x:c r="D17" s="15" t="str">
        <x:v>uuid</x:v>
      </x:c>
      <x:c r="E17" s="15"/>
      <x:c r="F17" s="15" t="str">
        <x:v>PK</x:v>
      </x:c>
      <x:c r="G17" s="15" t="str">
        <x:v>NOT NULL</x:v>
      </x:c>
      <x:c r="H17" s="15"/>
      <x:c r="I17" s="15" t="str">
        <x:v>public.tool_runs의 한 행을 식별하는 도구 실행 ID 기본키다.</x:v>
      </x:c>
      <x:c r="J17" s="15"/>
      <x:c r="K17" s="15" t="str">
        <x:v>보안: INTERNAL</x:v>
      </x:c>
    </x:row>
    <x:row r="18" ht="44" customHeight="1">
      <x:c r="A18" s="15" t="n">
        <x:v>2</x:v>
      </x:c>
      <x:c r="B18" s="15" t="str">
        <x:v>tool_code</x:v>
      </x:c>
      <x:c r="C18" s="15" t="str">
        <x:v>도구 코드</x:v>
      </x:c>
      <x:c r="D18" s="15" t="str">
        <x:v>text</x:v>
      </x:c>
      <x:c r="E18" s="15"/>
      <x:c r="F18" s="15" t="str">
        <x:v>FK</x:v>
      </x:c>
      <x:c r="G18" s="15" t="str">
        <x:v>NOT NULL</x:v>
      </x:c>
      <x:c r="H18" s="15"/>
      <x:c r="I18" s="15" t="str">
        <x:v>tool_registry.tool_code를 참조해 public.tool_runs의 도구 코드 관계를 연결한다.</x:v>
      </x:c>
      <x:c r="J18" s="15" t="str">
        <x:v>물리 FK | tool_registry.tool_code</x:v>
      </x:c>
      <x:c r="K18" s="15" t="str">
        <x:v>보안: INTERNAL</x:v>
      </x:c>
    </x:row>
    <x:row r="19" ht="44" customHeight="1">
      <x:c r="A19" s="15" t="n">
        <x:v>3</x:v>
      </x:c>
      <x:c r="B19" s="15" t="str">
        <x:v>request_id</x:v>
      </x:c>
      <x:c r="C19" s="15" t="str">
        <x:v>요청 ID</x:v>
      </x:c>
      <x:c r="D19" s="15" t="str">
        <x:v>text</x:v>
      </x:c>
      <x:c r="E19" s="15"/>
      <x:c r="F19" s="15"/>
      <x:c r="G19" s="15" t="str">
        <x:v>NOT NULL</x:v>
      </x:c>
      <x:c r="H19" s="15"/>
      <x:c r="I19" s="15" t="str">
        <x:v>public.tool_runs에서 요청 ID 값을 저장한다.</x:v>
      </x:c>
      <x:c r="J19" s="15"/>
      <x:c r="K19" s="15" t="str">
        <x:v>보안: INTERNAL</x:v>
      </x:c>
    </x:row>
    <x:row r="20" ht="44" customHeight="1">
      <x:c r="A20" s="15" t="n">
        <x:v>4</x:v>
      </x:c>
      <x:c r="B20" s="15" t="str">
        <x:v>trace_id</x:v>
      </x:c>
      <x:c r="C20" s="15" t="str">
        <x:v>trace ID</x:v>
      </x:c>
      <x:c r="D20" s="15" t="str">
        <x:v>text</x:v>
      </x:c>
      <x:c r="E20" s="15"/>
      <x:c r="F20" s="15"/>
      <x:c r="G20" s="15" t="str">
        <x:v>NOT NULL</x:v>
      </x:c>
      <x:c r="H20" s="15"/>
      <x:c r="I20" s="15" t="str">
        <x:v>public.tool_runs에서 trace ID 값을 저장한다.</x:v>
      </x:c>
      <x:c r="J20" s="15"/>
      <x:c r="K20" s="15" t="str">
        <x:v>보안: INTERNAL</x:v>
      </x:c>
    </x:row>
    <x:row r="21" ht="44" customHeight="1">
      <x:c r="A21" s="15" t="n">
        <x:v>5</x:v>
      </x:c>
      <x:c r="B21" s="15" t="str">
        <x:v>input_hash</x:v>
      </x:c>
      <x:c r="C21" s="15" t="str">
        <x:v>입력 해시</x:v>
      </x:c>
      <x:c r="D21" s="15" t="str">
        <x:v>text</x:v>
      </x:c>
      <x:c r="E21" s="15"/>
      <x:c r="F21" s="15"/>
      <x:c r="G21" s="15" t="str">
        <x:v>NOT NULL</x:v>
      </x:c>
      <x:c r="H21" s="15"/>
      <x:c r="I21" s="15" t="str">
        <x:v>public.tool_runs에서 입력 해시 값을 저장한다.</x:v>
      </x:c>
      <x:c r="J21" s="15"/>
      <x:c r="K21" s="15" t="str">
        <x:v>보안: INTERNAL</x:v>
      </x:c>
    </x:row>
    <x:row r="22" ht="44" customHeight="1">
      <x:c r="A22" s="15" t="n">
        <x:v>6</x:v>
      </x:c>
      <x:c r="B22" s="15" t="str">
        <x:v>status</x:v>
      </x:c>
      <x:c r="C22" s="15" t="str">
        <x:v>상태</x:v>
      </x:c>
      <x:c r="D22" s="15" t="str">
        <x:v>text</x:v>
      </x:c>
      <x:c r="E22" s="15"/>
      <x:c r="F22" s="15"/>
      <x:c r="G22" s="15" t="str">
        <x:v>NOT NULL</x:v>
      </x:c>
      <x:c r="H22" s="15"/>
      <x:c r="I22" s="15" t="str">
        <x:v>public.tool_runs의 현재 상태를 저장한다. 허용 범위는 연결된 CHECK 제약과 서비스 계약을 따른다.</x:v>
      </x:c>
      <x:c r="J22" s="15" t="str">
        <x:v>CHECK | CHECK (status = ANY (ARRAY['RUNNING'::text, 'SUCCEEDED'::text, 'FAILED'::text, 'DENIED'::text, 'TIMEOUT'::text]))</x:v>
      </x:c>
      <x:c r="K22" s="15" t="str">
        <x:v>보안: INTERNAL</x:v>
      </x:c>
    </x:row>
    <x:row r="23" ht="44" customHeight="1">
      <x:c r="A23" s="15" t="n">
        <x:v>7</x:v>
      </x:c>
      <x:c r="B23" s="15" t="str">
        <x:v>latency_ms</x:v>
      </x:c>
      <x:c r="C23" s="15" t="str">
        <x:v>latency ms</x:v>
      </x:c>
      <x:c r="D23" s="15" t="str">
        <x:v>double precision</x:v>
      </x:c>
      <x:c r="E23" s="15"/>
      <x:c r="F23" s="15"/>
      <x:c r="G23" s="15"/>
      <x:c r="H23" s="15"/>
      <x:c r="I23" s="15" t="str">
        <x:v>public.tool_runs에서 latency ms 값을 저장한다.</x:v>
      </x:c>
      <x:c r="J23" s="15" t="str">
        <x:v>CHECK | CHECK (latency_ms &gt;= 0::double precision)</x:v>
      </x:c>
      <x:c r="K23" s="15" t="str">
        <x:v>보안: INTERNAL</x:v>
      </x:c>
    </x:row>
    <x:row r="24" ht="44" customHeight="1">
      <x:c r="A24" s="15" t="n">
        <x:v>8</x:v>
      </x:c>
      <x:c r="B24" s="15" t="str">
        <x:v>result_count</x:v>
      </x:c>
      <x:c r="C24" s="15" t="str">
        <x:v>결과 수</x:v>
      </x:c>
      <x:c r="D24" s="15" t="str">
        <x:v>integer</x:v>
      </x:c>
      <x:c r="E24" s="15"/>
      <x:c r="F24" s="15"/>
      <x:c r="G24" s="15"/>
      <x:c r="H24" s="15"/>
      <x:c r="I24" s="15" t="str">
        <x:v>public.tool_runs에서 결과 수 값을 저장한다.</x:v>
      </x:c>
      <x:c r="J24" s="15" t="str">
        <x:v>CHECK | CHECK (result_count &gt;= 0)</x:v>
      </x:c>
      <x:c r="K24" s="15" t="str">
        <x:v>보안: INTERNAL</x:v>
      </x:c>
    </x:row>
    <x:row r="25" ht="44" customHeight="1">
      <x:c r="A25" s="15" t="n">
        <x:v>9</x:v>
      </x:c>
      <x:c r="B25" s="15" t="str">
        <x:v>error_code</x:v>
      </x:c>
      <x:c r="C25" s="15" t="str">
        <x:v>오류 코드</x:v>
      </x:c>
      <x:c r="D25" s="15" t="str">
        <x:v>text</x:v>
      </x:c>
      <x:c r="E25" s="15"/>
      <x:c r="F25" s="15"/>
      <x:c r="G25" s="15"/>
      <x:c r="H25" s="15"/>
      <x:c r="I25" s="15" t="str">
        <x:v>public.tool_runs에서 오류 코드 값을 저장한다.</x:v>
      </x:c>
      <x:c r="J25" s="15"/>
      <x:c r="K25" s="15" t="str">
        <x:v>보안: INTERNAL</x:v>
      </x:c>
    </x:row>
    <x:row r="26" ht="44" customHeight="1">
      <x:c r="A26" s="15" t="n">
        <x:v>10</x:v>
      </x:c>
      <x:c r="B26" s="15" t="str">
        <x:v>error_message_redacted</x:v>
      </x:c>
      <x:c r="C26" s="15" t="str">
        <x:v>오류 메시지 redacted</x:v>
      </x:c>
      <x:c r="D26" s="15" t="str">
        <x:v>text</x:v>
      </x:c>
      <x:c r="E26" s="15"/>
      <x:c r="F26" s="15"/>
      <x:c r="G26" s="15"/>
      <x:c r="H26" s="15"/>
      <x:c r="I26" s="15" t="str">
        <x:v>public.tool_runs에서 오류 메시지 redacted 값을 저장한다.</x:v>
      </x:c>
      <x:c r="J26" s="15"/>
      <x:c r="K26" s="15" t="str">
        <x:v>보안: CONFIDENTIAL</x:v>
      </x:c>
    </x:row>
    <x:row r="27" ht="44" customHeight="1">
      <x:c r="A27" s="15" t="n">
        <x:v>11</x:v>
      </x:c>
      <x:c r="B27" s="15" t="str">
        <x:v>created_at</x:v>
      </x:c>
      <x:c r="C27" s="15" t="str">
        <x:v>생성 시각</x:v>
      </x:c>
      <x:c r="D27" s="15" t="str">
        <x:v>timestamptz</x:v>
      </x:c>
      <x:c r="E27" s="15"/>
      <x:c r="F27" s="15"/>
      <x:c r="G27" s="15" t="str">
        <x:v>NOT NULL</x:v>
      </x:c>
      <x:c r="H27" s="15" t="str">
        <x:v>CURRENT_TIMESTAMP</x:v>
      </x:c>
      <x:c r="I27" s="15" t="str">
        <x:v>public.tool_runs의 생성 시각을 UTC 기준 시각으로 저장한다.</x:v>
      </x:c>
      <x:c r="J27" s="15"/>
      <x:c r="K27" s="15" t="str">
        <x:v>보안: INTERNAL</x:v>
      </x:c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>
      <x:c r="A29" s="58" t="str">
        <x:v>no</x:v>
      </x:c>
      <x:c r="B29" s="58" t="str">
        <x:v>Index name</x:v>
      </x:c>
      <x:c r="C29" s="58"/>
      <x:c r="D29" s="58" t="str">
        <x:v>Index type</x:v>
      </x:c>
      <x:c r="E29" s="58"/>
      <x:c r="F29" s="58" t="str">
        <x:v>Unique</x:v>
      </x:c>
      <x:c r="G29" s="58"/>
      <x:c r="H29" s="58" t="str">
        <x:v>구성 컬럼</x:v>
      </x:c>
      <x:c r="I29" s="58"/>
      <x:c r="J29" s="58"/>
      <x:c r="K29" s="58"/>
    </x:row>
    <x:row r="30">
      <x:c r="A30" s="15" t="n">
        <x:v>1</x:v>
      </x:c>
      <x:c r="B30" s="15" t="str">
        <x:v>idx_tool_runs_request</x:v>
      </x:c>
      <x:c r="C30" s="15"/>
      <x:c r="D30" s="15" t="str">
        <x:v>BTREE</x:v>
      </x:c>
      <x:c r="E30" s="15"/>
      <x:c r="F30" s="15" t="str">
        <x:v>Non-Unique</x:v>
      </x:c>
      <x:c r="G30" s="15"/>
      <x:c r="H30" s="15" t="str">
        <x:v>request_id, created_at DESC</x:v>
      </x:c>
      <x:c r="I30" s="15"/>
      <x:c r="J30" s="15"/>
      <x:c r="K30" s="15"/>
    </x:row>
    <x:row r="31">
      <x:c r="A31" s="15" t="n">
        <x:v>2</x:v>
      </x:c>
      <x:c r="B31" s="15" t="str">
        <x:v>tool_runs_pkey</x:v>
      </x:c>
      <x:c r="C31" s="15"/>
      <x:c r="D31" s="15" t="str">
        <x:v>BTREE</x:v>
      </x:c>
      <x:c r="E31" s="15"/>
      <x:c r="F31" s="15" t="str">
        <x:v>Unique</x:v>
      </x:c>
      <x:c r="G31" s="15"/>
      <x:c r="H31" s="15" t="str">
        <x:v>tool_run_id</x:v>
      </x:c>
      <x:c r="I31" s="15"/>
      <x:c r="J31" s="15"/>
      <x:c r="K31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29:C29"/>
    <x:mergeCell ref="D29:E29"/>
    <x:mergeCell ref="F29:G29"/>
    <x:mergeCell ref="H29:K29"/>
    <x:mergeCell ref="B30:C30"/>
    <x:mergeCell ref="D30:E30"/>
    <x:mergeCell ref="F30:G30"/>
    <x:mergeCell ref="H30:K30"/>
    <x:mergeCell ref="B31:C31"/>
    <x:mergeCell ref="D31:E31"/>
    <x:mergeCell ref="F31:G31"/>
    <x:mergeCell ref="H31:K31"/>
  </x:mergeCells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hotel_pms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public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pms_guests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PMS 고객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PMS 영역의 합성 고객 로컬 식별자와 최소 분석 속성을 저장한다. 실제 이름·연락처·주소는 포함하지 않으며 고객군·국가 그룹과 CRM 매핑 가능 여부만 보관한다.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합성 적재 기준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property_id</x:v>
      </x:c>
      <x:c r="C17" s="15" t="str">
        <x:v>호텔 속성 ID</x:v>
      </x:c>
      <x:c r="D17" s="15" t="str">
        <x:v>varchar</x:v>
      </x:c>
      <x:c r="E17" s="15" t="str">
        <x:v>64</x:v>
      </x:c>
      <x:c r="F17" s="15"/>
      <x:c r="G17" s="15" t="str">
        <x:v>NOT NULL</x:v>
      </x:c>
      <x:c r="H17" s="15"/>
      <x:c r="I17" s="15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15" t="str">
        <x:v>공통 조인 기준 | fixture property_id=SYNTHETIC_HOTEL_001 | 5개 source에서 동일 값 사용</x:v>
      </x:c>
      <x:c r="K17" s="15" t="str">
        <x:v>보안: POLICY</x:v>
      </x:c>
    </x:row>
    <x:row r="18" ht="44" customHeight="1">
      <x:c r="A18" s="15" t="n">
        <x:v>2</x:v>
      </x:c>
      <x:c r="B18" s="15" t="str">
        <x:v>guest_id</x:v>
      </x:c>
      <x:c r="C18" s="15" t="str">
        <x:v>PMS 고객 ID</x:v>
      </x:c>
      <x:c r="D18" s="15" t="str">
        <x:v>varchar</x:v>
      </x:c>
      <x:c r="E18" s="15" t="str">
        <x:v>36</x:v>
      </x:c>
      <x:c r="F18" s="15" t="str">
        <x:v>PK</x:v>
      </x:c>
      <x:c r="G18" s="15" t="str">
        <x:v>NOT NULL</x:v>
      </x:c>
      <x:c r="H18" s="15"/>
      <x:c r="I18" s="15" t="str">
        <x:v>PMS 고객의 한 행을 안정적으로 식별하는 기본키다. 다른 이력·분석·참조에서 동일 레코드를 추적할 수 있도록 생성 후 재사용하거나 변경하지 않는다. 설계 기준은 'GST-8자리 합성 로컬 키'이다.</x:v>
      </x:c>
      <x:c r="J18" s="15" t="str">
        <x:v>참조됨 | hotel_pms.public.pms_reservations.guest_id, hotel_pms.public.pms_stays.guest_id, hotel_crm.dbo.crm_customer_map.pms_guest_id</x:v>
      </x:c>
      <x:c r="K18" s="15" t="str">
        <x:v>보안: SYNTHETIC</x:v>
      </x:c>
    </x:row>
    <x:row r="19" ht="44" customHeight="1">
      <x:c r="A19" s="15" t="n">
        <x:v>3</x:v>
      </x:c>
      <x:c r="B19" s="15" t="str">
        <x:v>guest_segment</x:v>
      </x:c>
      <x:c r="C19" s="15" t="str">
        <x:v>고객군</x:v>
      </x:c>
      <x:c r="D19" s="15" t="str">
        <x:v>varchar</x:v>
      </x:c>
      <x:c r="E19" s="15" t="str">
        <x:v>24</x:v>
      </x:c>
      <x:c r="F19" s="15"/>
      <x:c r="G19" s="15" t="str">
        <x:v>NOT NULL</x:v>
      </x:c>
      <x:c r="H19" s="15"/>
      <x:c r="I19" s="15" t="str">
        <x:v>예약·투숙 분석에 사용하는 고객 목적군 코드다. LEISURE, BUSINESS, GROUP 중 하나이며 개인의 직업·민감 속성을 의미하지 않는다.</x:v>
      </x:c>
      <x:c r="J19" s="15" t="str">
        <x:v>코드 기준 | LEISURE, BUSINESS, GROUP</x:v>
      </x:c>
      <x:c r="K19" s="15" t="str">
        <x:v>보안: SYNTHETIC</x:v>
      </x:c>
    </x:row>
    <x:row r="20" ht="44" customHeight="1">
      <x:c r="A20" s="15" t="n">
        <x:v>4</x:v>
      </x:c>
      <x:c r="B20" s="15" t="str">
        <x:v>country_group</x:v>
      </x:c>
      <x:c r="C20" s="15" t="str">
        <x:v>국가 그룹</x:v>
      </x:c>
      <x:c r="D20" s="15" t="str">
        <x:v>varchar</x:v>
      </x:c>
      <x:c r="E20" s="15" t="str">
        <x:v>24</x:v>
      </x:c>
      <x:c r="F20" s="15"/>
      <x:c r="G20" s="15" t="str">
        <x:v>NOT NULL</x:v>
      </x:c>
      <x:c r="H20" s="15"/>
      <x:c r="I20" s="15" t="str">
        <x:v>국가를 직접 저장하지 않고 국내·권역 등 넓은 그룹으로 비식별화한 분석 범주다. 주소·국적 원문을 역추정할 수 있는 세부값은 두지 않는다.</x:v>
      </x:c>
      <x:c r="J20" s="15"/>
      <x:c r="K20" s="15" t="str">
        <x:v>보안: SYNTHETIC</x:v>
      </x:c>
    </x:row>
    <x:row r="21" ht="44" customHeight="1">
      <x:c r="A21" s="15" t="n">
        <x:v>5</x:v>
      </x:c>
      <x:c r="B21" s="15" t="str">
        <x:v>crm_mapping_eligible</x:v>
      </x:c>
      <x:c r="C21" s="15" t="str">
        <x:v>CRM 매핑 대상 여부</x:v>
      </x:c>
      <x:c r="D21" s="15" t="str">
        <x:v>boolean</x:v>
      </x:c>
      <x:c r="E21" s="15"/>
      <x:c r="F21" s="15"/>
      <x:c r="G21" s="15" t="str">
        <x:v>NOT NULL</x:v>
      </x:c>
      <x:c r="H21" s="15"/>
      <x:c r="I21" s="15" t="str">
        <x:v>해당 PMS 합성 고객을 CRM 회원키와 연결할 수 있도록 생성했는지 나타낸다. true여도 실제 연결 여부는 crm_customer_map의 활성 유효기간을 확인한다.</x:v>
      </x:c>
      <x:c r="J21" s="15"/>
      <x:c r="K21" s="15" t="str">
        <x:v>보안: POLICY</x:v>
      </x:c>
    </x:row>
    <x:row r="22" ht="44" customHeight="1">
      <x:c r="A22" s="15" t="n">
        <x:v>6</x:v>
      </x:c>
      <x:c r="B22" s="15" t="str">
        <x:v>created_at</x:v>
      </x:c>
      <x:c r="C22" s="15" t="str">
        <x:v>생성 시각</x:v>
      </x:c>
      <x:c r="D22" s="15" t="str">
        <x:v>timestamptz</x:v>
      </x:c>
      <x:c r="E22" s="15"/>
      <x:c r="F22" s="15"/>
      <x:c r="G22" s="15" t="str">
        <x:v>NOT NULL</x:v>
      </x:c>
      <x:c r="H22" s="15"/>
      <x:c r="I22" s="15" t="str">
        <x:v>생성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2" s="15"/>
      <x:c r="K22" s="15" t="str">
        <x:v>보안: SYNTHETIC</x:v>
      </x:c>
    </x:row>
    <x:row r="23" ht="44" customHeight="1">
      <x:c r="A23" s="15" t="n">
        <x:v>7</x:v>
      </x:c>
      <x:c r="B23" s="15" t="str">
        <x:v>source_updated_at</x:v>
      </x:c>
      <x:c r="C23" s="15" t="str">
        <x:v>원천 수정시각</x:v>
      </x:c>
      <x:c r="D23" s="15" t="str">
        <x:v>timestamptz</x:v>
      </x:c>
      <x:c r="E23" s="15"/>
      <x:c r="F23" s="15"/>
      <x:c r="G23" s="15" t="str">
        <x:v>NOT NULL</x:v>
      </x:c>
      <x:c r="H23" s="15"/>
      <x:c r="I23" s="15" t="str">
        <x:v>원천 수정시각을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3" s="15" t="str">
        <x:v>Point-in-time 기준 | source watermark; 조회 시 source_updated_at &lt;= :as_of_utc</x:v>
      </x:c>
      <x:c r="K23" s="15" t="str">
        <x:v>보안: SYNTHETIC</x:v>
      </x:c>
    </x:row>
    <x:row r="24" ht="44" customHeight="1">
      <x:c r="A24" s="15" t="n">
        <x:v>8</x:v>
      </x:c>
      <x:c r="B24" s="15" t="str">
        <x:v>is_synthetic</x:v>
      </x:c>
      <x:c r="C24" s="15" t="str">
        <x:v>합성 여부</x:v>
      </x:c>
      <x:c r="D24" s="15" t="str">
        <x:v>boolean</x:v>
      </x:c>
      <x:c r="E24" s="15"/>
      <x:c r="F24" s="15"/>
      <x:c r="G24" s="15" t="str">
        <x:v>NOT NULL</x:v>
      </x:c>
      <x:c r="H24" s="15"/>
      <x:c r="I24" s="15" t="str">
        <x:v>실제 고객·운영 원천이 아닌 프로젝트 생성 합성 데이터임을 표시한다. 현재 source fixture에서는 항상 true/1이며 실제 데이터와 혼합 저장하지 않는다.</x:v>
      </x:c>
      <x:c r="J24" s="15" t="str">
        <x:v>합성 데이터 정책 | source-fixture-v5.0에서 true/1 고정</x:v>
      </x:c>
      <x:c r="K24" s="15" t="str">
        <x:v>보안: POLICY</x:v>
      </x:c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>
      <x:c r="A26" s="58" t="str">
        <x:v>no</x:v>
      </x:c>
      <x:c r="B26" s="58" t="str">
        <x:v>Index name</x:v>
      </x:c>
      <x:c r="C26" s="58"/>
      <x:c r="D26" s="58" t="str">
        <x:v>Index type</x:v>
      </x:c>
      <x:c r="E26" s="58"/>
      <x:c r="F26" s="58" t="str">
        <x:v>Unique</x:v>
      </x:c>
      <x:c r="G26" s="58"/>
      <x:c r="H26" s="58" t="str">
        <x:v>구성 컬럼</x:v>
      </x:c>
      <x:c r="I26" s="58"/>
      <x:c r="J26" s="58"/>
      <x:c r="K26" s="58"/>
    </x:row>
    <x:row r="27">
      <x:c r="A27" s="15" t="n">
        <x:v>1</x:v>
      </x:c>
      <x:c r="B27" s="15" t="str">
        <x:v>PK_pms_guests</x:v>
      </x:c>
      <x:c r="C27" s="15"/>
      <x:c r="D27" s="15" t="str">
        <x:v>PK</x:v>
      </x:c>
      <x:c r="E27" s="15"/>
      <x:c r="F27" s="15" t="str">
        <x:v>Unique</x:v>
      </x:c>
      <x:c r="G27" s="15"/>
      <x:c r="H27" s="15" t="str">
        <x:v>guest_id</x:v>
      </x:c>
      <x:c r="I27" s="15"/>
      <x:c r="J27" s="15"/>
      <x:c r="K27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26:C26"/>
    <x:mergeCell ref="D26:E26"/>
    <x:mergeCell ref="F26:G26"/>
    <x:mergeCell ref="H26:K26"/>
    <x:mergeCell ref="B27:C27"/>
    <x:mergeCell ref="D27:E27"/>
    <x:mergeCell ref="F27:G27"/>
    <x:mergeCell ref="H27:K27"/>
  </x:mergeCells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hotel_pms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public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pms_room_inventory_daily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일별 객실 공급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영업일자·객실유형별 객실 공급량을 저장한다. 물리 객실, 판매불가, 내부사용 객실을 분리하여 판매가능 객실박을 산출하며 OCC·RevPAR의 분모가 되는 원천 fact다.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합성 적재 기준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property_id</x:v>
      </x:c>
      <x:c r="C17" s="15" t="str">
        <x:v>호텔 속성 ID</x:v>
      </x:c>
      <x:c r="D17" s="15" t="str">
        <x:v>varchar</x:v>
      </x:c>
      <x:c r="E17" s="15" t="str">
        <x:v>64</x:v>
      </x:c>
      <x:c r="F17" s="15"/>
      <x:c r="G17" s="15" t="str">
        <x:v>NOT NULL</x:v>
      </x:c>
      <x:c r="H17" s="15"/>
      <x:c r="I17" s="15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15" t="str">
        <x:v>공통 조인 기준 | fixture property_id=SYNTHETIC_HOTEL_001 | 5개 source에서 동일 값 사용</x:v>
      </x:c>
      <x:c r="K17" s="15" t="str">
        <x:v>보안: POLICY</x:v>
      </x:c>
    </x:row>
    <x:row r="18" ht="44" customHeight="1">
      <x:c r="A18" s="15" t="n">
        <x:v>2</x:v>
      </x:c>
      <x:c r="B18" s="15" t="str">
        <x:v>inventory_id</x:v>
      </x:c>
      <x:c r="C18" s="15" t="str">
        <x:v>객실공급 ID</x:v>
      </x:c>
      <x:c r="D18" s="15" t="str">
        <x:v>bigint</x:v>
      </x:c>
      <x:c r="E18" s="15"/>
      <x:c r="F18" s="15" t="str">
        <x:v>PK</x:v>
      </x:c>
      <x:c r="G18" s="15" t="str">
        <x:v>NOT NULL</x:v>
      </x:c>
      <x:c r="H18" s="15"/>
      <x:c r="I18" s="15" t="str">
        <x:v>일별 객실 공급의 한 행을 안정적으로 식별하는 기본키다. 다른 이력·분석·참조에서 동일 레코드를 추적할 수 있도록 생성 후 재사용하거나 변경하지 않는다.</x:v>
      </x:c>
      <x:c r="J18" s="15"/>
      <x:c r="K18" s="15" t="str">
        <x:v>보안: SYNTHETIC</x:v>
      </x:c>
    </x:row>
    <x:row r="19" ht="44" customHeight="1">
      <x:c r="A19" s="15" t="n">
        <x:v>3</x:v>
      </x:c>
      <x:c r="B19" s="15" t="str">
        <x:v>business_date</x:v>
      </x:c>
      <x:c r="C19" s="15" t="str">
        <x:v>영업일자</x:v>
      </x:c>
      <x:c r="D19" s="15" t="str">
        <x:v>date</x:v>
      </x:c>
      <x:c r="E19" s="15"/>
      <x:c r="F19" s="15"/>
      <x:c r="G19" s="15" t="str">
        <x:v>NOT NULL</x:v>
      </x:c>
      <x:c r="H19" s="15"/>
      <x:c r="I19" s="15" t="str">
        <x:v>해당 일별 운영 fact가 귀속되는 영업일자다. reference.calendar_daily.business_date 범위 안에 있어야 하며 기간 상태와 forecast 여부를 이 날짜 기준으로 판정한다.</x:v>
      </x:c>
      <x:c r="J19" s="15" t="str">
        <x:v>논리 기준 | hotel_datahub_app.reference.calendar_daily.business_date</x:v>
      </x:c>
      <x:c r="K19" s="15" t="str">
        <x:v>보안: SYNTHETIC</x:v>
      </x:c>
    </x:row>
    <x:row r="20" ht="44" customHeight="1">
      <x:c r="A20" s="15" t="n">
        <x:v>4</x:v>
      </x:c>
      <x:c r="B20" s="15" t="str">
        <x:v>room_type_code</x:v>
      </x:c>
      <x:c r="C20" s="15" t="str">
        <x:v>객실 유형</x:v>
      </x:c>
      <x:c r="D20" s="15" t="str">
        <x:v>varchar</x:v>
      </x:c>
      <x:c r="E20" s="15" t="str">
        <x:v>32</x:v>
      </x:c>
      <x:c r="F20" s="15"/>
      <x:c r="G20" s="15" t="str">
        <x:v>NOT NULL</x:v>
      </x:c>
      <x:c r="H20" s="15"/>
      <x:c r="I20" s="15" t="str">
        <x:v>객실 유형: 자유서술이 아닌 승인 코드로 저장한다. 자유서술 대신 승인된 코드 도메인을 사용해 source 간 집계와 필터 조건을 일관되게 유지한다.</x:v>
      </x:c>
      <x:c r="J20" s="15" t="str">
        <x:v>논리 코드 도메인 | PMS 객실유형 코드; reservations·stays와 동일 코드 집합</x:v>
      </x:c>
      <x:c r="K20" s="15" t="str">
        <x:v>보안: SYNTHETIC</x:v>
      </x:c>
    </x:row>
    <x:row r="21" ht="44" customHeight="1">
      <x:c r="A21" s="15" t="n">
        <x:v>5</x:v>
      </x:c>
      <x:c r="B21" s="15" t="str">
        <x:v>physical_rooms</x:v>
      </x:c>
      <x:c r="C21" s="15" t="str">
        <x:v>물리 객실 수</x:v>
      </x:c>
      <x:c r="D21" s="15" t="str">
        <x:v>integer</x:v>
      </x:c>
      <x:c r="E21" s="15"/>
      <x:c r="F21" s="15"/>
      <x:c r="G21" s="15" t="str">
        <x:v>NOT NULL</x:v>
      </x:c>
      <x:c r="H21" s="15"/>
      <x:c r="I21" s="15" t="str">
        <x:v>해당 영업일·객실유형에 존재하는 총 물리 객실 수다. 음수는 허용하지 않으며 판매불가·내부사용 객실 수의 합보다 작을 수 없다.</x:v>
      </x:c>
      <x:c r="J21" s="15"/>
      <x:c r="K21" s="15" t="str">
        <x:v>보안: SYNTHETIC</x:v>
      </x:c>
    </x:row>
    <x:row r="22" ht="44" customHeight="1">
      <x:c r="A22" s="15" t="n">
        <x:v>6</x:v>
      </x:c>
      <x:c r="B22" s="15" t="str">
        <x:v>out_of_order_rooms</x:v>
      </x:c>
      <x:c r="C22" s="15" t="str">
        <x:v>판매불가 객실 수</x:v>
      </x:c>
      <x:c r="D22" s="15" t="str">
        <x:v>integer</x:v>
      </x:c>
      <x:c r="E22" s="15"/>
      <x:c r="F22" s="15"/>
      <x:c r="G22" s="15" t="str">
        <x:v>NOT NULL</x:v>
      </x:c>
      <x:c r="H22" s="15"/>
      <x:c r="I22" s="15" t="str">
        <x:v>고장·정비 등으로 판매할 수 없는 객실 수다. physical_rooms 범위 안의 0 이상 정수이며 가용 객실박 계산에서 제외한다.</x:v>
      </x:c>
      <x:c r="J22" s="15"/>
      <x:c r="K22" s="15" t="str">
        <x:v>보안: SYNTHETIC</x:v>
      </x:c>
    </x:row>
    <x:row r="23" ht="44" customHeight="1">
      <x:c r="A23" s="15" t="n">
        <x:v>7</x:v>
      </x:c>
      <x:c r="B23" s="15" t="str">
        <x:v>house_use_rooms</x:v>
      </x:c>
      <x:c r="C23" s="15" t="str">
        <x:v>내부사용 객실 수</x:v>
      </x:c>
      <x:c r="D23" s="15" t="str">
        <x:v>integer</x:v>
      </x:c>
      <x:c r="E23" s="15"/>
      <x:c r="F23" s="15"/>
      <x:c r="G23" s="15" t="str">
        <x:v>NOT NULL</x:v>
      </x:c>
      <x:c r="H23" s="15"/>
      <x:c r="I23" s="15" t="str">
        <x:v>직원·내부 운영 등 판매 목적이 아닌 내부사용 객실 수다. 판매 실적으로 집계하지 않고 가용 객실박 계산에서 제외한다.</x:v>
      </x:c>
      <x:c r="J23" s="15"/>
      <x:c r="K23" s="15" t="str">
        <x:v>보안: SYNTHETIC</x:v>
      </x:c>
    </x:row>
    <x:row r="24" ht="44" customHeight="1">
      <x:c r="A24" s="15" t="n">
        <x:v>8</x:v>
      </x:c>
      <x:c r="B24" s="15" t="str">
        <x:v>available_room_nights</x:v>
      </x:c>
      <x:c r="C24" s="15" t="str">
        <x:v>판매가능 객실박</x:v>
      </x:c>
      <x:c r="D24" s="15" t="str">
        <x:v>integer</x:v>
      </x:c>
      <x:c r="E24" s="15"/>
      <x:c r="F24" s="15"/>
      <x:c r="G24" s="15" t="str">
        <x:v>NOT NULL</x:v>
      </x:c>
      <x:c r="H24" s="15"/>
      <x:c r="I24" s="15" t="str">
        <x:v>해당 날짜·객실유형의 판매 가능한 객실박 수다. physical_rooms - out_of_order_rooms - house_use_rooms로 계산되며 OCC·RevPAR의 분모로 사용한다.</x:v>
      </x:c>
      <x:c r="J24" s="15"/>
      <x:c r="K24" s="15" t="str">
        <x:v>보안: SYNTHETIC</x:v>
      </x:c>
    </x:row>
    <x:row r="25" ht="44" customHeight="1">
      <x:c r="A25" s="15" t="n">
        <x:v>9</x:v>
      </x:c>
      <x:c r="B25" s="15" t="str">
        <x:v>data_period_status</x:v>
      </x:c>
      <x:c r="C25" s="15" t="str">
        <x:v>기간 상태</x:v>
      </x:c>
      <x:c r="D25" s="15" t="str">
        <x:v>varchar</x:v>
      </x:c>
      <x:c r="E25" s="15" t="str">
        <x:v>32</x:v>
      </x:c>
      <x:c r="F25" s="15"/>
      <x:c r="G25" s="15" t="str">
        <x:v>NOT NULL</x:v>
      </x:c>
      <x:c r="H25" s="15"/>
      <x:c r="I25" s="1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25" s="15" t="str">
        <x:v>기준 테이블 | hotel_datahub_app.reference.calendar_daily.data_period_status</x:v>
      </x:c>
      <x:c r="K25" s="15" t="str">
        <x:v>보안: POLICY</x:v>
      </x:c>
    </x:row>
    <x:row r="26" ht="44" customHeight="1">
      <x:c r="A26" s="15" t="n">
        <x:v>10</x:v>
      </x:c>
      <x:c r="B26" s="15" t="str">
        <x:v>is_forecast</x:v>
      </x:c>
      <x:c r="C26" s="15" t="str">
        <x:v>전망 여부</x:v>
      </x:c>
      <x:c r="D26" s="15" t="str">
        <x:v>boolean</x:v>
      </x:c>
      <x:c r="E26" s="15"/>
      <x:c r="F26" s="15"/>
      <x:c r="G26" s="15" t="str">
        <x:v>NOT NULL</x:v>
      </x:c>
      <x:c r="H26" s="15"/>
      <x:c r="I26" s="15" t="str">
        <x:v>해당 행을 실제·유사 실적이 아닌 미래 전망 시나리오로 취급할지 나타낸다. 2026-08-16 이후 FORECAST_SCENARIO만 true/1이며 실제 실적 기본 조회에서는 제외한다.</x:v>
      </x:c>
      <x:c r="J26" s="15" t="str">
        <x:v>기준 테이블 | hotel_datahub_app.reference.calendar_daily.is_forecast</x:v>
      </x:c>
      <x:c r="K26" s="15" t="str">
        <x:v>보안: POLICY</x:v>
      </x:c>
    </x:row>
    <x:row r="27" ht="44" customHeight="1">
      <x:c r="A27" s="15" t="n">
        <x:v>11</x:v>
      </x:c>
      <x:c r="B27" s="15" t="str">
        <x:v>is_synthetic</x:v>
      </x:c>
      <x:c r="C27" s="15" t="str">
        <x:v>합성 여부</x:v>
      </x:c>
      <x:c r="D27" s="15" t="str">
        <x:v>boolean</x:v>
      </x:c>
      <x:c r="E27" s="15"/>
      <x:c r="F27" s="15"/>
      <x:c r="G27" s="15" t="str">
        <x:v>NOT NULL</x:v>
      </x:c>
      <x:c r="H27" s="15"/>
      <x:c r="I27" s="15" t="str">
        <x:v>실제 고객·운영 원천이 아닌 프로젝트 생성 합성 데이터임을 표시한다. 현재 source fixture에서는 항상 true/1이며 실제 데이터와 혼합 저장하지 않는다.</x:v>
      </x:c>
      <x:c r="J27" s="15" t="str">
        <x:v>합성 데이터 정책 | source-fixture-v5.0에서 true/1 고정</x:v>
      </x:c>
      <x:c r="K27" s="15" t="str">
        <x:v>보안: POLICY</x:v>
      </x:c>
    </x:row>
    <x:row r="28" ht="44" customHeight="1">
      <x:c r="A28" s="15" t="n">
        <x:v>12</x:v>
      </x:c>
      <x:c r="B28" s="15" t="str">
        <x:v>source_updated_at</x:v>
      </x:c>
      <x:c r="C28" s="15" t="str">
        <x:v>원천 수정시각</x:v>
      </x:c>
      <x:c r="D28" s="15" t="str">
        <x:v>timestamptz</x:v>
      </x:c>
      <x:c r="E28" s="15"/>
      <x:c r="F28" s="15"/>
      <x:c r="G28" s="15" t="str">
        <x:v>NOT NULL</x:v>
      </x:c>
      <x:c r="H28" s="15"/>
      <x:c r="I28" s="15" t="str">
        <x:v>원천 수정시각을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8" s="15" t="str">
        <x:v>Point-in-time 기준 | source watermark; 조회 시 source_updated_at &lt;= :as_of_utc</x:v>
      </x:c>
      <x:c r="K28" s="15" t="str">
        <x:v>보안: SYNTHETIC</x:v>
      </x:c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>
      <x:c r="A30" s="58" t="str">
        <x:v>no</x:v>
      </x:c>
      <x:c r="B30" s="58" t="str">
        <x:v>Index name</x:v>
      </x:c>
      <x:c r="C30" s="58"/>
      <x:c r="D30" s="58" t="str">
        <x:v>Index type</x:v>
      </x:c>
      <x:c r="E30" s="58"/>
      <x:c r="F30" s="58" t="str">
        <x:v>Unique</x:v>
      </x:c>
      <x:c r="G30" s="58"/>
      <x:c r="H30" s="58" t="str">
        <x:v>구성 컬럼</x:v>
      </x:c>
      <x:c r="I30" s="58"/>
      <x:c r="J30" s="58"/>
      <x:c r="K30" s="58"/>
    </x:row>
    <x:row r="31">
      <x:c r="A31" s="15" t="n">
        <x:v>1</x:v>
      </x:c>
      <x:c r="B31" s="15" t="str">
        <x:v>PK_pms_room_inventory_daily</x:v>
      </x:c>
      <x:c r="C31" s="15"/>
      <x:c r="D31" s="15" t="str">
        <x:v>PK</x:v>
      </x:c>
      <x:c r="E31" s="15"/>
      <x:c r="F31" s="15" t="str">
        <x:v>Unique</x:v>
      </x:c>
      <x:c r="G31" s="15"/>
      <x:c r="H31" s="15" t="str">
        <x:v>inventory_id</x:v>
      </x:c>
      <x:c r="I31" s="15"/>
      <x:c r="J31" s="15"/>
      <x:c r="K31" s="15"/>
    </x:row>
    <x:row r="32">
      <x:c r="A32" s="15" t="n">
        <x:v>2</x:v>
      </x:c>
      <x:c r="B32" s="15" t="str">
        <x:v>UQ_pms_inventory_date_type</x:v>
      </x:c>
      <x:c r="C32" s="15"/>
      <x:c r="D32" s="15" t="str">
        <x:v>BTREE</x:v>
      </x:c>
      <x:c r="E32" s="15"/>
      <x:c r="F32" s="15" t="str">
        <x:v>Unique</x:v>
      </x:c>
      <x:c r="G32" s="15"/>
      <x:c r="H32" s="15" t="str">
        <x:v>business_date, room_type_code</x:v>
      </x:c>
      <x:c r="I32" s="15"/>
      <x:c r="J32" s="15"/>
      <x:c r="K32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0:C30"/>
    <x:mergeCell ref="D30:E30"/>
    <x:mergeCell ref="F30:G30"/>
    <x:mergeCell ref="H30:K30"/>
    <x:mergeCell ref="B31:C31"/>
    <x:mergeCell ref="D31:E31"/>
    <x:mergeCell ref="F31:G31"/>
    <x:mergeCell ref="H31:K31"/>
    <x:mergeCell ref="B32:C32"/>
    <x:mergeCell ref="D32:E32"/>
    <x:mergeCell ref="F32:G32"/>
    <x:mergeCell ref="H32:K32"/>
  </x:mergeCells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hotel_pms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public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pms_reservations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객실 예약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고객별 객실 예약의 생성·취소·체크인 전 상태와 계약 금액 구성요소를 저장한다. 예정 투숙기간, 객실·요금제·시장·채널, 인원, 할인·수수료·환불·취소수수료를 한 예약 grain으로 관리한다.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합성 적재 기준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property_id</x:v>
      </x:c>
      <x:c r="C17" s="15" t="str">
        <x:v>호텔 속성 ID</x:v>
      </x:c>
      <x:c r="D17" s="15" t="str">
        <x:v>varchar</x:v>
      </x:c>
      <x:c r="E17" s="15" t="str">
        <x:v>64</x:v>
      </x:c>
      <x:c r="F17" s="15"/>
      <x:c r="G17" s="15" t="str">
        <x:v>NOT NULL</x:v>
      </x:c>
      <x:c r="H17" s="15"/>
      <x:c r="I17" s="15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15" t="str">
        <x:v>공통 조인 기준 | fixture property_id=SYNTHETIC_HOTEL_001 | 5개 source에서 동일 값 사용</x:v>
      </x:c>
      <x:c r="K17" s="15" t="str">
        <x:v>보안: POLICY</x:v>
      </x:c>
    </x:row>
    <x:row r="18" ht="44" customHeight="1">
      <x:c r="A18" s="15" t="n">
        <x:v>2</x:v>
      </x:c>
      <x:c r="B18" s="15" t="str">
        <x:v>reservation_id</x:v>
      </x:c>
      <x:c r="C18" s="15" t="str">
        <x:v>예약 ID</x:v>
      </x:c>
      <x:c r="D18" s="15" t="str">
        <x:v>varchar</x:v>
      </x:c>
      <x:c r="E18" s="15" t="str">
        <x:v>36</x:v>
      </x:c>
      <x:c r="F18" s="15" t="str">
        <x:v>PK</x:v>
      </x:c>
      <x:c r="G18" s="15" t="str">
        <x:v>NOT NULL</x:v>
      </x:c>
      <x:c r="H18" s="15"/>
      <x:c r="I18" s="15" t="str">
        <x:v>객실 예약의 한 행을 안정적으로 식별하는 기본키다. 다른 이력·분석·참조에서 동일 레코드를 추적할 수 있도록 생성 후 재사용하거나 변경하지 않는다.</x:v>
      </x:c>
      <x:c r="J18" s="15" t="str">
        <x:v>참조됨 | hotel_pms.public.pms_stays.reservation_id</x:v>
      </x:c>
      <x:c r="K18" s="15" t="str">
        <x:v>보안: SYNTHETIC</x:v>
      </x:c>
    </x:row>
    <x:row r="19" ht="44" customHeight="1">
      <x:c r="A19" s="15" t="n">
        <x:v>3</x:v>
      </x:c>
      <x:c r="B19" s="15" t="str">
        <x:v>guest_id</x:v>
      </x:c>
      <x:c r="C19" s="15" t="str">
        <x:v>PMS 고객 ID</x:v>
      </x:c>
      <x:c r="D19" s="15" t="str">
        <x:v>varchar</x:v>
      </x:c>
      <x:c r="E19" s="15" t="str">
        <x:v>36</x:v>
      </x:c>
      <x:c r="F19" s="15" t="str">
        <x:v>FK</x:v>
      </x:c>
      <x:c r="G19" s="15" t="str">
        <x:v>NOT NULL</x:v>
      </x:c>
      <x:c r="H19" s="15"/>
      <x:c r="I19" s="15" t="str">
        <x:v>PMS 고객 ID를 hotel_pms.public.pms_guests.guest_id와 연결하는 물리 외래키다. 반드시 존재하는 상위 행을 참조해야 한다.</x:v>
      </x:c>
      <x:c r="J19" s="15" t="str">
        <x:v>물리 FK | hotel_pms.public.pms_guests.guest_id</x:v>
      </x:c>
      <x:c r="K19" s="15" t="str">
        <x:v>보안: SYNTHETIC</x:v>
      </x:c>
    </x:row>
    <x:row r="20" ht="44" customHeight="1">
      <x:c r="A20" s="15" t="n">
        <x:v>4</x:v>
      </x:c>
      <x:c r="B20" s="15" t="str">
        <x:v>booked_at</x:v>
      </x:c>
      <x:c r="C20" s="15" t="str">
        <x:v>예약 시각</x:v>
      </x:c>
      <x:c r="D20" s="15" t="str">
        <x:v>timestamptz</x:v>
      </x:c>
      <x:c r="E20" s="15"/>
      <x:c r="F20" s="15"/>
      <x:c r="G20" s="15" t="str">
        <x:v>NOT NULL</x:v>
      </x:c>
      <x:c r="H20" s="15"/>
      <x:c r="I20" s="15" t="str">
        <x:v>예약이 최초 생성된 업무 시각이다. 체크인 예정일보다 늦을 수 없도록 데이터 생성 시 검증하며 PostgreSQL timestamptz로 저장한다.</x:v>
      </x:c>
      <x:c r="J20" s="15"/>
      <x:c r="K20" s="15" t="str">
        <x:v>보안: SYNTHETIC</x:v>
      </x:c>
    </x:row>
    <x:row r="21" ht="44" customHeight="1">
      <x:c r="A21" s="15" t="n">
        <x:v>5</x:v>
      </x:c>
      <x:c r="B21" s="15" t="str">
        <x:v>checkin_date</x:v>
      </x:c>
      <x:c r="C21" s="15" t="str">
        <x:v>체크인 예정일</x:v>
      </x:c>
      <x:c r="D21" s="15" t="str">
        <x:v>date</x:v>
      </x:c>
      <x:c r="E21" s="15"/>
      <x:c r="F21" s="15"/>
      <x:c r="G21" s="15" t="str">
        <x:v>NOT NULL</x:v>
      </x:c>
      <x:c r="H21" s="15"/>
      <x:c r="I21" s="15" t="str">
        <x:v>예약상 예정 체크인 영업일자다. checkout_date보다 빨라야 하며 실제 입실 시각은 pms_stays.actual_checkin_at에서 관리한다.</x:v>
      </x:c>
      <x:c r="J21" s="15"/>
      <x:c r="K21" s="15" t="str">
        <x:v>보안: SYNTHETIC</x:v>
      </x:c>
    </x:row>
    <x:row r="22" ht="44" customHeight="1">
      <x:c r="A22" s="15" t="n">
        <x:v>6</x:v>
      </x:c>
      <x:c r="B22" s="15" t="str">
        <x:v>checkout_date</x:v>
      </x:c>
      <x:c r="C22" s="15" t="str">
        <x:v>체크아웃 예정일</x:v>
      </x:c>
      <x:c r="D22" s="15" t="str">
        <x:v>date</x:v>
      </x:c>
      <x:c r="E22" s="15"/>
      <x:c r="F22" s="15"/>
      <x:c r="G22" s="15" t="str">
        <x:v>NOT NULL</x:v>
      </x:c>
      <x:c r="H22" s="15"/>
      <x:c r="I22" s="15" t="str">
        <x:v>예약상 예정 체크아웃 영업일자다. checkin_date보다 반드시 늦어야 하며 숙박일수 계산에서 종료일은 포함하지 않는다.</x:v>
      </x:c>
      <x:c r="J22" s="15"/>
      <x:c r="K22" s="15" t="str">
        <x:v>보안: SYNTHETIC</x:v>
      </x:c>
    </x:row>
    <x:row r="23" ht="44" customHeight="1">
      <x:c r="A23" s="15" t="n">
        <x:v>7</x:v>
      </x:c>
      <x:c r="B23" s="15" t="str">
        <x:v>room_type_code</x:v>
      </x:c>
      <x:c r="C23" s="15" t="str">
        <x:v>객실 유형</x:v>
      </x:c>
      <x:c r="D23" s="15" t="str">
        <x:v>varchar</x:v>
      </x:c>
      <x:c r="E23" s="15" t="str">
        <x:v>32</x:v>
      </x:c>
      <x:c r="F23" s="15"/>
      <x:c r="G23" s="15" t="str">
        <x:v>NOT NULL</x:v>
      </x:c>
      <x:c r="H23" s="15"/>
      <x:c r="I23" s="15" t="str">
        <x:v>객실 유형: 자유서술이 아닌 승인 코드로 저장한다. 자유서술 대신 승인된 코드 도메인을 사용해 source 간 집계와 필터 조건을 일관되게 유지한다.</x:v>
      </x:c>
      <x:c r="J23" s="15" t="str">
        <x:v>논리 코드 도메인 | pms_room_inventory_daily.room_type_code</x:v>
      </x:c>
      <x:c r="K23" s="15" t="str">
        <x:v>보안: SYNTHETIC</x:v>
      </x:c>
    </x:row>
    <x:row r="24" ht="44" customHeight="1">
      <x:c r="A24" s="15" t="n">
        <x:v>8</x:v>
      </x:c>
      <x:c r="B24" s="15" t="str">
        <x:v>rate_plan_code</x:v>
      </x:c>
      <x:c r="C24" s="15" t="str">
        <x:v>요금제</x:v>
      </x:c>
      <x:c r="D24" s="15" t="str">
        <x:v>varchar</x:v>
      </x:c>
      <x:c r="E24" s="15" t="str">
        <x:v>32</x:v>
      </x:c>
      <x:c r="F24" s="15"/>
      <x:c r="G24" s="15" t="str">
        <x:v>NOT NULL</x:v>
      </x:c>
      <x:c r="H24" s="15"/>
      <x:c r="I24" s="15" t="str">
        <x:v>예약에 적용된 요금제 코드다. 환불·조식 포함 등 상세 규칙은 별도 코드 명세에서 관리하고 이 테이블에는 안정 코드만 저장한다.</x:v>
      </x:c>
      <x:c r="J24" s="15"/>
      <x:c r="K24" s="15" t="str">
        <x:v>보안: SYNTHETIC</x:v>
      </x:c>
    </x:row>
    <x:row r="25" ht="44" customHeight="1">
      <x:c r="A25" s="15" t="n">
        <x:v>9</x:v>
      </x:c>
      <x:c r="B25" s="15" t="str">
        <x:v>market_segment</x:v>
      </x:c>
      <x:c r="C25" s="15" t="str">
        <x:v>시장 세그먼트</x:v>
      </x:c>
      <x:c r="D25" s="15" t="str">
        <x:v>varchar</x:v>
      </x:c>
      <x:c r="E25" s="15" t="str">
        <x:v>24</x:v>
      </x:c>
      <x:c r="F25" s="15"/>
      <x:c r="G25" s="15" t="str">
        <x:v>NOT NULL</x:v>
      </x:c>
      <x:c r="H25" s="15"/>
      <x:c r="I25" s="15" t="str">
        <x:v>예약 수요의 시장 세그먼트다. LEISURE, BUSINESS, GROUP 등 승인 코드만 사용하며 고객 개인속성이 아니라 예약 분석 범주다.</x:v>
      </x:c>
      <x:c r="J25" s="15" t="str">
        <x:v>코드 기준 | LEISURE, BUSINESS, GROUP</x:v>
      </x:c>
      <x:c r="K25" s="15" t="str">
        <x:v>보안: SYNTHETIC</x:v>
      </x:c>
    </x:row>
    <x:row r="26" ht="44" customHeight="1">
      <x:c r="A26" s="15" t="n">
        <x:v>10</x:v>
      </x:c>
      <x:c r="B26" s="15" t="str">
        <x:v>booking_channel</x:v>
      </x:c>
      <x:c r="C26" s="15" t="str">
        <x:v>예약 채널</x:v>
      </x:c>
      <x:c r="D26" s="15" t="str">
        <x:v>varchar</x:v>
      </x:c>
      <x:c r="E26" s="15" t="str">
        <x:v>24</x:v>
      </x:c>
      <x:c r="F26" s="15"/>
      <x:c r="G26" s="15" t="str">
        <x:v>NOT NULL</x:v>
      </x:c>
      <x:c r="H26" s="15"/>
      <x:c r="I26" s="15" t="str">
        <x:v>예약이 유입된 판매 채널 코드다. DIRECT, OTA, CORPORATE 등을 사용하며 commission_amount 분석과 채널별 성과 비교에 활용한다.</x:v>
      </x:c>
      <x:c r="J26" s="15" t="str">
        <x:v>코드 기준 | DIRECT, OTA, CORPORATE</x:v>
      </x:c>
      <x:c r="K26" s="15" t="str">
        <x:v>보안: SYNTHETIC</x:v>
      </x:c>
    </x:row>
    <x:row r="27" ht="44" customHeight="1">
      <x:c r="A27" s="15" t="n">
        <x:v>11</x:v>
      </x:c>
      <x:c r="B27" s="15" t="str">
        <x:v>reservation_status</x:v>
      </x:c>
      <x:c r="C27" s="15" t="str">
        <x:v>예약 상태</x:v>
      </x:c>
      <x:c r="D27" s="15" t="str">
        <x:v>varchar</x:v>
      </x:c>
      <x:c r="E27" s="15" t="str">
        <x:v>20</x:v>
      </x:c>
      <x:c r="F27" s="15"/>
      <x:c r="G27" s="15" t="str">
        <x:v>NOT NULL</x:v>
      </x:c>
      <x:c r="H27" s="15"/>
      <x:c r="I27" s="15" t="str">
        <x:v>예약의 현재 업무 상태다. BOOKED, CANCELLED, CHECKED_IN, CHECKED_OUT, NO_SHOW 중 하나이며 취소·투숙 시각 및 금액 컬럼과 상태가 일치해야 한다.</x:v>
      </x:c>
      <x:c r="J27" s="15" t="str">
        <x:v>코드 기준 | BOOKED, CANCELLED, CHECKED_IN, CHECKED_OUT, NO_SHOW</x:v>
      </x:c>
      <x:c r="K27" s="15" t="str">
        <x:v>보안: SYNTHETIC</x:v>
      </x:c>
    </x:row>
    <x:row r="28" ht="44" customHeight="1">
      <x:c r="A28" s="15" t="n">
        <x:v>12</x:v>
      </x:c>
      <x:c r="B28" s="15" t="str">
        <x:v>cancelled_at</x:v>
      </x:c>
      <x:c r="C28" s="15" t="str">
        <x:v>취소 시각</x:v>
      </x:c>
      <x:c r="D28" s="15" t="str">
        <x:v>timestamptz</x:v>
      </x:c>
      <x:c r="E28" s="15"/>
      <x:c r="F28" s="15"/>
      <x:c r="G28" s="15"/>
      <x:c r="H28" s="15"/>
      <x:c r="I28" s="15" t="str">
        <x:v>예약 취소가 확정된 시각이다. reservation_status=CANCELLED인 경우에만 값이 필요하며 booked_at보다 빠를 수 없다.</x:v>
      </x:c>
      <x:c r="J28" s="15"/>
      <x:c r="K28" s="15" t="str">
        <x:v>보안: SYNTHETIC</x:v>
      </x:c>
    </x:row>
    <x:row r="29" ht="44" customHeight="1">
      <x:c r="A29" s="15" t="n">
        <x:v>13</x:v>
      </x:c>
      <x:c r="B29" s="15" t="str">
        <x:v>cancellation_reason_code</x:v>
      </x:c>
      <x:c r="C29" s="15" t="str">
        <x:v>취소 사유 코드</x:v>
      </x:c>
      <x:c r="D29" s="15" t="str">
        <x:v>varchar</x:v>
      </x:c>
      <x:c r="E29" s="15" t="str">
        <x:v>32</x:v>
      </x:c>
      <x:c r="F29" s="15"/>
      <x:c r="G29" s="15"/>
      <x:c r="H29" s="15"/>
      <x:c r="I29" s="15" t="str">
        <x:v>예약 취소 사유의 비식별 업무 코드다. 자유서술 대신 코드만 저장하며 취소 상태가 아닌 행은 NULL로 둔다.</x:v>
      </x:c>
      <x:c r="J29" s="15"/>
      <x:c r="K29" s="15" t="str">
        <x:v>보안: SYNTHETIC</x:v>
      </x:c>
    </x:row>
    <x:row r="30" ht="44" customHeight="1">
      <x:c r="A30" s="15" t="n">
        <x:v>14</x:v>
      </x:c>
      <x:c r="B30" s="15" t="str">
        <x:v>adult_count</x:v>
      </x:c>
      <x:c r="C30" s="15" t="str">
        <x:v>성인 수</x:v>
      </x:c>
      <x:c r="D30" s="15" t="str">
        <x:v>integer</x:v>
      </x:c>
      <x:c r="E30" s="15"/>
      <x:c r="F30" s="15"/>
      <x:c r="G30" s="15" t="str">
        <x:v>NOT NULL</x:v>
      </x:c>
      <x:c r="H30" s="15"/>
      <x:c r="I30" s="15" t="str">
        <x:v>예약에 포함된 성인 인원 수다. 0 이상 정수이며 child_count와 합산한 예정 투숙 인원이 객실 수용 기준을 넘지 않도록 검증한다.</x:v>
      </x:c>
      <x:c r="J30" s="15"/>
      <x:c r="K30" s="15" t="str">
        <x:v>보안: SYNTHETIC</x:v>
      </x:c>
    </x:row>
    <x:row r="31" ht="44" customHeight="1">
      <x:c r="A31" s="15" t="n">
        <x:v>15</x:v>
      </x:c>
      <x:c r="B31" s="15" t="str">
        <x:v>child_count</x:v>
      </x:c>
      <x:c r="C31" s="15" t="str">
        <x:v>아동 수</x:v>
      </x:c>
      <x:c r="D31" s="15" t="str">
        <x:v>integer</x:v>
      </x:c>
      <x:c r="E31" s="15"/>
      <x:c r="F31" s="15"/>
      <x:c r="G31" s="15" t="str">
        <x:v>NOT NULL</x:v>
      </x:c>
      <x:c r="H31" s="15"/>
      <x:c r="I31" s="15" t="str">
        <x:v>예약에 포함된 아동 인원 수다. 0 이상 정수이며 adult_count와 합산해 예정 투숙 인원 및 요금 규칙에 사용한다.</x:v>
      </x:c>
      <x:c r="J31" s="15"/>
      <x:c r="K31" s="15" t="str">
        <x:v>보안: SYNTHETIC</x:v>
      </x:c>
    </x:row>
    <x:row r="32" ht="44" customHeight="1">
      <x:c r="A32" s="15" t="n">
        <x:v>16</x:v>
      </x:c>
      <x:c r="B32" s="15" t="str">
        <x:v>quoted_room_rate</x:v>
      </x:c>
      <x:c r="C32" s="15" t="str">
        <x:v>제시 객실가</x:v>
      </x:c>
      <x:c r="D32" s="15" t="str">
        <x:v>numeric</x:v>
      </x:c>
      <x:c r="E32" s="15" t="str">
        <x:v>14,2</x:v>
      </x:c>
      <x:c r="F32" s="15"/>
      <x:c r="G32" s="15" t="str">
        <x:v>NOT NULL</x:v>
      </x:c>
      <x:c r="H32" s="15"/>
      <x:c r="I32" s="15" t="str">
        <x:v>예약 시 고객에게 제시한 1박 기준 객실 요금이다. KRW 금액이며 세부 할인·수수료 적용 전 기준가로 사용한다.</x:v>
      </x:c>
      <x:c r="J32" s="15"/>
      <x:c r="K32" s="15" t="str">
        <x:v>보안: SYNTHETIC</x:v>
      </x:c>
    </x:row>
    <x:row r="33" ht="44" customHeight="1">
      <x:c r="A33" s="15" t="n">
        <x:v>17</x:v>
      </x:c>
      <x:c r="B33" s="15" t="str">
        <x:v>gross_room_amount</x:v>
      </x:c>
      <x:c r="C33" s="15" t="str">
        <x:v>총 객실 계약액</x:v>
      </x:c>
      <x:c r="D33" s="15" t="str">
        <x:v>numeric</x:v>
      </x:c>
      <x:c r="E33" s="15" t="str">
        <x:v>14,2</x:v>
      </x:c>
      <x:c r="F33" s="15"/>
      <x:c r="G33" s="15" t="str">
        <x:v>NOT NULL</x:v>
      </x:c>
      <x:c r="H33" s="15"/>
      <x:c r="I33" s="15" t="str">
        <x:v>할인·수수료·환불 적용 전 전체 숙박기간의 객실 계약 총액이다. 기본적으로 quoted_room_rate × 예정 숙박일수로 산출한다.</x:v>
      </x:c>
      <x:c r="J33" s="15"/>
      <x:c r="K33" s="15" t="str">
        <x:v>보안: INTERNAL</x:v>
      </x:c>
    </x:row>
    <x:row r="34" ht="44" customHeight="1">
      <x:c r="A34" s="15" t="n">
        <x:v>18</x:v>
      </x:c>
      <x:c r="B34" s="15" t="str">
        <x:v>discount_amount</x:v>
      </x:c>
      <x:c r="C34" s="15" t="str">
        <x:v>할인 금액</x:v>
      </x:c>
      <x:c r="D34" s="15" t="str">
        <x:v>numeric</x:v>
      </x:c>
      <x:c r="E34" s="15" t="str">
        <x:v>14,2</x:v>
      </x:c>
      <x:c r="F34" s="15"/>
      <x:c r="G34" s="15" t="str">
        <x:v>NOT NULL</x:v>
      </x:c>
      <x:c r="H34" s="15"/>
      <x:c r="I34" s="15" t="str">
        <x:v>할인 금액: 해당 업무 단위에서 발생한 원화 금액 원자값이다. 취소·환불·환입·무효 상태를 구분한 뒤 집계하고 소수점 오차가 없도록 고정소수점 타입을 사용한다. 음수는 허용하지 않는다.</x:v>
      </x:c>
      <x:c r="J34" s="15"/>
      <x:c r="K34" s="15" t="str">
        <x:v>보안: SYNTHETIC</x:v>
      </x:c>
    </x:row>
    <x:row r="35" ht="44" customHeight="1">
      <x:c r="A35" s="15" t="n">
        <x:v>19</x:v>
      </x:c>
      <x:c r="B35" s="15" t="str">
        <x:v>commission_amount</x:v>
      </x:c>
      <x:c r="C35" s="15" t="str">
        <x:v>채널 수수료</x:v>
      </x:c>
      <x:c r="D35" s="15" t="str">
        <x:v>numeric</x:v>
      </x:c>
      <x:c r="E35" s="15" t="str">
        <x:v>14,2</x:v>
      </x:c>
      <x:c r="F35" s="15"/>
      <x:c r="G35" s="15" t="str">
        <x:v>NOT NULL</x:v>
      </x:c>
      <x:c r="H35" s="15"/>
      <x:c r="I35" s="15" t="str">
        <x:v>채널 수수료: 해당 업무 단위에서 발생한 원화 금액 원자값이다. 취소·환불·환입·무효 상태를 구분한 뒤 집계하고 소수점 오차가 없도록 고정소수점 타입을 사용한다. 음수는 허용하지 않는다.</x:v>
      </x:c>
      <x:c r="J35" s="15"/>
      <x:c r="K35" s="15" t="str">
        <x:v>보안: SYNTHETIC</x:v>
      </x:c>
    </x:row>
    <x:row r="36" ht="44" customHeight="1">
      <x:c r="A36" s="15" t="n">
        <x:v>20</x:v>
      </x:c>
      <x:c r="B36" s="15" t="str">
        <x:v>booked_amount</x:v>
      </x:c>
      <x:c r="C36" s="15" t="str">
        <x:v>예약 금액</x:v>
      </x:c>
      <x:c r="D36" s="15" t="str">
        <x:v>numeric</x:v>
      </x:c>
      <x:c r="E36" s="15" t="str">
        <x:v>14,2</x:v>
      </x:c>
      <x:c r="F36" s="15"/>
      <x:c r="G36" s="15" t="str">
        <x:v>NOT NULL</x:v>
      </x:c>
      <x:c r="H36" s="15"/>
      <x:c r="I36" s="15" t="str">
        <x:v>예약 확정 시점의 저장용 계약 금액이다. gross, discount, commission, refund, cancellation fee 구성요소와 별도로 보존해 금액 정합성을 검증한다.</x:v>
      </x:c>
      <x:c r="J36" s="15"/>
      <x:c r="K36" s="15" t="str">
        <x:v>보안: SYNTHETIC</x:v>
      </x:c>
    </x:row>
    <x:row r="37" ht="44" customHeight="1">
      <x:c r="A37" s="15" t="n">
        <x:v>21</x:v>
      </x:c>
      <x:c r="B37" s="15" t="str">
        <x:v>refund_amount</x:v>
      </x:c>
      <x:c r="C37" s="15" t="str">
        <x:v>예약 환불액</x:v>
      </x:c>
      <x:c r="D37" s="15" t="str">
        <x:v>numeric</x:v>
      </x:c>
      <x:c r="E37" s="15" t="str">
        <x:v>14,2</x:v>
      </x:c>
      <x:c r="F37" s="15"/>
      <x:c r="G37" s="15" t="str">
        <x:v>NOT NULL</x:v>
      </x:c>
      <x:c r="H37" s="15"/>
      <x:c r="I37" s="15" t="str">
        <x:v>예약 취소·변경으로 고객에게 반환한 금액이다. 0 이상이며 취소수수료와 구분해 저장하고 gross 금액을 초과하지 않도록 검증한다.</x:v>
      </x:c>
      <x:c r="J37" s="15"/>
      <x:c r="K37" s="15" t="str">
        <x:v>보안: INTERNAL</x:v>
      </x:c>
    </x:row>
    <x:row r="38" ht="44" customHeight="1">
      <x:c r="A38" s="15" t="n">
        <x:v>22</x:v>
      </x:c>
      <x:c r="B38" s="15" t="str">
        <x:v>cancellation_fee</x:v>
      </x:c>
      <x:c r="C38" s="15" t="str">
        <x:v>취소 수수료</x:v>
      </x:c>
      <x:c r="D38" s="15" t="str">
        <x:v>numeric</x:v>
      </x:c>
      <x:c r="E38" s="15" t="str">
        <x:v>14,2</x:v>
      </x:c>
      <x:c r="F38" s="15"/>
      <x:c r="G38" s="15" t="str">
        <x:v>NOT NULL</x:v>
      </x:c>
      <x:c r="H38" s="15"/>
      <x:c r="I38" s="15" t="str">
        <x:v>취소 시 반환하지 않고 유지한 수수료 금액이다. reservation_status=CANCELLED인 행에서만 의미가 있으며 refund_amount와 별도 집계한다.</x:v>
      </x:c>
      <x:c r="J38" s="15"/>
      <x:c r="K38" s="15" t="str">
        <x:v>보안: INTERNAL</x:v>
      </x:c>
    </x:row>
    <x:row r="39" ht="44" customHeight="1">
      <x:c r="A39" s="15" t="n">
        <x:v>23</x:v>
      </x:c>
      <x:c r="B39" s="15" t="str">
        <x:v>data_period_status</x:v>
      </x:c>
      <x:c r="C39" s="15" t="str">
        <x:v>기간 상태</x:v>
      </x:c>
      <x:c r="D39" s="15" t="str">
        <x:v>varchar</x:v>
      </x:c>
      <x:c r="E39" s="15" t="str">
        <x:v>32</x:v>
      </x:c>
      <x:c r="F39" s="15"/>
      <x:c r="G39" s="15" t="str">
        <x:v>NOT NULL</x:v>
      </x:c>
      <x:c r="H39" s="15"/>
      <x:c r="I39" s="1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39" s="15" t="str">
        <x:v>기준 테이블 | hotel_datahub_app.reference.calendar_daily.data_period_status</x:v>
      </x:c>
      <x:c r="K39" s="15" t="str">
        <x:v>보안: POLICY</x:v>
      </x:c>
    </x:row>
    <x:row r="40" ht="44" customHeight="1">
      <x:c r="A40" s="15" t="n">
        <x:v>24</x:v>
      </x:c>
      <x:c r="B40" s="15" t="str">
        <x:v>is_forecast</x:v>
      </x:c>
      <x:c r="C40" s="15" t="str">
        <x:v>전망 여부</x:v>
      </x:c>
      <x:c r="D40" s="15" t="str">
        <x:v>boolean</x:v>
      </x:c>
      <x:c r="E40" s="15"/>
      <x:c r="F40" s="15"/>
      <x:c r="G40" s="15" t="str">
        <x:v>NOT NULL</x:v>
      </x:c>
      <x:c r="H40" s="15"/>
      <x:c r="I40" s="15" t="str">
        <x:v>해당 행을 실제·유사 실적이 아닌 미래 전망 시나리오로 취급할지 나타낸다. 2026-08-16 이후 FORECAST_SCENARIO만 true/1이며 실제 실적 기본 조회에서는 제외한다.</x:v>
      </x:c>
      <x:c r="J40" s="15" t="str">
        <x:v>기준 테이블 | hotel_datahub_app.reference.calendar_daily.is_forecast</x:v>
      </x:c>
      <x:c r="K40" s="15" t="str">
        <x:v>보안: POLICY</x:v>
      </x:c>
    </x:row>
    <x:row r="41" ht="44" customHeight="1">
      <x:c r="A41" s="15" t="n">
        <x:v>25</x:v>
      </x:c>
      <x:c r="B41" s="15" t="str">
        <x:v>is_synthetic</x:v>
      </x:c>
      <x:c r="C41" s="15" t="str">
        <x:v>합성 여부</x:v>
      </x:c>
      <x:c r="D41" s="15" t="str">
        <x:v>boolean</x:v>
      </x:c>
      <x:c r="E41" s="15"/>
      <x:c r="F41" s="15"/>
      <x:c r="G41" s="15" t="str">
        <x:v>NOT NULL</x:v>
      </x:c>
      <x:c r="H41" s="15"/>
      <x:c r="I41" s="15" t="str">
        <x:v>실제 고객·운영 원천이 아닌 프로젝트 생성 합성 데이터임을 표시한다. 현재 source fixture에서는 항상 true/1이며 실제 데이터와 혼합 저장하지 않는다.</x:v>
      </x:c>
      <x:c r="J41" s="15" t="str">
        <x:v>합성 데이터 정책 | source-fixture-v5.0에서 true/1 고정</x:v>
      </x:c>
      <x:c r="K41" s="15" t="str">
        <x:v>보안: POLICY</x:v>
      </x:c>
    </x:row>
    <x:row r="42" ht="44" customHeight="1">
      <x:c r="A42" s="15" t="n">
        <x:v>26</x:v>
      </x:c>
      <x:c r="B42" s="15" t="str">
        <x:v>source_updated_at</x:v>
      </x:c>
      <x:c r="C42" s="15" t="str">
        <x:v>원천 수정시각</x:v>
      </x:c>
      <x:c r="D42" s="15" t="str">
        <x:v>timestamptz</x:v>
      </x:c>
      <x:c r="E42" s="15"/>
      <x:c r="F42" s="15"/>
      <x:c r="G42" s="15" t="str">
        <x:v>NOT NULL</x:v>
      </x:c>
      <x:c r="H42" s="15"/>
      <x:c r="I42" s="15" t="str">
        <x:v>원천 수정시각을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42" s="15" t="str">
        <x:v>Point-in-time 기준 | source watermark; 조회 시 source_updated_at &lt;= :as_of_utc</x:v>
      </x:c>
      <x:c r="K42" s="15" t="str">
        <x:v>보안: SYNTHETIC</x:v>
      </x:c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</x:row>
    <x:row r="44">
      <x:c r="A44" s="58" t="str">
        <x:v>no</x:v>
      </x:c>
      <x:c r="B44" s="58" t="str">
        <x:v>Index name</x:v>
      </x:c>
      <x:c r="C44" s="58"/>
      <x:c r="D44" s="58" t="str">
        <x:v>Index type</x:v>
      </x:c>
      <x:c r="E44" s="58"/>
      <x:c r="F44" s="58" t="str">
        <x:v>Unique</x:v>
      </x:c>
      <x:c r="G44" s="58"/>
      <x:c r="H44" s="58" t="str">
        <x:v>구성 컬럼</x:v>
      </x:c>
      <x:c r="I44" s="58"/>
      <x:c r="J44" s="58"/>
      <x:c r="K44" s="58"/>
    </x:row>
    <x:row r="45">
      <x:c r="A45" s="15" t="n">
        <x:v>1</x:v>
      </x:c>
      <x:c r="B45" s="15" t="str">
        <x:v>PK_pms_reservations</x:v>
      </x:c>
      <x:c r="C45" s="15"/>
      <x:c r="D45" s="15" t="str">
        <x:v>PK</x:v>
      </x:c>
      <x:c r="E45" s="15"/>
      <x:c r="F45" s="15" t="str">
        <x:v>Unique</x:v>
      </x:c>
      <x:c r="G45" s="15"/>
      <x:c r="H45" s="15" t="str">
        <x:v>reservation_id</x:v>
      </x:c>
      <x:c r="I45" s="15"/>
      <x:c r="J45" s="15"/>
      <x:c r="K45" s="15"/>
    </x:row>
    <x:row r="46">
      <x:c r="A46" s="15" t="n">
        <x:v>2</x:v>
      </x:c>
      <x:c r="B46" s="15" t="str">
        <x:v>IX_pms_reservations_guest_id</x:v>
      </x:c>
      <x:c r="C46" s="15"/>
      <x:c r="D46" s="15" t="str">
        <x:v>BTREE</x:v>
      </x:c>
      <x:c r="E46" s="15"/>
      <x:c r="F46" s="15" t="str">
        <x:v>Non-Unique</x:v>
      </x:c>
      <x:c r="G46" s="15"/>
      <x:c r="H46" s="15" t="str">
        <x:v>guest_id</x:v>
      </x:c>
      <x:c r="I46" s="15"/>
      <x:c r="J46" s="15"/>
      <x:c r="K46" s="15"/>
    </x:row>
    <x:row r="47">
      <x:c r="A47" s="15" t="n">
        <x:v>3</x:v>
      </x:c>
      <x:c r="B47" s="15" t="str">
        <x:v>IX_pms_reservations_date_status</x:v>
      </x:c>
      <x:c r="C47" s="15"/>
      <x:c r="D47" s="15" t="str">
        <x:v>BTREE</x:v>
      </x:c>
      <x:c r="E47" s="15"/>
      <x:c r="F47" s="15" t="str">
        <x:v>Non-Unique</x:v>
      </x:c>
      <x:c r="G47" s="15"/>
      <x:c r="H47" s="15" t="str">
        <x:v>checkin_date, reservation_status</x:v>
      </x:c>
      <x:c r="I47" s="15"/>
      <x:c r="J47" s="15"/>
      <x:c r="K47" s="15"/>
    </x:row>
    <x:row r="48">
      <x:c r="A48" s="15" t="n">
        <x:v>4</x:v>
      </x:c>
      <x:c r="B48" s="15" t="str">
        <x:v>IX_pms_reservations_guest_date</x:v>
      </x:c>
      <x:c r="C48" s="15"/>
      <x:c r="D48" s="15" t="str">
        <x:v>BTREE</x:v>
      </x:c>
      <x:c r="E48" s="15"/>
      <x:c r="F48" s="15" t="str">
        <x:v>Non-Unique</x:v>
      </x:c>
      <x:c r="G48" s="15"/>
      <x:c r="H48" s="15" t="str">
        <x:v>guest_id, checkin_date</x:v>
      </x:c>
      <x:c r="I48" s="15"/>
      <x:c r="J48" s="15"/>
      <x:c r="K48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44:C44"/>
    <x:mergeCell ref="D44:E44"/>
    <x:mergeCell ref="F44:G44"/>
    <x:mergeCell ref="H44:K44"/>
    <x:mergeCell ref="B45:C45"/>
    <x:mergeCell ref="D45:E45"/>
    <x:mergeCell ref="F45:G45"/>
    <x:mergeCell ref="H45:K45"/>
    <x:mergeCell ref="B46:C46"/>
    <x:mergeCell ref="D46:E46"/>
    <x:mergeCell ref="F46:G46"/>
    <x:mergeCell ref="H46:K46"/>
    <x:mergeCell ref="B47:C47"/>
    <x:mergeCell ref="D47:E47"/>
    <x:mergeCell ref="F47:G47"/>
    <x:mergeCell ref="H47:K47"/>
    <x:mergeCell ref="B48:C48"/>
    <x:mergeCell ref="D48:E48"/>
    <x:mergeCell ref="F48:G48"/>
    <x:mergeCell ref="H48:K48"/>
  </x:mergeCells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hotel_pms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public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pms_stays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객실 투숙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예약에서 실제 투숙으로 전환된 객실 이용 결과를 저장한다. 객실 단위, 실제 체크인·아웃, 점유 객실박·투숙 인원·객실 매출과 투숙 상태를 기록하며 완료 투숙이 객실 매출 KPI의 원천이 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합성 적재 기준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property_id</x:v>
      </x:c>
      <x:c r="C17" s="15" t="str">
        <x:v>호텔 속성 ID</x:v>
      </x:c>
      <x:c r="D17" s="15" t="str">
        <x:v>varchar</x:v>
      </x:c>
      <x:c r="E17" s="15" t="str">
        <x:v>64</x:v>
      </x:c>
      <x:c r="F17" s="15"/>
      <x:c r="G17" s="15" t="str">
        <x:v>NOT NULL</x:v>
      </x:c>
      <x:c r="H17" s="15"/>
      <x:c r="I17" s="15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15" t="str">
        <x:v>공통 조인 기준 | fixture property_id=SYNTHETIC_HOTEL_001 | 5개 source에서 동일 값 사용</x:v>
      </x:c>
      <x:c r="K17" s="15" t="str">
        <x:v>보안: POLICY</x:v>
      </x:c>
    </x:row>
    <x:row r="18" ht="44" customHeight="1">
      <x:c r="A18" s="15" t="n">
        <x:v>2</x:v>
      </x:c>
      <x:c r="B18" s="15" t="str">
        <x:v>stay_id</x:v>
      </x:c>
      <x:c r="C18" s="15" t="str">
        <x:v>투숙 ID</x:v>
      </x:c>
      <x:c r="D18" s="15" t="str">
        <x:v>varchar</x:v>
      </x:c>
      <x:c r="E18" s="15" t="str">
        <x:v>36</x:v>
      </x:c>
      <x:c r="F18" s="15" t="str">
        <x:v>PK</x:v>
      </x:c>
      <x:c r="G18" s="15" t="str">
        <x:v>NOT NULL</x:v>
      </x:c>
      <x:c r="H18" s="15"/>
      <x:c r="I18" s="15" t="str">
        <x:v>객실 투숙의 한 행을 안정적으로 식별하는 기본키다. 다른 이력·분석·참조에서 동일 레코드를 추적할 수 있도록 생성 후 재사용하거나 변경하지 않는다.</x:v>
      </x:c>
      <x:c r="J18" s="15"/>
      <x:c r="K18" s="15" t="str">
        <x:v>보안: SYNTHETIC</x:v>
      </x:c>
    </x:row>
    <x:row r="19" ht="44" customHeight="1">
      <x:c r="A19" s="15" t="n">
        <x:v>3</x:v>
      </x:c>
      <x:c r="B19" s="15" t="str">
        <x:v>reservation_id</x:v>
      </x:c>
      <x:c r="C19" s="15" t="str">
        <x:v>예약 ID</x:v>
      </x:c>
      <x:c r="D19" s="15" t="str">
        <x:v>varchar</x:v>
      </x:c>
      <x:c r="E19" s="15" t="str">
        <x:v>36</x:v>
      </x:c>
      <x:c r="F19" s="15" t="str">
        <x:v>FK</x:v>
      </x:c>
      <x:c r="G19" s="15" t="str">
        <x:v>NOT NULL</x:v>
      </x:c>
      <x:c r="H19" s="15"/>
      <x:c r="I19" s="15" t="str">
        <x:v>예약 ID를 hotel_pms.public.pms_reservations.reservation_id와 연결하는 물리 외래키다. 반드시 존재하는 상위 행을 참조해야 한다.</x:v>
      </x:c>
      <x:c r="J19" s="15" t="str">
        <x:v>물리 FK | hotel_pms.public.pms_reservations.reservation_id</x:v>
      </x:c>
      <x:c r="K19" s="15" t="str">
        <x:v>보안: SYNTHETIC</x:v>
      </x:c>
    </x:row>
    <x:row r="20" ht="44" customHeight="1">
      <x:c r="A20" s="15" t="n">
        <x:v>4</x:v>
      </x:c>
      <x:c r="B20" s="15" t="str">
        <x:v>guest_id</x:v>
      </x:c>
      <x:c r="C20" s="15" t="str">
        <x:v>PMS 고객 ID</x:v>
      </x:c>
      <x:c r="D20" s="15" t="str">
        <x:v>varchar</x:v>
      </x:c>
      <x:c r="E20" s="15" t="str">
        <x:v>36</x:v>
      </x:c>
      <x:c r="F20" s="15" t="str">
        <x:v>FK</x:v>
      </x:c>
      <x:c r="G20" s="15" t="str">
        <x:v>NOT NULL</x:v>
      </x:c>
      <x:c r="H20" s="15"/>
      <x:c r="I20" s="15" t="str">
        <x:v>PMS 고객 ID를 hotel_pms.public.pms_guests.guest_id와 연결하는 물리 외래키다. 반드시 존재하는 상위 행을 참조해야 한다.</x:v>
      </x:c>
      <x:c r="J20" s="15" t="str">
        <x:v>물리 FK | hotel_pms.public.pms_guests.guest_id</x:v>
      </x:c>
      <x:c r="K20" s="15" t="str">
        <x:v>보안: SYNTHETIC</x:v>
      </x:c>
    </x:row>
    <x:row r="21" ht="44" customHeight="1">
      <x:c r="A21" s="15" t="n">
        <x:v>5</x:v>
      </x:c>
      <x:c r="B21" s="15" t="str">
        <x:v>room_unit_code</x:v>
      </x:c>
      <x:c r="C21" s="15" t="str">
        <x:v>안정 객실 단위 코드</x:v>
      </x:c>
      <x:c r="D21" s="15" t="str">
        <x:v>varchar</x:v>
      </x:c>
      <x:c r="E21" s="15" t="str">
        <x:v>32</x:v>
      </x:c>
      <x:c r="F21" s="15"/>
      <x:c r="G21" s="15" t="str">
        <x:v>NOT NULL</x:v>
      </x:c>
      <x:c r="H21" s="15"/>
      <x:c r="I21" s="15" t="str">
        <x:v>실제 투숙에 배정된 객실 단위를 비식별 코드로 나타낸다. room_type_code와 고정 unit sequence를 결합하며 실제 호실 정보로 해석하지 않는다.</x:v>
      </x:c>
      <x:c r="J21" s="15" t="str">
        <x:v>논리 기준 | room_type_code + 고정 unit sequence; 별도 room master는 P0 미구현</x:v>
      </x:c>
      <x:c r="K21" s="15" t="str">
        <x:v>보안: INTERNAL</x:v>
      </x:c>
    </x:row>
    <x:row r="22" ht="44" customHeight="1">
      <x:c r="A22" s="15" t="n">
        <x:v>6</x:v>
      </x:c>
      <x:c r="B22" s="15" t="str">
        <x:v>actual_checkin_at</x:v>
      </x:c>
      <x:c r="C22" s="15" t="str">
        <x:v>실제 체크인</x:v>
      </x:c>
      <x:c r="D22" s="15" t="str">
        <x:v>timestamptz</x:v>
      </x:c>
      <x:c r="E22" s="15"/>
      <x:c r="F22" s="15"/>
      <x:c r="G22" s="15"/>
      <x:c r="H22" s="15"/>
      <x:c r="I22" s="15" t="str">
        <x:v>실제 입실 처리 시각이다. stay_status가 IN_HOUSE 또는 COMPLETED일 때 사용하며 actual_checkout_at보다 늦을 수 없다.</x:v>
      </x:c>
      <x:c r="J22" s="15"/>
      <x:c r="K22" s="15" t="str">
        <x:v>보안: SYNTHETIC</x:v>
      </x:c>
    </x:row>
    <x:row r="23" ht="44" customHeight="1">
      <x:c r="A23" s="15" t="n">
        <x:v>7</x:v>
      </x:c>
      <x:c r="B23" s="15" t="str">
        <x:v>actual_checkout_at</x:v>
      </x:c>
      <x:c r="C23" s="15" t="str">
        <x:v>실제 체크아웃</x:v>
      </x:c>
      <x:c r="D23" s="15" t="str">
        <x:v>timestamptz</x:v>
      </x:c>
      <x:c r="E23" s="15"/>
      <x:c r="F23" s="15"/>
      <x:c r="G23" s="15"/>
      <x:c r="H23" s="15"/>
      <x:c r="I23" s="15" t="str">
        <x:v>실제 퇴실 완료 시각이다. COMPLETED 상태에서 필요하며 actual_checkin_at 이후여야 한다.</x:v>
      </x:c>
      <x:c r="J23" s="15"/>
      <x:c r="K23" s="15" t="str">
        <x:v>보안: SYNTHETIC</x:v>
      </x:c>
    </x:row>
    <x:row r="24" ht="44" customHeight="1">
      <x:c r="A24" s="15" t="n">
        <x:v>8</x:v>
      </x:c>
      <x:c r="B24" s="15" t="str">
        <x:v>room_type_code</x:v>
      </x:c>
      <x:c r="C24" s="15" t="str">
        <x:v>객실 유형</x:v>
      </x:c>
      <x:c r="D24" s="15" t="str">
        <x:v>varchar</x:v>
      </x:c>
      <x:c r="E24" s="15" t="str">
        <x:v>32</x:v>
      </x:c>
      <x:c r="F24" s="15"/>
      <x:c r="G24" s="15" t="str">
        <x:v>NOT NULL</x:v>
      </x:c>
      <x:c r="H24" s="15"/>
      <x:c r="I24" s="15" t="str">
        <x:v>객실 유형: 자유서술이 아닌 승인 코드로 저장한다. 자유서술 대신 승인된 코드 도메인을 사용해 source 간 집계와 필터 조건을 일관되게 유지한다.</x:v>
      </x:c>
      <x:c r="J24" s="15" t="str">
        <x:v>논리 코드 도메인 | pms_room_inventory_daily.room_type_code</x:v>
      </x:c>
      <x:c r="K24" s="15" t="str">
        <x:v>보안: SYNTHETIC</x:v>
      </x:c>
    </x:row>
    <x:row r="25" ht="44" customHeight="1">
      <x:c r="A25" s="15" t="n">
        <x:v>9</x:v>
      </x:c>
      <x:c r="B25" s="15" t="str">
        <x:v>occupied_room_nights</x:v>
      </x:c>
      <x:c r="C25" s="15" t="str">
        <x:v>점유 객실박</x:v>
      </x:c>
      <x:c r="D25" s="15" t="str">
        <x:v>integer</x:v>
      </x:c>
      <x:c r="E25" s="15"/>
      <x:c r="F25" s="15"/>
      <x:c r="G25" s="15" t="str">
        <x:v>NOT NULL</x:v>
      </x:c>
      <x:c r="H25" s="15"/>
      <x:c r="I25" s="15" t="str">
        <x:v>해당 투숙이 차지한 객실박 수다. 0 이상 정수이며 완료 투숙의 actual check-in/out 기간과 일치하도록 검증한다.</x:v>
      </x:c>
      <x:c r="J25" s="15"/>
      <x:c r="K25" s="15" t="str">
        <x:v>보안: SYNTHETIC</x:v>
      </x:c>
    </x:row>
    <x:row r="26" ht="44" customHeight="1">
      <x:c r="A26" s="15" t="n">
        <x:v>10</x:v>
      </x:c>
      <x:c r="B26" s="15" t="str">
        <x:v>guest_count</x:v>
      </x:c>
      <x:c r="C26" s="15" t="str">
        <x:v>투숙 인원</x:v>
      </x:c>
      <x:c r="D26" s="15" t="str">
        <x:v>integer</x:v>
      </x:c>
      <x:c r="E26" s="15"/>
      <x:c r="F26" s="15"/>
      <x:c r="G26" s="15" t="str">
        <x:v>NOT NULL</x:v>
      </x:c>
      <x:c r="H26" s="15"/>
      <x:c r="I26" s="15" t="str">
        <x:v>해당 투숙에 실제 포함된 인원 수다. 최소 1이며 연결된 예약의 adult_count+child_count와 변경 사유 없이 크게 불일치하지 않도록 검증한다.</x:v>
      </x:c>
      <x:c r="J26" s="15"/>
      <x:c r="K26" s="15" t="str">
        <x:v>보안: SYNTHETIC</x:v>
      </x:c>
    </x:row>
    <x:row r="27" ht="44" customHeight="1">
      <x:c r="A27" s="15" t="n">
        <x:v>11</x:v>
      </x:c>
      <x:c r="B27" s="15" t="str">
        <x:v>complimentary_flag</x:v>
      </x:c>
      <x:c r="C27" s="15" t="str">
        <x:v>무료 투숙 여부</x:v>
      </x:c>
      <x:c r="D27" s="15" t="str">
        <x:v>boolean</x:v>
      </x:c>
      <x:c r="E27" s="15"/>
      <x:c r="F27" s="15"/>
      <x:c r="G27" s="15" t="str">
        <x:v>NOT NULL</x:v>
      </x:c>
      <x:c r="H27" s="15"/>
      <x:c r="I27" s="15" t="str">
        <x:v>무상 제공 투숙 여부다. true인 경우 객실은 점유되지만 room_revenue가 0일 수 있으므로 OCC와 ADR 계산에서 별도 해석한다.</x:v>
      </x:c>
      <x:c r="J27" s="15"/>
      <x:c r="K27" s="15" t="str">
        <x:v>보안: SYNTHETIC</x:v>
      </x:c>
    </x:row>
    <x:row r="28" ht="44" customHeight="1">
      <x:c r="A28" s="15" t="n">
        <x:v>12</x:v>
      </x:c>
      <x:c r="B28" s="15" t="str">
        <x:v>house_use_flag</x:v>
      </x:c>
      <x:c r="C28" s="15" t="str">
        <x:v>내부 사용 여부</x:v>
      </x:c>
      <x:c r="D28" s="15" t="str">
        <x:v>boolean</x:v>
      </x:c>
      <x:c r="E28" s="15"/>
      <x:c r="F28" s="15"/>
      <x:c r="G28" s="15" t="str">
        <x:v>NOT NULL</x:v>
      </x:c>
      <x:c r="H28" s="15"/>
      <x:c r="I28" s="15" t="str">
        <x:v>내부 운영 목적으로 사용한 투숙 여부다. true인 객실은 판매 객실 수·매출 계산에서 제외하는 정책을 적용한다.</x:v>
      </x:c>
      <x:c r="J28" s="15"/>
      <x:c r="K28" s="15" t="str">
        <x:v>보안: SYNTHETIC</x:v>
      </x:c>
    </x:row>
    <x:row r="29" ht="44" customHeight="1">
      <x:c r="A29" s="15" t="n">
        <x:v>13</x:v>
      </x:c>
      <x:c r="B29" s="15" t="str">
        <x:v>room_revenue</x:v>
      </x:c>
      <x:c r="C29" s="15" t="str">
        <x:v>객실 매출</x:v>
      </x:c>
      <x:c r="D29" s="15" t="str">
        <x:v>numeric</x:v>
      </x:c>
      <x:c r="E29" s="15" t="str">
        <x:v>14,2</x:v>
      </x:c>
      <x:c r="F29" s="15"/>
      <x:c r="G29" s="15" t="str">
        <x:v>NOT NULL</x:v>
      </x:c>
      <x:c r="H29" s="15"/>
      <x:c r="I29" s="15" t="str">
        <x:v>해당 투숙에서 실제 인식된 객실 매출 원자값이다. 완료 stay를 숙박일별로 배부해 ADR·RevPAR·TRevPAR 계산에 사용한다.</x:v>
      </x:c>
      <x:c r="J29" s="15"/>
      <x:c r="K29" s="15" t="str">
        <x:v>보안: SYNTHETIC</x:v>
      </x:c>
    </x:row>
    <x:row r="30" ht="44" customHeight="1">
      <x:c r="A30" s="15" t="n">
        <x:v>14</x:v>
      </x:c>
      <x:c r="B30" s="15" t="str">
        <x:v>other_room_charges</x:v>
      </x:c>
      <x:c r="C30" s="15" t="str">
        <x:v>기타 객실 부과액</x:v>
      </x:c>
      <x:c r="D30" s="15" t="str">
        <x:v>numeric</x:v>
      </x:c>
      <x:c r="E30" s="15" t="str">
        <x:v>14,2</x:v>
      </x:c>
      <x:c r="F30" s="15"/>
      <x:c r="G30" s="15" t="str">
        <x:v>NOT NULL</x:v>
      </x:c>
      <x:c r="H30" s="15"/>
      <x:c r="I30" s="15" t="str">
        <x:v>객실료 외에 투숙 계정에 부과된 합성 객실 관련 금액이다. 미니바·서비스 등 세부 항목을 합산한 0 이상 KRW 값이며 room_revenue와 분리해 저장한다.</x:v>
      </x:c>
      <x:c r="J30" s="15"/>
      <x:c r="K30" s="15" t="str">
        <x:v>보안: SYNTHETIC</x:v>
      </x:c>
    </x:row>
    <x:row r="31" ht="44" customHeight="1">
      <x:c r="A31" s="15" t="n">
        <x:v>15</x:v>
      </x:c>
      <x:c r="B31" s="15" t="str">
        <x:v>stay_status</x:v>
      </x:c>
      <x:c r="C31" s="15" t="str">
        <x:v>투숙 상태</x:v>
      </x:c>
      <x:c r="D31" s="15" t="str">
        <x:v>varchar</x:v>
      </x:c>
      <x:c r="E31" s="15" t="str">
        <x:v>20</x:v>
      </x:c>
      <x:c r="F31" s="15"/>
      <x:c r="G31" s="15" t="str">
        <x:v>NOT NULL</x:v>
      </x:c>
      <x:c r="H31" s="15"/>
      <x:c r="I31" s="15" t="str">
        <x:v>투숙의 업무 상태다. EXPECTED, IN_HOUSE, COMPLETED, CANCELLED, NO_SHOW 중 하나이며 실제 시각·점유객실박·매출과 모순되지 않아야 한다.</x:v>
      </x:c>
      <x:c r="J31" s="15" t="str">
        <x:v>코드 기준 | EXPECTED, IN_HOUSE, COMPLETED, CANCELLED, NO_SHOW</x:v>
      </x:c>
      <x:c r="K31" s="15" t="str">
        <x:v>보안: SYNTHETIC</x:v>
      </x:c>
    </x:row>
    <x:row r="32" ht="44" customHeight="1">
      <x:c r="A32" s="15" t="n">
        <x:v>16</x:v>
      </x:c>
      <x:c r="B32" s="15" t="str">
        <x:v>data_period_status</x:v>
      </x:c>
      <x:c r="C32" s="15" t="str">
        <x:v>기간 상태</x:v>
      </x:c>
      <x:c r="D32" s="15" t="str">
        <x:v>varchar</x:v>
      </x:c>
      <x:c r="E32" s="15" t="str">
        <x:v>32</x:v>
      </x:c>
      <x:c r="F32" s="15"/>
      <x:c r="G32" s="15" t="str">
        <x:v>NOT NULL</x:v>
      </x:c>
      <x:c r="H32" s="15"/>
      <x:c r="I32" s="1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32" s="15" t="str">
        <x:v>기준 테이블 | hotel_datahub_app.reference.calendar_daily.data_period_status</x:v>
      </x:c>
      <x:c r="K32" s="15" t="str">
        <x:v>보안: POLICY</x:v>
      </x:c>
    </x:row>
    <x:row r="33" ht="44" customHeight="1">
      <x:c r="A33" s="15" t="n">
        <x:v>17</x:v>
      </x:c>
      <x:c r="B33" s="15" t="str">
        <x:v>is_forecast</x:v>
      </x:c>
      <x:c r="C33" s="15" t="str">
        <x:v>전망 여부</x:v>
      </x:c>
      <x:c r="D33" s="15" t="str">
        <x:v>boolean</x:v>
      </x:c>
      <x:c r="E33" s="15"/>
      <x:c r="F33" s="15"/>
      <x:c r="G33" s="15" t="str">
        <x:v>NOT NULL</x:v>
      </x:c>
      <x:c r="H33" s="15"/>
      <x:c r="I33" s="15" t="str">
        <x:v>해당 행을 실제·유사 실적이 아닌 미래 전망 시나리오로 취급할지 나타낸다. 2026-08-16 이후 FORECAST_SCENARIO만 true/1이며 실제 실적 기본 조회에서는 제외한다.</x:v>
      </x:c>
      <x:c r="J33" s="15" t="str">
        <x:v>기준 테이블 | hotel_datahub_app.reference.calendar_daily.is_forecast</x:v>
      </x:c>
      <x:c r="K33" s="15" t="str">
        <x:v>보안: POLICY</x:v>
      </x:c>
    </x:row>
    <x:row r="34" ht="44" customHeight="1">
      <x:c r="A34" s="15" t="n">
        <x:v>18</x:v>
      </x:c>
      <x:c r="B34" s="15" t="str">
        <x:v>is_synthetic</x:v>
      </x:c>
      <x:c r="C34" s="15" t="str">
        <x:v>합성 여부</x:v>
      </x:c>
      <x:c r="D34" s="15" t="str">
        <x:v>boolean</x:v>
      </x:c>
      <x:c r="E34" s="15"/>
      <x:c r="F34" s="15"/>
      <x:c r="G34" s="15" t="str">
        <x:v>NOT NULL</x:v>
      </x:c>
      <x:c r="H34" s="15"/>
      <x:c r="I34" s="15" t="str">
        <x:v>실제 고객·운영 원천이 아닌 프로젝트 생성 합성 데이터임을 표시한다. 현재 source fixture에서는 항상 true/1이며 실제 데이터와 혼합 저장하지 않는다.</x:v>
      </x:c>
      <x:c r="J34" s="15" t="str">
        <x:v>합성 데이터 정책 | source-fixture-v5.0에서 true/1 고정</x:v>
      </x:c>
      <x:c r="K34" s="15" t="str">
        <x:v>보안: POLICY</x:v>
      </x:c>
    </x:row>
    <x:row r="35" ht="44" customHeight="1">
      <x:c r="A35" s="15" t="n">
        <x:v>19</x:v>
      </x:c>
      <x:c r="B35" s="15" t="str">
        <x:v>source_updated_at</x:v>
      </x:c>
      <x:c r="C35" s="15" t="str">
        <x:v>원천 수정시각</x:v>
      </x:c>
      <x:c r="D35" s="15" t="str">
        <x:v>timestamptz</x:v>
      </x:c>
      <x:c r="E35" s="15"/>
      <x:c r="F35" s="15"/>
      <x:c r="G35" s="15" t="str">
        <x:v>NOT NULL</x:v>
      </x:c>
      <x:c r="H35" s="15"/>
      <x:c r="I35" s="15" t="str">
        <x:v>원천 수정시각을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35" s="15" t="str">
        <x:v>Point-in-time 기준 | source watermark; 조회 시 source_updated_at &lt;= :as_of_utc</x:v>
      </x:c>
      <x:c r="K35" s="15" t="str">
        <x:v>보안: SYNTHETIC</x:v>
      </x:c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</x:row>
    <x:row r="37">
      <x:c r="A37" s="58" t="str">
        <x:v>no</x:v>
      </x:c>
      <x:c r="B37" s="58" t="str">
        <x:v>Index name</x:v>
      </x:c>
      <x:c r="C37" s="58"/>
      <x:c r="D37" s="58" t="str">
        <x:v>Index type</x:v>
      </x:c>
      <x:c r="E37" s="58"/>
      <x:c r="F37" s="58" t="str">
        <x:v>Unique</x:v>
      </x:c>
      <x:c r="G37" s="58"/>
      <x:c r="H37" s="58" t="str">
        <x:v>구성 컬럼</x:v>
      </x:c>
      <x:c r="I37" s="58"/>
      <x:c r="J37" s="58"/>
      <x:c r="K37" s="58"/>
    </x:row>
    <x:row r="38">
      <x:c r="A38" s="15" t="n">
        <x:v>1</x:v>
      </x:c>
      <x:c r="B38" s="15" t="str">
        <x:v>PK_pms_stays</x:v>
      </x:c>
      <x:c r="C38" s="15"/>
      <x:c r="D38" s="15" t="str">
        <x:v>PK</x:v>
      </x:c>
      <x:c r="E38" s="15"/>
      <x:c r="F38" s="15" t="str">
        <x:v>Unique</x:v>
      </x:c>
      <x:c r="G38" s="15"/>
      <x:c r="H38" s="15" t="str">
        <x:v>stay_id</x:v>
      </x:c>
      <x:c r="I38" s="15"/>
      <x:c r="J38" s="15"/>
      <x:c r="K38" s="15"/>
    </x:row>
    <x:row r="39">
      <x:c r="A39" s="15" t="n">
        <x:v>2</x:v>
      </x:c>
      <x:c r="B39" s="15" t="str">
        <x:v>IX_pms_stays_reservation_id</x:v>
      </x:c>
      <x:c r="C39" s="15"/>
      <x:c r="D39" s="15" t="str">
        <x:v>BTREE</x:v>
      </x:c>
      <x:c r="E39" s="15"/>
      <x:c r="F39" s="15" t="str">
        <x:v>Non-Unique</x:v>
      </x:c>
      <x:c r="G39" s="15"/>
      <x:c r="H39" s="15" t="str">
        <x:v>reservation_id</x:v>
      </x:c>
      <x:c r="I39" s="15"/>
      <x:c r="J39" s="15"/>
      <x:c r="K39" s="15"/>
    </x:row>
    <x:row r="40">
      <x:c r="A40" s="15" t="n">
        <x:v>3</x:v>
      </x:c>
      <x:c r="B40" s="15" t="str">
        <x:v>IX_pms_stays_guest_id</x:v>
      </x:c>
      <x:c r="C40" s="15"/>
      <x:c r="D40" s="15" t="str">
        <x:v>BTREE</x:v>
      </x:c>
      <x:c r="E40" s="15"/>
      <x:c r="F40" s="15" t="str">
        <x:v>Non-Unique</x:v>
      </x:c>
      <x:c r="G40" s="15"/>
      <x:c r="H40" s="15" t="str">
        <x:v>guest_id</x:v>
      </x:c>
      <x:c r="I40" s="15"/>
      <x:c r="J40" s="15"/>
      <x:c r="K40" s="15"/>
    </x:row>
    <x:row r="41">
      <x:c r="A41" s="15" t="n">
        <x:v>4</x:v>
      </x:c>
      <x:c r="B41" s="15" t="str">
        <x:v>UQ_pms_stays_reservation</x:v>
      </x:c>
      <x:c r="C41" s="15"/>
      <x:c r="D41" s="15" t="str">
        <x:v>BTREE</x:v>
      </x:c>
      <x:c r="E41" s="15"/>
      <x:c r="F41" s="15" t="str">
        <x:v>Unique</x:v>
      </x:c>
      <x:c r="G41" s="15"/>
      <x:c r="H41" s="15" t="str">
        <x:v>reservation_id</x:v>
      </x:c>
      <x:c r="I41" s="15"/>
      <x:c r="J41" s="15"/>
      <x:c r="K41" s="15"/>
    </x:row>
    <x:row r="42">
      <x:c r="A42" s="15" t="n">
        <x:v>5</x:v>
      </x:c>
      <x:c r="B42" s="15" t="str">
        <x:v>IX_pms_stays_guest_checkin</x:v>
      </x:c>
      <x:c r="C42" s="15"/>
      <x:c r="D42" s="15" t="str">
        <x:v>BTREE</x:v>
      </x:c>
      <x:c r="E42" s="15"/>
      <x:c r="F42" s="15" t="str">
        <x:v>Non-Unique</x:v>
      </x:c>
      <x:c r="G42" s="15"/>
      <x:c r="H42" s="15" t="str">
        <x:v>guest_id, actual_checkin_at</x:v>
      </x:c>
      <x:c r="I42" s="15"/>
      <x:c r="J42" s="15"/>
      <x:c r="K42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7:C37"/>
    <x:mergeCell ref="D37:E37"/>
    <x:mergeCell ref="F37:G37"/>
    <x:mergeCell ref="H37:K37"/>
    <x:mergeCell ref="B38:C38"/>
    <x:mergeCell ref="D38:E38"/>
    <x:mergeCell ref="F38:G38"/>
    <x:mergeCell ref="H38:K38"/>
    <x:mergeCell ref="B39:C39"/>
    <x:mergeCell ref="D39:E39"/>
    <x:mergeCell ref="F39:G39"/>
    <x:mergeCell ref="H39:K39"/>
    <x:mergeCell ref="B40:C40"/>
    <x:mergeCell ref="D40:E40"/>
    <x:mergeCell ref="F40:G40"/>
    <x:mergeCell ref="H40:K40"/>
    <x:mergeCell ref="B41:C41"/>
    <x:mergeCell ref="D41:E41"/>
    <x:mergeCell ref="F41:G41"/>
    <x:mergeCell ref="H41:K41"/>
    <x:mergeCell ref="B42:C42"/>
    <x:mergeCell ref="D42:E42"/>
    <x:mergeCell ref="F42:G42"/>
    <x:mergeCell ref="H42:K42"/>
  </x:mergeCells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MySQL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hotel_pos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hotel_pos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pos_stores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F&amp;B 매장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POS에서 사용하는 합성 F&amp;B 매장 마스터를 저장한다. 매장 유형, 좌석수, 영업시간과 활성 상태를 관리하며 서비스 시간대와 주문 fact의 상위 기준이 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합성 적재 기준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property_id</x:v>
      </x:c>
      <x:c r="C17" s="15" t="str">
        <x:v>호텔 속성 ID</x:v>
      </x:c>
      <x:c r="D17" s="15" t="str">
        <x:v>varchar</x:v>
      </x:c>
      <x:c r="E17" s="15" t="str">
        <x:v>64</x:v>
      </x:c>
      <x:c r="F17" s="15"/>
      <x:c r="G17" s="15" t="str">
        <x:v>NOT NULL</x:v>
      </x:c>
      <x:c r="H17" s="15"/>
      <x:c r="I17" s="15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15" t="str">
        <x:v>공통 조인 기준 | fixture property_id=SYNTHETIC_HOTEL_001 | 5개 source에서 동일 값 사용</x:v>
      </x:c>
      <x:c r="K17" s="15" t="str">
        <x:v>보안: POLICY</x:v>
      </x:c>
    </x:row>
    <x:row r="18" ht="44" customHeight="1">
      <x:c r="A18" s="15" t="n">
        <x:v>2</x:v>
      </x:c>
      <x:c r="B18" s="15" t="str">
        <x:v>store_id</x:v>
      </x:c>
      <x:c r="C18" s="15" t="str">
        <x:v>매장 ID</x:v>
      </x:c>
      <x:c r="D18" s="15" t="str">
        <x:v>varchar</x:v>
      </x:c>
      <x:c r="E18" s="15" t="str">
        <x:v>32</x:v>
      </x:c>
      <x:c r="F18" s="15" t="str">
        <x:v>PK</x:v>
      </x:c>
      <x:c r="G18" s="15" t="str">
        <x:v>NOT NULL</x:v>
      </x:c>
      <x:c r="H18" s="15"/>
      <x:c r="I18" s="15" t="str">
        <x:v>F&amp;B 매장의 한 행을 안정적으로 식별하는 기본키다. 다른 이력·분석·참조에서 동일 레코드를 추적할 수 있도록 생성 후 재사용하거나 변경하지 않는다.</x:v>
      </x:c>
      <x:c r="J18" s="15" t="str">
        <x:v>참조됨 | hotel_pos.hotel_pos.pos_service_periods.store_id, hotel_pos.hotel_pos.pos_orders.store_id</x:v>
      </x:c>
      <x:c r="K18" s="15" t="str">
        <x:v>보안: SYNTHETIC</x:v>
      </x:c>
    </x:row>
    <x:row r="19" ht="44" customHeight="1">
      <x:c r="A19" s="15" t="n">
        <x:v>3</x:v>
      </x:c>
      <x:c r="B19" s="15" t="str">
        <x:v>store_name</x:v>
      </x:c>
      <x:c r="C19" s="15" t="str">
        <x:v>합성 매장명</x:v>
      </x:c>
      <x:c r="D19" s="15" t="str">
        <x:v>varchar</x:v>
      </x:c>
      <x:c r="E19" s="15" t="str">
        <x:v>100</x:v>
      </x:c>
      <x:c r="F19" s="15"/>
      <x:c r="G19" s="15" t="str">
        <x:v>NOT NULL</x:v>
      </x:c>
      <x:c r="H19" s="15"/>
      <x:c r="I19" s="15" t="str">
        <x:v>합성 매장명으로 화면·보고서에 표시하는 사람이 읽을 수 있는 명칭이다. 식별·조인에는 별도 ID 또는 안정 키를 사용하며 민감정보를 포함하지 않는다.</x:v>
      </x:c>
      <x:c r="J19" s="15"/>
      <x:c r="K19" s="15" t="str">
        <x:v>보안: SYNTHETIC</x:v>
      </x:c>
    </x:row>
    <x:row r="20" ht="44" customHeight="1">
      <x:c r="A20" s="15" t="n">
        <x:v>4</x:v>
      </x:c>
      <x:c r="B20" s="15" t="str">
        <x:v>store_category</x:v>
      </x:c>
      <x:c r="C20" s="15" t="str">
        <x:v>매장 유형</x:v>
      </x:c>
      <x:c r="D20" s="15" t="str">
        <x:v>varchar</x:v>
      </x:c>
      <x:c r="E20" s="15" t="str">
        <x:v>24</x:v>
      </x:c>
      <x:c r="F20" s="15"/>
      <x:c r="G20" s="15" t="str">
        <x:v>NOT NULL</x:v>
      </x:c>
      <x:c r="H20" s="15"/>
      <x:c r="I20" s="15" t="str">
        <x:v>매장의 운영 유형 코드다. BREAKFAST, DINING, BAR, CAFE, LOUNGE 중 하나이며 서비스 시간대와 F&amp;B 지표 분류에 사용한다.</x:v>
      </x:c>
      <x:c r="J20" s="15" t="str">
        <x:v>코드 기준 | BREAKFAST, DINING, BAR, CAFE, LOUNGE</x:v>
      </x:c>
      <x:c r="K20" s="15" t="str">
        <x:v>보안: SYNTHETIC</x:v>
      </x:c>
    </x:row>
    <x:row r="21" ht="44" customHeight="1">
      <x:c r="A21" s="15" t="n">
        <x:v>5</x:v>
      </x:c>
      <x:c r="B21" s="15" t="str">
        <x:v>seat_capacity</x:v>
      </x:c>
      <x:c r="C21" s="15" t="str">
        <x:v>좌석 수</x:v>
      </x:c>
      <x:c r="D21" s="15" t="str">
        <x:v>integer</x:v>
      </x:c>
      <x:c r="E21" s="15"/>
      <x:c r="F21" s="15"/>
      <x:c r="G21" s="15" t="str">
        <x:v>NOT NULL</x:v>
      </x:c>
      <x:c r="H21" s="15"/>
      <x:c r="I21" s="15" t="str">
        <x:v>동시에 운영 가능한 총 좌석 수다. 1 이상 정수이며 서비스 시간대별 좌석수는 운영 변경이 있을 때 이 값과 다를 수 있다.</x:v>
      </x:c>
      <x:c r="J21" s="15"/>
      <x:c r="K21" s="15" t="str">
        <x:v>보안: SYNTHETIC</x:v>
      </x:c>
    </x:row>
    <x:row r="22" ht="44" customHeight="1">
      <x:c r="A22" s="15" t="n">
        <x:v>6</x:v>
      </x:c>
      <x:c r="B22" s="15" t="str">
        <x:v>open_time</x:v>
      </x:c>
      <x:c r="C22" s="15" t="str">
        <x:v>영업 시작</x:v>
      </x:c>
      <x:c r="D22" s="15" t="str">
        <x:v>time</x:v>
      </x:c>
      <x:c r="E22" s="15"/>
      <x:c r="F22" s="15"/>
      <x:c r="G22" s="15" t="str">
        <x:v>NOT NULL</x:v>
      </x:c>
      <x:c r="H22" s="15"/>
      <x:c r="I22" s="15" t="str">
        <x:v>매장의 기준 영업 시작 시각이다. close_time보다 앞서야 하며 서비스 시간대 생성과 주문 시각이 정상 영업 범위인지 검증하는 기준으로 사용한다.</x:v>
      </x:c>
      <x:c r="J22" s="15"/>
      <x:c r="K22" s="15" t="str">
        <x:v>보안: SYNTHETIC</x:v>
      </x:c>
    </x:row>
    <x:row r="23" ht="44" customHeight="1">
      <x:c r="A23" s="15" t="n">
        <x:v>7</x:v>
      </x:c>
      <x:c r="B23" s="15" t="str">
        <x:v>close_time</x:v>
      </x:c>
      <x:c r="C23" s="15" t="str">
        <x:v>영업 종료</x:v>
      </x:c>
      <x:c r="D23" s="15" t="str">
        <x:v>time</x:v>
      </x:c>
      <x:c r="E23" s="15"/>
      <x:c r="F23" s="15"/>
      <x:c r="G23" s="15" t="str">
        <x:v>NOT NULL</x:v>
      </x:c>
      <x:c r="H23" s="15"/>
      <x:c r="I23" s="15" t="str">
        <x:v>매장의 기준 영업 종료 시각이다. open_time 이후여야 하며 자정을 넘는 매장은 별도 운영 규칙으로 해석한다.</x:v>
      </x:c>
      <x:c r="J23" s="15"/>
      <x:c r="K23" s="15" t="str">
        <x:v>보안: SYNTHETIC</x:v>
      </x:c>
    </x:row>
    <x:row r="24" ht="44" customHeight="1">
      <x:c r="A24" s="15" t="n">
        <x:v>8</x:v>
      </x:c>
      <x:c r="B24" s="15" t="str">
        <x:v>is_active</x:v>
      </x:c>
      <x:c r="C24" s="15" t="str">
        <x:v>활성 여부</x:v>
      </x:c>
      <x:c r="D24" s="15" t="str">
        <x:v>boolean</x:v>
      </x:c>
      <x:c r="E24" s="15"/>
      <x:c r="F24" s="15"/>
      <x:c r="G24" s="15" t="str">
        <x:v>NOT NULL</x:v>
      </x:c>
      <x:c r="H24" s="15"/>
      <x:c r="I24" s="15" t="str">
        <x:v>현재 주문·서비스 시간대 생성 대상 매장인지 나타낸다. false인 매장은 비활성 기간의 신규 운영 fact를 생성하지 않는다.</x:v>
      </x:c>
      <x:c r="J24" s="15"/>
      <x:c r="K24" s="15" t="str">
        <x:v>보안: SYNTHETIC</x:v>
      </x:c>
    </x:row>
    <x:row r="25" ht="44" customHeight="1">
      <x:c r="A25" s="15" t="n">
        <x:v>9</x:v>
      </x:c>
      <x:c r="B25" s="15" t="str">
        <x:v>is_synthetic</x:v>
      </x:c>
      <x:c r="C25" s="15" t="str">
        <x:v>합성 여부</x:v>
      </x:c>
      <x:c r="D25" s="15" t="str">
        <x:v>boolean</x:v>
      </x:c>
      <x:c r="E25" s="15"/>
      <x:c r="F25" s="15"/>
      <x:c r="G25" s="15" t="str">
        <x:v>NOT NULL</x:v>
      </x:c>
      <x:c r="H25" s="15"/>
      <x:c r="I25" s="15" t="str">
        <x:v>실제 고객·운영 원천이 아닌 프로젝트 생성 합성 데이터임을 표시한다. 현재 source fixture에서는 항상 true/1이며 실제 데이터와 혼합 저장하지 않는다.</x:v>
      </x:c>
      <x:c r="J25" s="15" t="str">
        <x:v>합성 데이터 정책 | source-fixture-v5.0에서 true/1 고정</x:v>
      </x:c>
      <x:c r="K25" s="15" t="str">
        <x:v>보안: POLICY</x:v>
      </x:c>
    </x:row>
    <x:row r="26" ht="44" customHeight="1">
      <x:c r="A26" s="15" t="n">
        <x:v>10</x:v>
      </x:c>
      <x:c r="B26" s="15" t="str">
        <x:v>source_updated_at</x:v>
      </x:c>
      <x:c r="C26" s="15" t="str">
        <x:v>원천 수정시각</x:v>
      </x:c>
      <x:c r="D26" s="15" t="str">
        <x:v>datetime</x:v>
      </x:c>
      <x:c r="E26" s="15" t="str">
        <x:v>3</x:v>
      </x:c>
      <x:c r="F26" s="15"/>
      <x:c r="G26" s="15" t="str">
        <x:v>NOT NULL</x:v>
      </x:c>
      <x:c r="H26" s="15"/>
      <x:c r="I26" s="15" t="str">
        <x:v>원천 수정시각을 나타내는 업무 시각이다. 관련 상태 전이와 다른 시각 컬럼의 선후관계가 일치해야 하며 point-in-time 분석을 위해 timezone 기준을 일관되게 적용한다. 밀리초 정밀도의 datetime으로 저장하며 애플리케이션에서 UTC로 해석한다.</x:v>
      </x:c>
      <x:c r="J26" s="15" t="str">
        <x:v>Point-in-time 기준 | source watermark; 조회 시 source_updated_at &lt;= :as_of_utc</x:v>
      </x:c>
      <x:c r="K26" s="15" t="str">
        <x:v>보안: SYNTHETIC</x:v>
      </x:c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>
      <x:c r="A28" s="58" t="str">
        <x:v>no</x:v>
      </x:c>
      <x:c r="B28" s="58" t="str">
        <x:v>Index name</x:v>
      </x:c>
      <x:c r="C28" s="58"/>
      <x:c r="D28" s="58" t="str">
        <x:v>Index type</x:v>
      </x:c>
      <x:c r="E28" s="58"/>
      <x:c r="F28" s="58" t="str">
        <x:v>Unique</x:v>
      </x:c>
      <x:c r="G28" s="58"/>
      <x:c r="H28" s="58" t="str">
        <x:v>구성 컬럼</x:v>
      </x:c>
      <x:c r="I28" s="58"/>
      <x:c r="J28" s="58"/>
      <x:c r="K28" s="58"/>
    </x:row>
    <x:row r="29">
      <x:c r="A29" s="15" t="n">
        <x:v>1</x:v>
      </x:c>
      <x:c r="B29" s="15" t="str">
        <x:v>PK_pos_stores</x:v>
      </x:c>
      <x:c r="C29" s="15"/>
      <x:c r="D29" s="15" t="str">
        <x:v>PK</x:v>
      </x:c>
      <x:c r="E29" s="15"/>
      <x:c r="F29" s="15" t="str">
        <x:v>Unique</x:v>
      </x:c>
      <x:c r="G29" s="15"/>
      <x:c r="H29" s="15" t="str">
        <x:v>store_id</x:v>
      </x:c>
      <x:c r="I29" s="15"/>
      <x:c r="J29" s="15"/>
      <x:c r="K29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28:C28"/>
    <x:mergeCell ref="D28:E28"/>
    <x:mergeCell ref="F28:G28"/>
    <x:mergeCell ref="H28:K28"/>
    <x:mergeCell ref="B29:C29"/>
    <x:mergeCell ref="D29:E29"/>
    <x:mergeCell ref="F29:G29"/>
    <x:mergeCell ref="H29:K29"/>
  </x:mergeCells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MySQL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hotel_pos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hotel_pos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pos_service_periods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매장 서비스 시간대 운영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매장·영업일자·서비스 시간대별 좌석 운영 실적을 저장한다. 좌석수, 영업분, 이용 인원, 가용·사용 좌석시간을 기록하여 RevPASH와 좌석 활용도를 계산한다.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합성 적재 기준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property_id</x:v>
      </x:c>
      <x:c r="C17" s="15" t="str">
        <x:v>호텔 속성 ID</x:v>
      </x:c>
      <x:c r="D17" s="15" t="str">
        <x:v>varchar</x:v>
      </x:c>
      <x:c r="E17" s="15" t="str">
        <x:v>64</x:v>
      </x:c>
      <x:c r="F17" s="15"/>
      <x:c r="G17" s="15" t="str">
        <x:v>NOT NULL</x:v>
      </x:c>
      <x:c r="H17" s="15"/>
      <x:c r="I17" s="15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15" t="str">
        <x:v>공통 조인 기준 | fixture property_id=SYNTHETIC_HOTEL_001 | 5개 source에서 동일 값 사용</x:v>
      </x:c>
      <x:c r="K17" s="15" t="str">
        <x:v>보안: POLICY</x:v>
      </x:c>
    </x:row>
    <x:row r="18" ht="44" customHeight="1">
      <x:c r="A18" s="15" t="n">
        <x:v>2</x:v>
      </x:c>
      <x:c r="B18" s="15" t="str">
        <x:v>service_period_id</x:v>
      </x:c>
      <x:c r="C18" s="15" t="str">
        <x:v>서비스 시간대 ID</x:v>
      </x:c>
      <x:c r="D18" s="15" t="str">
        <x:v>bigint</x:v>
      </x:c>
      <x:c r="E18" s="15"/>
      <x:c r="F18" s="15" t="str">
        <x:v>PK</x:v>
      </x:c>
      <x:c r="G18" s="15" t="str">
        <x:v>NOT NULL</x:v>
      </x:c>
      <x:c r="H18" s="15"/>
      <x:c r="I18" s="15" t="str">
        <x:v>매장 서비스 시간대 운영의 한 행을 안정적으로 식별하는 기본키다. 다른 이력·분석·참조에서 동일 레코드를 추적할 수 있도록 생성 후 재사용하거나 변경하지 않는다.</x:v>
      </x:c>
      <x:c r="J18" s="15"/>
      <x:c r="K18" s="15" t="str">
        <x:v>보안: SYNTHETIC</x:v>
      </x:c>
    </x:row>
    <x:row r="19" ht="44" customHeight="1">
      <x:c r="A19" s="15" t="n">
        <x:v>3</x:v>
      </x:c>
      <x:c r="B19" s="15" t="str">
        <x:v>store_id</x:v>
      </x:c>
      <x:c r="C19" s="15" t="str">
        <x:v>매장 ID</x:v>
      </x:c>
      <x:c r="D19" s="15" t="str">
        <x:v>varchar</x:v>
      </x:c>
      <x:c r="E19" s="15" t="str">
        <x:v>32</x:v>
      </x:c>
      <x:c r="F19" s="15" t="str">
        <x:v>FK</x:v>
      </x:c>
      <x:c r="G19" s="15" t="str">
        <x:v>NOT NULL</x:v>
      </x:c>
      <x:c r="H19" s="15"/>
      <x:c r="I19" s="15" t="str">
        <x:v>매장 ID를 hotel_pos.hotel_pos.pos_stores.store_id와 연결하는 물리 외래키다. 반드시 존재하는 상위 행을 참조해야 한다.</x:v>
      </x:c>
      <x:c r="J19" s="15" t="str">
        <x:v>물리 FK | hotel_pos.hotel_pos.pos_stores.store_id</x:v>
      </x:c>
      <x:c r="K19" s="15" t="str">
        <x:v>보안: SYNTHETIC</x:v>
      </x:c>
    </x:row>
    <x:row r="20" ht="44" customHeight="1">
      <x:c r="A20" s="15" t="n">
        <x:v>4</x:v>
      </x:c>
      <x:c r="B20" s="15" t="str">
        <x:v>business_date</x:v>
      </x:c>
      <x:c r="C20" s="15" t="str">
        <x:v>영업일자</x:v>
      </x:c>
      <x:c r="D20" s="15" t="str">
        <x:v>date</x:v>
      </x:c>
      <x:c r="E20" s="15"/>
      <x:c r="F20" s="15"/>
      <x:c r="G20" s="15" t="str">
        <x:v>NOT NULL</x:v>
      </x:c>
      <x:c r="H20" s="15"/>
      <x:c r="I20" s="15" t="str">
        <x:v>해당 일별 운영 fact가 귀속되는 영업일자다. reference.calendar_daily.business_date 범위 안에 있어야 하며 기간 상태와 forecast 여부를 이 날짜 기준으로 판정한다.</x:v>
      </x:c>
      <x:c r="J20" s="15" t="str">
        <x:v>논리 기준 | hotel_datahub_app.reference.calendar_daily.business_date</x:v>
      </x:c>
      <x:c r="K20" s="15" t="str">
        <x:v>보안: SYNTHETIC</x:v>
      </x:c>
    </x:row>
    <x:row r="21" ht="44" customHeight="1">
      <x:c r="A21" s="15" t="n">
        <x:v>5</x:v>
      </x:c>
      <x:c r="B21" s="15" t="str">
        <x:v>service_period</x:v>
      </x:c>
      <x:c r="C21" s="15" t="str">
        <x:v>서비스 시간대</x:v>
      </x:c>
      <x:c r="D21" s="15" t="str">
        <x:v>varchar</x:v>
      </x:c>
      <x:c r="E21" s="15" t="str">
        <x:v>16</x:v>
      </x:c>
      <x:c r="F21" s="15"/>
      <x:c r="G21" s="15" t="str">
        <x:v>NOT NULL</x:v>
      </x:c>
      <x:c r="H21" s="15"/>
      <x:c r="I21" s="15" t="str">
        <x:v>서비스 시간대: 자유서술이 아닌 승인 코드로 저장한다. 자유서술 대신 승인된 코드 도메인을 사용해 source 간 집계와 필터 조건을 일관되게 유지한다. 허용값은 BREAKFAST, LUNCH, AFTERNOON, DINNER, LATE_NIGHT이다.</x:v>
      </x:c>
      <x:c r="J21" s="15" t="str">
        <x:v>코드 기준 | BREAKFAST/LUNCH/AFTERNOON/DINNER/LATE_NIGHT</x:v>
      </x:c>
      <x:c r="K21" s="15" t="str">
        <x:v>보안: SYNTHETIC</x:v>
      </x:c>
    </x:row>
    <x:row r="22" ht="44" customHeight="1">
      <x:c r="A22" s="15" t="n">
        <x:v>6</x:v>
      </x:c>
      <x:c r="B22" s="15" t="str">
        <x:v>seat_capacity</x:v>
      </x:c>
      <x:c r="C22" s="15" t="str">
        <x:v>좌석 수</x:v>
      </x:c>
      <x:c r="D22" s="15" t="str">
        <x:v>integer</x:v>
      </x:c>
      <x:c r="E22" s="15"/>
      <x:c r="F22" s="15"/>
      <x:c r="G22" s="15" t="str">
        <x:v>NOT NULL</x:v>
      </x:c>
      <x:c r="H22" s="15"/>
      <x:c r="I22" s="15" t="str">
        <x:v>해당 날짜·서비스 시간대에 실제 운영 가능한 좌석 수다. 매장 마스터의 기본 seat_capacity를 기준으로 휴장·구역 폐쇄 등 운영 조정을 반영할 수 있다.</x:v>
      </x:c>
      <x:c r="J22" s="15"/>
      <x:c r="K22" s="15" t="str">
        <x:v>보안: SYNTHETIC</x:v>
      </x:c>
    </x:row>
    <x:row r="23" ht="44" customHeight="1">
      <x:c r="A23" s="15" t="n">
        <x:v>7</x:v>
      </x:c>
      <x:c r="B23" s="15" t="str">
        <x:v>open_minutes</x:v>
      </x:c>
      <x:c r="C23" s="15" t="str">
        <x:v>영업 분</x:v>
      </x:c>
      <x:c r="D23" s="15" t="str">
        <x:v>integer</x:v>
      </x:c>
      <x:c r="E23" s="15"/>
      <x:c r="F23" s="15"/>
      <x:c r="G23" s="15" t="str">
        <x:v>NOT NULL</x:v>
      </x:c>
      <x:c r="H23" s="15"/>
      <x:c r="I23" s="15" t="str">
        <x:v>해당 영업일·서비스 시간대에 실제 운영한 분 수다. 0 이상이며 영업시간을 넘지 않아야 하고 가용 좌석시간 산식에 사용한다.</x:v>
      </x:c>
      <x:c r="J23" s="15"/>
      <x:c r="K23" s="15" t="str">
        <x:v>보안: SYNTHETIC</x:v>
      </x:c>
    </x:row>
    <x:row r="24" ht="44" customHeight="1">
      <x:c r="A24" s="15" t="n">
        <x:v>8</x:v>
      </x:c>
      <x:c r="B24" s="15" t="str">
        <x:v>covers</x:v>
      </x:c>
      <x:c r="C24" s="15" t="str">
        <x:v>이용 인원</x:v>
      </x:c>
      <x:c r="D24" s="15" t="str">
        <x:v>integer</x:v>
      </x:c>
      <x:c r="E24" s="15"/>
      <x:c r="F24" s="15"/>
      <x:c r="G24" s="15" t="str">
        <x:v>NOT NULL</x:v>
      </x:c>
      <x:c r="H24" s="15"/>
      <x:c r="I24" s="15" t="str">
        <x:v>해당 서비스 시간대에 이용한 총 고객 수다. 주문별 guest_count와 집계 정합성을 확인하며 음수는 허용하지 않는다.</x:v>
      </x:c>
      <x:c r="J24" s="15"/>
      <x:c r="K24" s="15" t="str">
        <x:v>보안: SYNTHETIC</x:v>
      </x:c>
    </x:row>
    <x:row r="25" ht="44" customHeight="1">
      <x:c r="A25" s="15" t="n">
        <x:v>9</x:v>
      </x:c>
      <x:c r="B25" s="15" t="str">
        <x:v>seat_hours_available</x:v>
      </x:c>
      <x:c r="C25" s="15" t="str">
        <x:v>가용 좌석시간</x:v>
      </x:c>
      <x:c r="D25" s="15" t="str">
        <x:v>decimal</x:v>
      </x:c>
      <x:c r="E25" s="15" t="str">
        <x:v>14,2</x:v>
      </x:c>
      <x:c r="F25" s="15"/>
      <x:c r="G25" s="15" t="str">
        <x:v>NOT NULL</x:v>
      </x:c>
      <x:c r="H25" s="15"/>
      <x:c r="I25" s="15" t="str">
        <x:v>좌석수 × 운영분 ÷ 60으로 계산한 판매 가능한 총 좌석시간이다. RevPASH 계산의 분모로 사용하며 0이면 지표는 NULL 처리한다.</x:v>
      </x:c>
      <x:c r="J25" s="15"/>
      <x:c r="K25" s="15" t="str">
        <x:v>보안: SYNTHETIC</x:v>
      </x:c>
    </x:row>
    <x:row r="26" ht="44" customHeight="1">
      <x:c r="A26" s="15" t="n">
        <x:v>10</x:v>
      </x:c>
      <x:c r="B26" s="15" t="str">
        <x:v>seat_hours_used</x:v>
      </x:c>
      <x:c r="C26" s="15" t="str">
        <x:v>사용 좌석시간</x:v>
      </x:c>
      <x:c r="D26" s="15" t="str">
        <x:v>decimal</x:v>
      </x:c>
      <x:c r="E26" s="15" t="str">
        <x:v>14,2</x:v>
      </x:c>
      <x:c r="F26" s="15"/>
      <x:c r="G26" s="15" t="str">
        <x:v>NOT NULL</x:v>
      </x:c>
      <x:c r="H26" s="15"/>
      <x:c r="I26" s="15" t="str">
        <x:v>실제 고객이 점유한 좌석시간의 합계다. 0 이상이며 일반적으로 seat_hours_available을 초과하지 않도록 검증한다.</x:v>
      </x:c>
      <x:c r="J26" s="15"/>
      <x:c r="K26" s="15" t="str">
        <x:v>보안: SYNTHETIC</x:v>
      </x:c>
    </x:row>
    <x:row r="27" ht="44" customHeight="1">
      <x:c r="A27" s="15" t="n">
        <x:v>11</x:v>
      </x:c>
      <x:c r="B27" s="15" t="str">
        <x:v>data_period_status</x:v>
      </x:c>
      <x:c r="C27" s="15" t="str">
        <x:v>기간 상태</x:v>
      </x:c>
      <x:c r="D27" s="15" t="str">
        <x:v>varchar</x:v>
      </x:c>
      <x:c r="E27" s="15" t="str">
        <x:v>32</x:v>
      </x:c>
      <x:c r="F27" s="15"/>
      <x:c r="G27" s="15" t="str">
        <x:v>NOT NULL</x:v>
      </x:c>
      <x:c r="H27" s="15"/>
      <x:c r="I27" s="1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27" s="15" t="str">
        <x:v>기준 테이블 | hotel_datahub_app.reference.calendar_daily.data_period_status</x:v>
      </x:c>
      <x:c r="K27" s="15" t="str">
        <x:v>보안: POLICY</x:v>
      </x:c>
    </x:row>
    <x:row r="28" ht="44" customHeight="1">
      <x:c r="A28" s="15" t="n">
        <x:v>12</x:v>
      </x:c>
      <x:c r="B28" s="15" t="str">
        <x:v>is_forecast</x:v>
      </x:c>
      <x:c r="C28" s="15" t="str">
        <x:v>전망 여부</x:v>
      </x:c>
      <x:c r="D28" s="15" t="str">
        <x:v>boolean</x:v>
      </x:c>
      <x:c r="E28" s="15"/>
      <x:c r="F28" s="15"/>
      <x:c r="G28" s="15" t="str">
        <x:v>NOT NULL</x:v>
      </x:c>
      <x:c r="H28" s="15"/>
      <x:c r="I28" s="15" t="str">
        <x:v>해당 행을 실제·유사 실적이 아닌 미래 전망 시나리오로 취급할지 나타낸다. 2026-08-16 이후 FORECAST_SCENARIO만 true/1이며 실제 실적 기본 조회에서는 제외한다.</x:v>
      </x:c>
      <x:c r="J28" s="15" t="str">
        <x:v>기준 테이블 | hotel_datahub_app.reference.calendar_daily.is_forecast</x:v>
      </x:c>
      <x:c r="K28" s="15" t="str">
        <x:v>보안: POLICY</x:v>
      </x:c>
    </x:row>
    <x:row r="29" ht="44" customHeight="1">
      <x:c r="A29" s="15" t="n">
        <x:v>13</x:v>
      </x:c>
      <x:c r="B29" s="15" t="str">
        <x:v>is_synthetic</x:v>
      </x:c>
      <x:c r="C29" s="15" t="str">
        <x:v>합성 여부</x:v>
      </x:c>
      <x:c r="D29" s="15" t="str">
        <x:v>boolean</x:v>
      </x:c>
      <x:c r="E29" s="15"/>
      <x:c r="F29" s="15"/>
      <x:c r="G29" s="15" t="str">
        <x:v>NOT NULL</x:v>
      </x:c>
      <x:c r="H29" s="15"/>
      <x:c r="I29" s="15" t="str">
        <x:v>실제 고객·운영 원천이 아닌 프로젝트 생성 합성 데이터임을 표시한다. 현재 source fixture에서는 항상 true/1이며 실제 데이터와 혼합 저장하지 않는다.</x:v>
      </x:c>
      <x:c r="J29" s="15" t="str">
        <x:v>합성 데이터 정책 | source-fixture-v5.0에서 true/1 고정</x:v>
      </x:c>
      <x:c r="K29" s="15" t="str">
        <x:v>보안: POLICY</x:v>
      </x:c>
    </x:row>
    <x:row r="30" ht="44" customHeight="1">
      <x:c r="A30" s="15" t="n">
        <x:v>14</x:v>
      </x:c>
      <x:c r="B30" s="15" t="str">
        <x:v>source_updated_at</x:v>
      </x:c>
      <x:c r="C30" s="15" t="str">
        <x:v>원천 수정시각</x:v>
      </x:c>
      <x:c r="D30" s="15" t="str">
        <x:v>datetime</x:v>
      </x:c>
      <x:c r="E30" s="15" t="str">
        <x:v>3</x:v>
      </x:c>
      <x:c r="F30" s="15"/>
      <x:c r="G30" s="15" t="str">
        <x:v>NOT NULL</x:v>
      </x:c>
      <x:c r="H30" s="15"/>
      <x:c r="I30" s="15" t="str">
        <x:v>원천 수정시각을 나타내는 업무 시각이다. 관련 상태 전이와 다른 시각 컬럼의 선후관계가 일치해야 하며 point-in-time 분석을 위해 timezone 기준을 일관되게 적용한다. 밀리초 정밀도의 datetime으로 저장하며 애플리케이션에서 UTC로 해석한다.</x:v>
      </x:c>
      <x:c r="J30" s="15" t="str">
        <x:v>Point-in-time 기준 | source watermark; 조회 시 source_updated_at &lt;= :as_of_utc</x:v>
      </x:c>
      <x:c r="K30" s="15" t="str">
        <x:v>보안: SYNTHETIC</x:v>
      </x:c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>
      <x:c r="A32" s="58" t="str">
        <x:v>no</x:v>
      </x:c>
      <x:c r="B32" s="58" t="str">
        <x:v>Index name</x:v>
      </x:c>
      <x:c r="C32" s="58"/>
      <x:c r="D32" s="58" t="str">
        <x:v>Index type</x:v>
      </x:c>
      <x:c r="E32" s="58"/>
      <x:c r="F32" s="58" t="str">
        <x:v>Unique</x:v>
      </x:c>
      <x:c r="G32" s="58"/>
      <x:c r="H32" s="58" t="str">
        <x:v>구성 컬럼</x:v>
      </x:c>
      <x:c r="I32" s="58"/>
      <x:c r="J32" s="58"/>
      <x:c r="K32" s="58"/>
    </x:row>
    <x:row r="33">
      <x:c r="A33" s="15" t="n">
        <x:v>1</x:v>
      </x:c>
      <x:c r="B33" s="15" t="str">
        <x:v>PK_pos_service_periods</x:v>
      </x:c>
      <x:c r="C33" s="15"/>
      <x:c r="D33" s="15" t="str">
        <x:v>PK</x:v>
      </x:c>
      <x:c r="E33" s="15"/>
      <x:c r="F33" s="15" t="str">
        <x:v>Unique</x:v>
      </x:c>
      <x:c r="G33" s="15"/>
      <x:c r="H33" s="15" t="str">
        <x:v>service_period_id</x:v>
      </x:c>
      <x:c r="I33" s="15"/>
      <x:c r="J33" s="15"/>
      <x:c r="K33" s="15"/>
    </x:row>
    <x:row r="34">
      <x:c r="A34" s="15" t="n">
        <x:v>2</x:v>
      </x:c>
      <x:c r="B34" s="15" t="str">
        <x:v>IX_pos_service_periods_store_id</x:v>
      </x:c>
      <x:c r="C34" s="15"/>
      <x:c r="D34" s="15" t="str">
        <x:v>BTREE</x:v>
      </x:c>
      <x:c r="E34" s="15"/>
      <x:c r="F34" s="15" t="str">
        <x:v>Non-Unique</x:v>
      </x:c>
      <x:c r="G34" s="15"/>
      <x:c r="H34" s="15" t="str">
        <x:v>store_id</x:v>
      </x:c>
      <x:c r="I34" s="15"/>
      <x:c r="J34" s="15"/>
      <x:c r="K34" s="15"/>
    </x:row>
    <x:row r="35">
      <x:c r="A35" s="15" t="n">
        <x:v>3</x:v>
      </x:c>
      <x:c r="B35" s="15" t="str">
        <x:v>UQ_pos_service_period</x:v>
      </x:c>
      <x:c r="C35" s="15"/>
      <x:c r="D35" s="15" t="str">
        <x:v>BTREE</x:v>
      </x:c>
      <x:c r="E35" s="15"/>
      <x:c r="F35" s="15" t="str">
        <x:v>Unique</x:v>
      </x:c>
      <x:c r="G35" s="15"/>
      <x:c r="H35" s="15" t="str">
        <x:v>store_id, business_date, service_period</x:v>
      </x:c>
      <x:c r="I35" s="15"/>
      <x:c r="J35" s="15"/>
      <x:c r="K35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2:C32"/>
    <x:mergeCell ref="D32:E32"/>
    <x:mergeCell ref="F32:G32"/>
    <x:mergeCell ref="H32:K32"/>
    <x:mergeCell ref="B33:C33"/>
    <x:mergeCell ref="D33:E33"/>
    <x:mergeCell ref="F33:G33"/>
    <x:mergeCell ref="H33:K33"/>
    <x:mergeCell ref="B34:C34"/>
    <x:mergeCell ref="D34:E34"/>
    <x:mergeCell ref="F34:G34"/>
    <x:mergeCell ref="H34:K34"/>
    <x:mergeCell ref="B35:C35"/>
    <x:mergeCell ref="D35:E35"/>
    <x:mergeCell ref="F35:G35"/>
    <x:mergeCell ref="H35:K35"/>
  </x:mergeCells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MySQL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hotel_pos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hotel_pos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pos_orders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POS 주문·결제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F&amp;B 주문과 결제의 주문 단위 fact를 저장한다. 매장·고객 논리참조, 주문·체크 시각, 이용 인원·시간대, 총액·할인·환불·순매출, 결제·무효 상태를 관리한다.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합성 적재 기준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property_id</x:v>
      </x:c>
      <x:c r="C17" s="15" t="str">
        <x:v>호텔 속성 ID</x:v>
      </x:c>
      <x:c r="D17" s="15" t="str">
        <x:v>varchar</x:v>
      </x:c>
      <x:c r="E17" s="15" t="str">
        <x:v>64</x:v>
      </x:c>
      <x:c r="F17" s="15"/>
      <x:c r="G17" s="15" t="str">
        <x:v>NOT NULL</x:v>
      </x:c>
      <x:c r="H17" s="15"/>
      <x:c r="I17" s="15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15" t="str">
        <x:v>공통 조인 기준 | fixture property_id=SYNTHETIC_HOTEL_001 | 5개 source에서 동일 값 사용</x:v>
      </x:c>
      <x:c r="K17" s="15" t="str">
        <x:v>보안: POLICY</x:v>
      </x:c>
    </x:row>
    <x:row r="18" ht="44" customHeight="1">
      <x:c r="A18" s="15" t="n">
        <x:v>2</x:v>
      </x:c>
      <x:c r="B18" s="15" t="str">
        <x:v>order_id</x:v>
      </x:c>
      <x:c r="C18" s="15" t="str">
        <x:v>주문 ID</x:v>
      </x:c>
      <x:c r="D18" s="15" t="str">
        <x:v>varchar</x:v>
      </x:c>
      <x:c r="E18" s="15" t="str">
        <x:v>36</x:v>
      </x:c>
      <x:c r="F18" s="15" t="str">
        <x:v>PK</x:v>
      </x:c>
      <x:c r="G18" s="15" t="str">
        <x:v>NOT NULL</x:v>
      </x:c>
      <x:c r="H18" s="15"/>
      <x:c r="I18" s="15" t="str">
        <x:v>POS 주문·결제의 한 행을 안정적으로 식별하는 기본키다. 다른 이력·분석·참조에서 동일 레코드를 추적할 수 있도록 생성 후 재사용하거나 변경하지 않는다.</x:v>
      </x:c>
      <x:c r="J18" s="15" t="str">
        <x:v>참조됨 | hotel_pos.hotel_pos.pos_order_items.order_id</x:v>
      </x:c>
      <x:c r="K18" s="15" t="str">
        <x:v>보안: SYNTHETIC</x:v>
      </x:c>
    </x:row>
    <x:row r="19" ht="44" customHeight="1">
      <x:c r="A19" s="15" t="n">
        <x:v>3</x:v>
      </x:c>
      <x:c r="B19" s="15" t="str">
        <x:v>store_id</x:v>
      </x:c>
      <x:c r="C19" s="15" t="str">
        <x:v>매장 ID</x:v>
      </x:c>
      <x:c r="D19" s="15" t="str">
        <x:v>varchar</x:v>
      </x:c>
      <x:c r="E19" s="15" t="str">
        <x:v>32</x:v>
      </x:c>
      <x:c r="F19" s="15" t="str">
        <x:v>FK</x:v>
      </x:c>
      <x:c r="G19" s="15" t="str">
        <x:v>NOT NULL</x:v>
      </x:c>
      <x:c r="H19" s="15"/>
      <x:c r="I19" s="15" t="str">
        <x:v>매장 ID를 hotel_pos.hotel_pos.pos_stores.store_id와 연결하는 물리 외래키다. 반드시 존재하는 상위 행을 참조해야 한다.</x:v>
      </x:c>
      <x:c r="J19" s="15" t="str">
        <x:v>물리 FK | hotel_pos.hotel_pos.pos_stores.store_id</x:v>
      </x:c>
      <x:c r="K19" s="15" t="str">
        <x:v>보안: SYNTHETIC</x:v>
      </x:c>
    </x:row>
    <x:row r="20" ht="44" customHeight="1">
      <x:c r="A20" s="15" t="n">
        <x:v>4</x:v>
      </x:c>
      <x:c r="B20" s="15" t="str">
        <x:v>pos_customer_ref</x:v>
      </x:c>
      <x:c r="C20" s="15" t="str">
        <x:v>POS 고객 참조</x:v>
      </x:c>
      <x:c r="D20" s="15" t="str">
        <x:v>varchar</x:v>
      </x:c>
      <x:c r="E20" s="15" t="str">
        <x:v>36</x:v>
      </x:c>
      <x:c r="F20" s="15" t="str">
        <x:v>L-FK</x:v>
      </x:c>
      <x:c r="G20" s="15"/>
      <x:c r="H20" s="15"/>
      <x:c r="I20" s="15" t="str">
        <x:v>POS 주문의 합성 고객키다. crm_customer_map.pos_customer_ref와 ordered_at 기준 유효기간을 만족할 때만 CRM 회원과 논리 연결하며 매핑되지 않은 비회원 주문은 NULL을 허용한다.</x:v>
      </x:c>
      <x:c r="J20" s="15" t="str">
        <x:v>논리 참조 | hotel_crm.dbo.crm_customer_map.pos_customer_ref | Trino JOIN_POLICY; ordered_at가 매핑 [valid_from, valid_to) 구간에 포함</x:v>
      </x:c>
      <x:c r="K20" s="15" t="str">
        <x:v>보안: SYNTHETIC</x:v>
      </x:c>
    </x:row>
    <x:row r="21" ht="44" customHeight="1">
      <x:c r="A21" s="15" t="n">
        <x:v>5</x:v>
      </x:c>
      <x:c r="B21" s="15" t="str">
        <x:v>ordered_at</x:v>
      </x:c>
      <x:c r="C21" s="15" t="str">
        <x:v>주문 시각</x:v>
      </x:c>
      <x:c r="D21" s="15" t="str">
        <x:v>datetime</x:v>
      </x:c>
      <x:c r="E21" s="15" t="str">
        <x:v>3</x:v>
      </x:c>
      <x:c r="F21" s="15"/>
      <x:c r="G21" s="15" t="str">
        <x:v>NOT NULL</x:v>
      </x:c>
      <x:c r="H21" s="15"/>
      <x:c r="I21" s="15" t="str">
        <x:v>주문 시각을 나타내는 업무 시각이다. 관련 상태 전이와 다른 시각 컬럼의 선후관계가 일치해야 하며 point-in-time 분석을 위해 timezone 기준을 일관되게 적용한다. 밀리초 정밀도의 datetime으로 저장하며 애플리케이션에서 UTC로 해석한다.</x:v>
      </x:c>
      <x:c r="J21" s="15"/>
      <x:c r="K21" s="15" t="str">
        <x:v>보안: SYNTHETIC</x:v>
      </x:c>
    </x:row>
    <x:row r="22" ht="44" customHeight="1">
      <x:c r="A22" s="15" t="n">
        <x:v>6</x:v>
      </x:c>
      <x:c r="B22" s="15" t="str">
        <x:v>check_opened_at</x:v>
      </x:c>
      <x:c r="C22" s="15" t="str">
        <x:v>체크 시작</x:v>
      </x:c>
      <x:c r="D22" s="15" t="str">
        <x:v>datetime</x:v>
      </x:c>
      <x:c r="E22" s="15" t="str">
        <x:v>3</x:v>
      </x:c>
      <x:c r="F22" s="15"/>
      <x:c r="G22" s="15" t="str">
        <x:v>NOT NULL</x:v>
      </x:c>
      <x:c r="H22" s="15"/>
      <x:c r="I22" s="15" t="str">
        <x:v>POS 체크가 열린 시각이다. ordered_at과 같거나 이전일 수 있으며 check_closed_at보다 늦을 수 없다.</x:v>
      </x:c>
      <x:c r="J22" s="15"/>
      <x:c r="K22" s="15" t="str">
        <x:v>보안: SYNTHETIC</x:v>
      </x:c>
    </x:row>
    <x:row r="23" ht="44" customHeight="1">
      <x:c r="A23" s="15" t="n">
        <x:v>7</x:v>
      </x:c>
      <x:c r="B23" s="15" t="str">
        <x:v>check_closed_at</x:v>
      </x:c>
      <x:c r="C23" s="15" t="str">
        <x:v>체크 종료</x:v>
      </x:c>
      <x:c r="D23" s="15" t="str">
        <x:v>datetime</x:v>
      </x:c>
      <x:c r="E23" s="15" t="str">
        <x:v>3</x:v>
      </x:c>
      <x:c r="F23" s="15"/>
      <x:c r="G23" s="15"/>
      <x:c r="H23" s="15"/>
      <x:c r="I23" s="15" t="str">
        <x:v>결제·취소 등으로 POS 체크가 종료된 시각이다. OPEN 상태에서는 NULL일 수 있고 종료 상태에서는 check_opened_at 이후여야 한다.</x:v>
      </x:c>
      <x:c r="J23" s="15"/>
      <x:c r="K23" s="15" t="str">
        <x:v>보안: SYNTHETIC</x:v>
      </x:c>
    </x:row>
    <x:row r="24" ht="44" customHeight="1">
      <x:c r="A24" s="15" t="n">
        <x:v>8</x:v>
      </x:c>
      <x:c r="B24" s="15" t="str">
        <x:v>guest_count</x:v>
      </x:c>
      <x:c r="C24" s="15" t="str">
        <x:v>이용 인원</x:v>
      </x:c>
      <x:c r="D24" s="15" t="str">
        <x:v>integer</x:v>
      </x:c>
      <x:c r="E24" s="15"/>
      <x:c r="F24" s="15"/>
      <x:c r="G24" s="15" t="str">
        <x:v>NOT NULL</x:v>
      </x:c>
      <x:c r="H24" s="15"/>
      <x:c r="I24" s="15" t="str">
        <x:v>한 주문 체크에 포함된 이용 인원 수다. 1 이상을 기본으로 하며 객단가 계산에서 net_amount의 분모로 사용한다.</x:v>
      </x:c>
      <x:c r="J24" s="15"/>
      <x:c r="K24" s="15" t="str">
        <x:v>보안: SYNTHETIC</x:v>
      </x:c>
    </x:row>
    <x:row r="25" ht="44" customHeight="1">
      <x:c r="A25" s="15" t="n">
        <x:v>9</x:v>
      </x:c>
      <x:c r="B25" s="15" t="str">
        <x:v>service_period</x:v>
      </x:c>
      <x:c r="C25" s="15" t="str">
        <x:v>서비스 시간대</x:v>
      </x:c>
      <x:c r="D25" s="15" t="str">
        <x:v>varchar</x:v>
      </x:c>
      <x:c r="E25" s="15" t="str">
        <x:v>16</x:v>
      </x:c>
      <x:c r="F25" s="15"/>
      <x:c r="G25" s="15" t="str">
        <x:v>NOT NULL</x:v>
      </x:c>
      <x:c r="H25" s="15"/>
      <x:c r="I25" s="15" t="str">
        <x:v>서비스 시간대: 자유서술이 아닌 승인 코드로 저장한다. 자유서술 대신 승인된 코드 도메인을 사용해 source 간 집계와 필터 조건을 일관되게 유지한다.</x:v>
      </x:c>
      <x:c r="J25" s="15" t="str">
        <x:v>논리 코드 도메인 | pos_service_periods.service_period</x:v>
      </x:c>
      <x:c r="K25" s="15" t="str">
        <x:v>보안: SYNTHETIC</x:v>
      </x:c>
    </x:row>
    <x:row r="26" ht="44" customHeight="1">
      <x:c r="A26" s="15" t="n">
        <x:v>10</x:v>
      </x:c>
      <x:c r="B26" s="15" t="str">
        <x:v>order_status</x:v>
      </x:c>
      <x:c r="C26" s="15" t="str">
        <x:v>주문 상태</x:v>
      </x:c>
      <x:c r="D26" s="15" t="str">
        <x:v>varchar</x:v>
      </x:c>
      <x:c r="E26" s="15" t="str">
        <x:v>20</x:v>
      </x:c>
      <x:c r="F26" s="15"/>
      <x:c r="G26" s="15" t="str">
        <x:v>NOT NULL</x:v>
      </x:c>
      <x:c r="H26" s="15"/>
      <x:c r="I26" s="15" t="str">
        <x:v>주문 처리 상태다. OPEN, PAID, VOID, PARTIAL_REFUND, REFUNDED 중 하나이며 결제상태·환불액·void_flag와 함께 정합성을 검증한다.</x:v>
      </x:c>
      <x:c r="J26" s="15" t="str">
        <x:v>코드 기준 | OPEN, PAID, VOID, PARTIAL_REFUND, REFUNDED</x:v>
      </x:c>
      <x:c r="K26" s="15" t="str">
        <x:v>보안: SYNTHETIC</x:v>
      </x:c>
    </x:row>
    <x:row r="27" ht="44" customHeight="1">
      <x:c r="A27" s="15" t="n">
        <x:v>11</x:v>
      </x:c>
      <x:c r="B27" s="15" t="str">
        <x:v>gross_amount</x:v>
      </x:c>
      <x:c r="C27" s="15" t="str">
        <x:v>총액</x:v>
      </x:c>
      <x:c r="D27" s="15" t="str">
        <x:v>decimal</x:v>
      </x:c>
      <x:c r="E27" s="15" t="str">
        <x:v>14,2</x:v>
      </x:c>
      <x:c r="F27" s="15"/>
      <x:c r="G27" s="15" t="str">
        <x:v>NOT NULL</x:v>
      </x:c>
      <x:c r="H27" s="15"/>
      <x:c r="I27" s="15" t="str">
        <x:v>할인·환불 적용 전 주문 품목 총액이다. pos_order_items.gross_amount 합계와 주문 grain에서 일치해야 한다.</x:v>
      </x:c>
      <x:c r="J27" s="15"/>
      <x:c r="K27" s="15" t="str">
        <x:v>보안: SYNTHETIC</x:v>
      </x:c>
    </x:row>
    <x:row r="28" ht="44" customHeight="1">
      <x:c r="A28" s="15" t="n">
        <x:v>12</x:v>
      </x:c>
      <x:c r="B28" s="15" t="str">
        <x:v>discount_amount</x:v>
      </x:c>
      <x:c r="C28" s="15" t="str">
        <x:v>할인 금액</x:v>
      </x:c>
      <x:c r="D28" s="15" t="str">
        <x:v>decimal</x:v>
      </x:c>
      <x:c r="E28" s="15" t="str">
        <x:v>14,2</x:v>
      </x:c>
      <x:c r="F28" s="15"/>
      <x:c r="G28" s="15" t="str">
        <x:v>NOT NULL</x:v>
      </x:c>
      <x:c r="H28" s="15"/>
      <x:c r="I28" s="15" t="str">
        <x:v>할인 금액: 해당 업무 단위에서 발생한 원화 금액 원자값이다. 취소·환불·환입·무효 상태를 구분한 뒤 집계하고 소수점 오차가 없도록 고정소수점 타입을 사용한다.</x:v>
      </x:c>
      <x:c r="J28" s="15"/>
      <x:c r="K28" s="15" t="str">
        <x:v>보안: SYNTHETIC</x:v>
      </x:c>
    </x:row>
    <x:row r="29" ht="44" customHeight="1">
      <x:c r="A29" s="15" t="n">
        <x:v>13</x:v>
      </x:c>
      <x:c r="B29" s="15" t="str">
        <x:v>refund_amount</x:v>
      </x:c>
      <x:c r="C29" s="15" t="str">
        <x:v>환불 금액</x:v>
      </x:c>
      <x:c r="D29" s="15" t="str">
        <x:v>decimal</x:v>
      </x:c>
      <x:c r="E29" s="15" t="str">
        <x:v>14,2</x:v>
      </x:c>
      <x:c r="F29" s="15"/>
      <x:c r="G29" s="15" t="str">
        <x:v>NOT NULL</x:v>
      </x:c>
      <x:c r="H29" s="15"/>
      <x:c r="I29" s="15" t="str">
        <x:v>환불 금액: 해당 업무 단위에서 발생한 원화 금액 원자값이다. 취소·환불·환입·무효 상태를 구분한 뒤 집계하고 소수점 오차가 없도록 고정소수점 타입을 사용한다.</x:v>
      </x:c>
      <x:c r="J29" s="15"/>
      <x:c r="K29" s="15" t="str">
        <x:v>보안: SYNTHETIC</x:v>
      </x:c>
    </x:row>
    <x:row r="30" ht="44" customHeight="1">
      <x:c r="A30" s="15" t="n">
        <x:v>14</x:v>
      </x:c>
      <x:c r="B30" s="15" t="str">
        <x:v>net_amount</x:v>
      </x:c>
      <x:c r="C30" s="15" t="str">
        <x:v>순매출</x:v>
      </x:c>
      <x:c r="D30" s="15" t="str">
        <x:v>decimal</x:v>
      </x:c>
      <x:c r="E30" s="15" t="str">
        <x:v>14,2</x:v>
      </x:c>
      <x:c r="F30" s="15"/>
      <x:c r="G30" s="15" t="str">
        <x:v>NOT NULL</x:v>
      </x:c>
      <x:c r="H30" s="15"/>
      <x:c r="I30" s="15" t="str">
        <x:v>할인과 환불을 반영한 주문 순매출 원자값이다. F&amp;B 매출 KPI에 사용하며 VOID 주문은 집계에서 제외한다.</x:v>
      </x:c>
      <x:c r="J30" s="15"/>
      <x:c r="K30" s="15" t="str">
        <x:v>보안: SYNTHETIC</x:v>
      </x:c>
    </x:row>
    <x:row r="31" ht="44" customHeight="1">
      <x:c r="A31" s="15" t="n">
        <x:v>15</x:v>
      </x:c>
      <x:c r="B31" s="15" t="str">
        <x:v>payment_status</x:v>
      </x:c>
      <x:c r="C31" s="15" t="str">
        <x:v>결제 상태</x:v>
      </x:c>
      <x:c r="D31" s="15" t="str">
        <x:v>varchar</x:v>
      </x:c>
      <x:c r="E31" s="15" t="str">
        <x:v>20</x:v>
      </x:c>
      <x:c r="F31" s="15"/>
      <x:c r="G31" s="15" t="str">
        <x:v>NOT NULL</x:v>
      </x:c>
      <x:c r="H31" s="15"/>
      <x:c r="I31" s="15" t="str">
        <x:v>결제 결과 상태다. PAID, PARTIAL_REFUND, REFUNDED, FAILED 중 하나이며 order_status와 모순되지 않아야 한다.</x:v>
      </x:c>
      <x:c r="J31" s="15" t="str">
        <x:v>코드 기준 | PAID, PARTIAL_REFUND, REFUNDED, FAILED</x:v>
      </x:c>
      <x:c r="K31" s="15" t="str">
        <x:v>보안: SYNTHETIC</x:v>
      </x:c>
    </x:row>
    <x:row r="32" ht="44" customHeight="1">
      <x:c r="A32" s="15" t="n">
        <x:v>16</x:v>
      </x:c>
      <x:c r="B32" s="15" t="str">
        <x:v>payment_amount</x:v>
      </x:c>
      <x:c r="C32" s="15" t="str">
        <x:v>결제 금액</x:v>
      </x:c>
      <x:c r="D32" s="15" t="str">
        <x:v>decimal</x:v>
      </x:c>
      <x:c r="E32" s="15" t="str">
        <x:v>14,2</x:v>
      </x:c>
      <x:c r="F32" s="15"/>
      <x:c r="G32" s="15" t="str">
        <x:v>NOT NULL</x:v>
      </x:c>
      <x:c r="H32" s="15"/>
      <x:c r="I32" s="15" t="str">
        <x:v>실제 결제 처리된 금액이다. 환불 전후 상태에 따라 net_amount와 다를 수 있으므로 별도 보관한다.</x:v>
      </x:c>
      <x:c r="J32" s="15"/>
      <x:c r="K32" s="15" t="str">
        <x:v>보안: SYNTHETIC</x:v>
      </x:c>
    </x:row>
    <x:row r="33" ht="44" customHeight="1">
      <x:c r="A33" s="15" t="n">
        <x:v>17</x:v>
      </x:c>
      <x:c r="B33" s="15" t="str">
        <x:v>void_flag</x:v>
      </x:c>
      <x:c r="C33" s="15" t="str">
        <x:v>무효 여부</x:v>
      </x:c>
      <x:c r="D33" s="15" t="str">
        <x:v>boolean</x:v>
      </x:c>
      <x:c r="E33" s="15"/>
      <x:c r="F33" s="15"/>
      <x:c r="G33" s="15" t="str">
        <x:v>NOT NULL</x:v>
      </x:c>
      <x:c r="H33" s="15"/>
      <x:c r="I33" s="15" t="str">
        <x:v>주문 전체가 무효 처리되었는지 나타낸다. true이면 order_status=VOID이고 매출 집계에서 제외되어야 한다.</x:v>
      </x:c>
      <x:c r="J33" s="15"/>
      <x:c r="K33" s="15" t="str">
        <x:v>보안: SYNTHETIC</x:v>
      </x:c>
    </x:row>
    <x:row r="34" ht="44" customHeight="1">
      <x:c r="A34" s="15" t="n">
        <x:v>18</x:v>
      </x:c>
      <x:c r="B34" s="15" t="str">
        <x:v>data_period_status</x:v>
      </x:c>
      <x:c r="C34" s="15" t="str">
        <x:v>기간 상태</x:v>
      </x:c>
      <x:c r="D34" s="15" t="str">
        <x:v>varchar</x:v>
      </x:c>
      <x:c r="E34" s="15" t="str">
        <x:v>32</x:v>
      </x:c>
      <x:c r="F34" s="15"/>
      <x:c r="G34" s="15" t="str">
        <x:v>NOT NULL</x:v>
      </x:c>
      <x:c r="H34" s="15"/>
      <x:c r="I34" s="1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34" s="15" t="str">
        <x:v>기준 테이블 | hotel_datahub_app.reference.calendar_daily.data_period_status</x:v>
      </x:c>
      <x:c r="K34" s="15" t="str">
        <x:v>보안: POLICY</x:v>
      </x:c>
    </x:row>
    <x:row r="35" ht="44" customHeight="1">
      <x:c r="A35" s="15" t="n">
        <x:v>19</x:v>
      </x:c>
      <x:c r="B35" s="15" t="str">
        <x:v>is_forecast</x:v>
      </x:c>
      <x:c r="C35" s="15" t="str">
        <x:v>전망 여부</x:v>
      </x:c>
      <x:c r="D35" s="15" t="str">
        <x:v>boolean</x:v>
      </x:c>
      <x:c r="E35" s="15"/>
      <x:c r="F35" s="15"/>
      <x:c r="G35" s="15" t="str">
        <x:v>NOT NULL</x:v>
      </x:c>
      <x:c r="H35" s="15"/>
      <x:c r="I35" s="15" t="str">
        <x:v>해당 행을 실제·유사 실적이 아닌 미래 전망 시나리오로 취급할지 나타낸다. 2026-08-16 이후 FORECAST_SCENARIO만 true/1이며 실제 실적 기본 조회에서는 제외한다.</x:v>
      </x:c>
      <x:c r="J35" s="15" t="str">
        <x:v>기준 테이블 | hotel_datahub_app.reference.calendar_daily.is_forecast</x:v>
      </x:c>
      <x:c r="K35" s="15" t="str">
        <x:v>보안: POLICY</x:v>
      </x:c>
    </x:row>
    <x:row r="36" ht="44" customHeight="1">
      <x:c r="A36" s="15" t="n">
        <x:v>20</x:v>
      </x:c>
      <x:c r="B36" s="15" t="str">
        <x:v>is_synthetic</x:v>
      </x:c>
      <x:c r="C36" s="15" t="str">
        <x:v>합성 여부</x:v>
      </x:c>
      <x:c r="D36" s="15" t="str">
        <x:v>boolean</x:v>
      </x:c>
      <x:c r="E36" s="15"/>
      <x:c r="F36" s="15"/>
      <x:c r="G36" s="15" t="str">
        <x:v>NOT NULL</x:v>
      </x:c>
      <x:c r="H36" s="15"/>
      <x:c r="I36" s="15" t="str">
        <x:v>실제 고객·운영 원천이 아닌 프로젝트 생성 합성 데이터임을 표시한다. 현재 source fixture에서는 항상 true/1이며 실제 데이터와 혼합 저장하지 않는다.</x:v>
      </x:c>
      <x:c r="J36" s="15" t="str">
        <x:v>합성 데이터 정책 | source-fixture-v5.0에서 true/1 고정</x:v>
      </x:c>
      <x:c r="K36" s="15" t="str">
        <x:v>보안: POLICY</x:v>
      </x:c>
    </x:row>
    <x:row r="37" ht="44" customHeight="1">
      <x:c r="A37" s="15" t="n">
        <x:v>21</x:v>
      </x:c>
      <x:c r="B37" s="15" t="str">
        <x:v>source_updated_at</x:v>
      </x:c>
      <x:c r="C37" s="15" t="str">
        <x:v>원천 수정시각</x:v>
      </x:c>
      <x:c r="D37" s="15" t="str">
        <x:v>datetime</x:v>
      </x:c>
      <x:c r="E37" s="15" t="str">
        <x:v>3</x:v>
      </x:c>
      <x:c r="F37" s="15"/>
      <x:c r="G37" s="15" t="str">
        <x:v>NOT NULL</x:v>
      </x:c>
      <x:c r="H37" s="15"/>
      <x:c r="I37" s="15" t="str">
        <x:v>원천 수정시각을 나타내는 업무 시각이다. 관련 상태 전이와 다른 시각 컬럼의 선후관계가 일치해야 하며 point-in-time 분석을 위해 timezone 기준을 일관되게 적용한다. 밀리초 정밀도의 datetime으로 저장하며 애플리케이션에서 UTC로 해석한다.</x:v>
      </x:c>
      <x:c r="J37" s="15" t="str">
        <x:v>Point-in-time 기준 | source watermark; 조회 시 source_updated_at &lt;= :as_of_utc</x:v>
      </x:c>
      <x:c r="K37" s="15" t="str">
        <x:v>보안: SYNTHETIC</x:v>
      </x:c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</x:row>
    <x:row r="39">
      <x:c r="A39" s="58" t="str">
        <x:v>no</x:v>
      </x:c>
      <x:c r="B39" s="58" t="str">
        <x:v>Index name</x:v>
      </x:c>
      <x:c r="C39" s="58"/>
      <x:c r="D39" s="58" t="str">
        <x:v>Index type</x:v>
      </x:c>
      <x:c r="E39" s="58"/>
      <x:c r="F39" s="58" t="str">
        <x:v>Unique</x:v>
      </x:c>
      <x:c r="G39" s="58"/>
      <x:c r="H39" s="58" t="str">
        <x:v>구성 컬럼</x:v>
      </x:c>
      <x:c r="I39" s="58"/>
      <x:c r="J39" s="58"/>
      <x:c r="K39" s="58"/>
    </x:row>
    <x:row r="40">
      <x:c r="A40" s="15" t="n">
        <x:v>1</x:v>
      </x:c>
      <x:c r="B40" s="15" t="str">
        <x:v>PK_pos_orders</x:v>
      </x:c>
      <x:c r="C40" s="15"/>
      <x:c r="D40" s="15" t="str">
        <x:v>PK</x:v>
      </x:c>
      <x:c r="E40" s="15"/>
      <x:c r="F40" s="15" t="str">
        <x:v>Unique</x:v>
      </x:c>
      <x:c r="G40" s="15"/>
      <x:c r="H40" s="15" t="str">
        <x:v>order_id</x:v>
      </x:c>
      <x:c r="I40" s="15"/>
      <x:c r="J40" s="15"/>
      <x:c r="K40" s="15"/>
    </x:row>
    <x:row r="41">
      <x:c r="A41" s="15" t="n">
        <x:v>2</x:v>
      </x:c>
      <x:c r="B41" s="15" t="str">
        <x:v>IX_pos_orders_store_id</x:v>
      </x:c>
      <x:c r="C41" s="15"/>
      <x:c r="D41" s="15" t="str">
        <x:v>BTREE</x:v>
      </x:c>
      <x:c r="E41" s="15"/>
      <x:c r="F41" s="15" t="str">
        <x:v>Non-Unique</x:v>
      </x:c>
      <x:c r="G41" s="15"/>
      <x:c r="H41" s="15" t="str">
        <x:v>store_id</x:v>
      </x:c>
      <x:c r="I41" s="15"/>
      <x:c r="J41" s="15"/>
      <x:c r="K41" s="15"/>
    </x:row>
    <x:row r="42">
      <x:c r="A42" s="15" t="n">
        <x:v>3</x:v>
      </x:c>
      <x:c r="B42" s="15" t="str">
        <x:v>IX_pos_orders_store_ordered</x:v>
      </x:c>
      <x:c r="C42" s="15"/>
      <x:c r="D42" s="15" t="str">
        <x:v>BTREE</x:v>
      </x:c>
      <x:c r="E42" s="15"/>
      <x:c r="F42" s="15" t="str">
        <x:v>Non-Unique</x:v>
      </x:c>
      <x:c r="G42" s="15"/>
      <x:c r="H42" s="15" t="str">
        <x:v>store_id, ordered_at</x:v>
      </x:c>
      <x:c r="I42" s="15"/>
      <x:c r="J42" s="15"/>
      <x:c r="K42" s="15"/>
    </x:row>
    <x:row r="43">
      <x:c r="A43" s="15" t="n">
        <x:v>4</x:v>
      </x:c>
      <x:c r="B43" s="15" t="str">
        <x:v>IX_pos_orders_customer_ordered</x:v>
      </x:c>
      <x:c r="C43" s="15"/>
      <x:c r="D43" s="15" t="str">
        <x:v>BTREE</x:v>
      </x:c>
      <x:c r="E43" s="15"/>
      <x:c r="F43" s="15" t="str">
        <x:v>Non-Unique</x:v>
      </x:c>
      <x:c r="G43" s="15"/>
      <x:c r="H43" s="15" t="str">
        <x:v>pos_customer_ref, ordered_at</x:v>
      </x:c>
      <x:c r="I43" s="15"/>
      <x:c r="J43" s="15"/>
      <x:c r="K43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9:C39"/>
    <x:mergeCell ref="D39:E39"/>
    <x:mergeCell ref="F39:G39"/>
    <x:mergeCell ref="H39:K39"/>
    <x:mergeCell ref="B40:C40"/>
    <x:mergeCell ref="D40:E40"/>
    <x:mergeCell ref="F40:G40"/>
    <x:mergeCell ref="H40:K40"/>
    <x:mergeCell ref="B41:C41"/>
    <x:mergeCell ref="D41:E41"/>
    <x:mergeCell ref="F41:G41"/>
    <x:mergeCell ref="H41:K41"/>
    <x:mergeCell ref="B42:C42"/>
    <x:mergeCell ref="D42:E42"/>
    <x:mergeCell ref="F42:G42"/>
    <x:mergeCell ref="H42:K42"/>
    <x:mergeCell ref="B43:C43"/>
    <x:mergeCell ref="D43:E43"/>
    <x:mergeCell ref="F43:G43"/>
    <x:mergeCell ref="H43:K43"/>
  </x:mergeCells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MySQL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hotel_pos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hotel_pos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pos_order_items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POS 주문 품목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POS 주문에 포함된 품목별 수량과 금액을 저장한다. 주문 하위 grain에서 상품 코드·카테고리·단가·총액·할인·순매출을 기록하며 별도 상품 master는 P0 범위에 두지 않는다.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합성 적재 기준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property_id</x:v>
      </x:c>
      <x:c r="C17" s="15" t="str">
        <x:v>호텔 속성 ID</x:v>
      </x:c>
      <x:c r="D17" s="15" t="str">
        <x:v>varchar</x:v>
      </x:c>
      <x:c r="E17" s="15" t="str">
        <x:v>64</x:v>
      </x:c>
      <x:c r="F17" s="15"/>
      <x:c r="G17" s="15" t="str">
        <x:v>NOT NULL</x:v>
      </x:c>
      <x:c r="H17" s="15"/>
      <x:c r="I17" s="15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15" t="str">
        <x:v>공통 조인 기준 | fixture property_id=SYNTHETIC_HOTEL_001 | 5개 source에서 동일 값 사용</x:v>
      </x:c>
      <x:c r="K17" s="15" t="str">
        <x:v>보안: POLICY</x:v>
      </x:c>
    </x:row>
    <x:row r="18" ht="44" customHeight="1">
      <x:c r="A18" s="15" t="n">
        <x:v>2</x:v>
      </x:c>
      <x:c r="B18" s="15" t="str">
        <x:v>order_item_id</x:v>
      </x:c>
      <x:c r="C18" s="15" t="str">
        <x:v>주문 품목 ID</x:v>
      </x:c>
      <x:c r="D18" s="15" t="str">
        <x:v>varchar</x:v>
      </x:c>
      <x:c r="E18" s="15" t="str">
        <x:v>36</x:v>
      </x:c>
      <x:c r="F18" s="15" t="str">
        <x:v>PK</x:v>
      </x:c>
      <x:c r="G18" s="15" t="str">
        <x:v>NOT NULL</x:v>
      </x:c>
      <x:c r="H18" s="15"/>
      <x:c r="I18" s="15" t="str">
        <x:v>POS 주문 품목의 한 행을 안정적으로 식별하는 기본키다. 다른 이력·분석·참조에서 동일 레코드를 추적할 수 있도록 생성 후 재사용하거나 변경하지 않는다.</x:v>
      </x:c>
      <x:c r="J18" s="15"/>
      <x:c r="K18" s="15" t="str">
        <x:v>보안: SYNTHETIC</x:v>
      </x:c>
    </x:row>
    <x:row r="19" ht="44" customHeight="1">
      <x:c r="A19" s="15" t="n">
        <x:v>3</x:v>
      </x:c>
      <x:c r="B19" s="15" t="str">
        <x:v>order_id</x:v>
      </x:c>
      <x:c r="C19" s="15" t="str">
        <x:v>주문 ID</x:v>
      </x:c>
      <x:c r="D19" s="15" t="str">
        <x:v>varchar</x:v>
      </x:c>
      <x:c r="E19" s="15" t="str">
        <x:v>36</x:v>
      </x:c>
      <x:c r="F19" s="15" t="str">
        <x:v>FK</x:v>
      </x:c>
      <x:c r="G19" s="15" t="str">
        <x:v>NOT NULL</x:v>
      </x:c>
      <x:c r="H19" s="15"/>
      <x:c r="I19" s="15" t="str">
        <x:v>주문 ID를 hotel_pos.hotel_pos.pos_orders.order_id와 연결하는 물리 외래키다. 반드시 존재하는 상위 행을 참조해야 한다.</x:v>
      </x:c>
      <x:c r="J19" s="15" t="str">
        <x:v>물리 FK | hotel_pos.hotel_pos.pos_orders.order_id</x:v>
      </x:c>
      <x:c r="K19" s="15" t="str">
        <x:v>보안: SYNTHETIC</x:v>
      </x:c>
    </x:row>
    <x:row r="20" ht="44" customHeight="1">
      <x:c r="A20" s="15" t="n">
        <x:v>4</x:v>
      </x:c>
      <x:c r="B20" s="15" t="str">
        <x:v>item_code</x:v>
      </x:c>
      <x:c r="C20" s="15" t="str">
        <x:v>상품 코드</x:v>
      </x:c>
      <x:c r="D20" s="15" t="str">
        <x:v>varchar</x:v>
      </x:c>
      <x:c r="E20" s="15" t="str">
        <x:v>32</x:v>
      </x:c>
      <x:c r="F20" s="15"/>
      <x:c r="G20" s="15" t="str">
        <x:v>NOT NULL</x:v>
      </x:c>
      <x:c r="H20" s="15"/>
      <x:c r="I20" s="15" t="str">
        <x:v>상품 코드: 자유서술이 아닌 승인 코드로 저장한다. 자유서술 대신 승인된 코드 도메인을 사용해 source 간 집계와 필터 조건을 일관되게 유지한다.</x:v>
      </x:c>
      <x:c r="J20" s="15" t="str">
        <x:v>자체 코드 도메인 | P0에서는 별도 item master 미구현; item_category와 함께 관리</x:v>
      </x:c>
      <x:c r="K20" s="15" t="str">
        <x:v>보안: SYNTHETIC</x:v>
      </x:c>
    </x:row>
    <x:row r="21" ht="44" customHeight="1">
      <x:c r="A21" s="15" t="n">
        <x:v>5</x:v>
      </x:c>
      <x:c r="B21" s="15" t="str">
        <x:v>item_category</x:v>
      </x:c>
      <x:c r="C21" s="15" t="str">
        <x:v>상품 카테고리</x:v>
      </x:c>
      <x:c r="D21" s="15" t="str">
        <x:v>varchar</x:v>
      </x:c>
      <x:c r="E21" s="15" t="str">
        <x:v>32</x:v>
      </x:c>
      <x:c r="F21" s="15"/>
      <x:c r="G21" s="15" t="str">
        <x:v>NOT NULL</x:v>
      </x:c>
      <x:c r="H21" s="15"/>
      <x:c r="I21" s="15" t="str">
        <x:v>상품 카테고리: 승인된 표준 코드 값이다. 허용값은 승인된 코드 도메인이며 값에 따라 POS 주문 품목의 처리 규칙·집계 범위·표시 방식이 달라지므로 자유서술을 허용하지 않는다.</x:v>
      </x:c>
      <x:c r="J21" s="15" t="str">
        <x:v>자체 코드 도메인 | P0에서는 별도 item master 미구현</x:v>
      </x:c>
      <x:c r="K21" s="15" t="str">
        <x:v>보안: SYNTHETIC</x:v>
      </x:c>
    </x:row>
    <x:row r="22" ht="44" customHeight="1">
      <x:c r="A22" s="15" t="n">
        <x:v>6</x:v>
      </x:c>
      <x:c r="B22" s="15" t="str">
        <x:v>quantity</x:v>
      </x:c>
      <x:c r="C22" s="15" t="str">
        <x:v>수량</x:v>
      </x:c>
      <x:c r="D22" s="15" t="str">
        <x:v>integer</x:v>
      </x:c>
      <x:c r="E22" s="15"/>
      <x:c r="F22" s="15"/>
      <x:c r="G22" s="15" t="str">
        <x:v>NOT NULL</x:v>
      </x:c>
      <x:c r="H22" s="15"/>
      <x:c r="I22" s="15" t="str">
        <x:v>주문에 포함된 해당 품목의 수량이다. 최소 1이며 gross_amount 계산과 주문 총액 검증에 사용한다.</x:v>
      </x:c>
      <x:c r="J22" s="15"/>
      <x:c r="K22" s="15" t="str">
        <x:v>보안: SYNTHETIC</x:v>
      </x:c>
    </x:row>
    <x:row r="23" ht="44" customHeight="1">
      <x:c r="A23" s="15" t="n">
        <x:v>7</x:v>
      </x:c>
      <x:c r="B23" s="15" t="str">
        <x:v>unit_price</x:v>
      </x:c>
      <x:c r="C23" s="15" t="str">
        <x:v>단가</x:v>
      </x:c>
      <x:c r="D23" s="15" t="str">
        <x:v>decimal</x:v>
      </x:c>
      <x:c r="E23" s="15" t="str">
        <x:v>14,2</x:v>
      </x:c>
      <x:c r="F23" s="15"/>
      <x:c r="G23" s="15" t="str">
        <x:v>NOT NULL</x:v>
      </x:c>
      <x:c r="H23" s="15"/>
      <x:c r="I23" s="15" t="str">
        <x:v>해당 품목 1개의 판매 단가다. KRW 금액이며 gross_amount는 일반적으로 unit_price × quantity로 검증한다.</x:v>
      </x:c>
      <x:c r="J23" s="15"/>
      <x:c r="K23" s="15" t="str">
        <x:v>보안: SYNTHETIC</x:v>
      </x:c>
    </x:row>
    <x:row r="24" ht="44" customHeight="1">
      <x:c r="A24" s="15" t="n">
        <x:v>8</x:v>
      </x:c>
      <x:c r="B24" s="15" t="str">
        <x:v>gross_amount</x:v>
      </x:c>
      <x:c r="C24" s="15" t="str">
        <x:v>품목 총액</x:v>
      </x:c>
      <x:c r="D24" s="15" t="str">
        <x:v>decimal</x:v>
      </x:c>
      <x:c r="E24" s="15" t="str">
        <x:v>14,2</x:v>
      </x:c>
      <x:c r="F24" s="15"/>
      <x:c r="G24" s="15" t="str">
        <x:v>NOT NULL</x:v>
      </x:c>
      <x:c r="H24" s="15"/>
      <x:c r="I24" s="15" t="str">
        <x:v>할인 전 품목 총액이다. unit_price × quantity와 일치해야 하며 주문의 gross_amount 합계에 포함된다.</x:v>
      </x:c>
      <x:c r="J24" s="15"/>
      <x:c r="K24" s="15" t="str">
        <x:v>보안: SYNTHETIC</x:v>
      </x:c>
    </x:row>
    <x:row r="25" ht="44" customHeight="1">
      <x:c r="A25" s="15" t="n">
        <x:v>9</x:v>
      </x:c>
      <x:c r="B25" s="15" t="str">
        <x:v>discount_amount</x:v>
      </x:c>
      <x:c r="C25" s="15" t="str">
        <x:v>품목 할인</x:v>
      </x:c>
      <x:c r="D25" s="15" t="str">
        <x:v>decimal</x:v>
      </x:c>
      <x:c r="E25" s="15" t="str">
        <x:v>14,2</x:v>
      </x:c>
      <x:c r="F25" s="15"/>
      <x:c r="G25" s="15" t="str">
        <x:v>NOT NULL</x:v>
      </x:c>
      <x:c r="H25" s="15"/>
      <x:c r="I25" s="15" t="str">
        <x:v>품목 할인: 해당 업무 단위에서 발생한 원화 금액 원자값이다. 취소·환불·환입·무효 상태를 구분한 뒤 집계하고 소수점 오차가 없도록 고정소수점 타입을 사용한다.</x:v>
      </x:c>
      <x:c r="J25" s="15"/>
      <x:c r="K25" s="15" t="str">
        <x:v>보안: SYNTHETIC</x:v>
      </x:c>
    </x:row>
    <x:row r="26" ht="44" customHeight="1">
      <x:c r="A26" s="15" t="n">
        <x:v>10</x:v>
      </x:c>
      <x:c r="B26" s="15" t="str">
        <x:v>net_amount</x:v>
      </x:c>
      <x:c r="C26" s="15" t="str">
        <x:v>품목 순매출</x:v>
      </x:c>
      <x:c r="D26" s="15" t="str">
        <x:v>decimal</x:v>
      </x:c>
      <x:c r="E26" s="15" t="str">
        <x:v>14,2</x:v>
      </x:c>
      <x:c r="F26" s="15"/>
      <x:c r="G26" s="15" t="str">
        <x:v>NOT NULL</x:v>
      </x:c>
      <x:c r="H26" s="15"/>
      <x:c r="I26" s="15" t="str">
        <x:v>품목 할인 반영 후 순매출이다. gross_amount - discount_amount와 일치하도록 검증하며 주문 net_amount 집계의 근거가 된다.</x:v>
      </x:c>
      <x:c r="J26" s="15"/>
      <x:c r="K26" s="15" t="str">
        <x:v>보안: SYNTHETIC</x:v>
      </x:c>
    </x:row>
    <x:row r="27" ht="44" customHeight="1">
      <x:c r="A27" s="15" t="n">
        <x:v>11</x:v>
      </x:c>
      <x:c r="B27" s="15" t="str">
        <x:v>is_synthetic</x:v>
      </x:c>
      <x:c r="C27" s="15" t="str">
        <x:v>합성 여부</x:v>
      </x:c>
      <x:c r="D27" s="15" t="str">
        <x:v>boolean</x:v>
      </x:c>
      <x:c r="E27" s="15"/>
      <x:c r="F27" s="15"/>
      <x:c r="G27" s="15" t="str">
        <x:v>NOT NULL</x:v>
      </x:c>
      <x:c r="H27" s="15"/>
      <x:c r="I27" s="15" t="str">
        <x:v>실제 고객·운영 원천이 아닌 프로젝트 생성 합성 데이터임을 표시한다. 현재 source fixture에서는 항상 true/1이며 실제 데이터와 혼합 저장하지 않는다.</x:v>
      </x:c>
      <x:c r="J27" s="15" t="str">
        <x:v>합성 데이터 정책 | source-fixture-v5.0에서 true/1 고정</x:v>
      </x:c>
      <x:c r="K27" s="15" t="str">
        <x:v>보안: POLICY</x:v>
      </x:c>
    </x:row>
    <x:row r="28" ht="44" customHeight="1">
      <x:c r="A28" s="15" t="n">
        <x:v>12</x:v>
      </x:c>
      <x:c r="B28" s="15" t="str">
        <x:v>source_updated_at</x:v>
      </x:c>
      <x:c r="C28" s="15" t="str">
        <x:v>원천 수정시각</x:v>
      </x:c>
      <x:c r="D28" s="15" t="str">
        <x:v>datetime</x:v>
      </x:c>
      <x:c r="E28" s="15" t="str">
        <x:v>3</x:v>
      </x:c>
      <x:c r="F28" s="15"/>
      <x:c r="G28" s="15" t="str">
        <x:v>NOT NULL</x:v>
      </x:c>
      <x:c r="H28" s="15"/>
      <x:c r="I28" s="15" t="str">
        <x:v>원천 수정시각을 나타내는 업무 시각이다. 관련 상태 전이와 다른 시각 컬럼의 선후관계가 일치해야 하며 point-in-time 분석을 위해 timezone 기준을 일관되게 적용한다. 밀리초 정밀도의 datetime으로 저장하며 애플리케이션에서 UTC로 해석한다.</x:v>
      </x:c>
      <x:c r="J28" s="15" t="str">
        <x:v>Point-in-time 기준 | source watermark; 조회 시 source_updated_at &lt;= :as_of_utc</x:v>
      </x:c>
      <x:c r="K28" s="15" t="str">
        <x:v>보안: SYNTHETIC</x:v>
      </x:c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>
      <x:c r="A30" s="58" t="str">
        <x:v>no</x:v>
      </x:c>
      <x:c r="B30" s="58" t="str">
        <x:v>Index name</x:v>
      </x:c>
      <x:c r="C30" s="58"/>
      <x:c r="D30" s="58" t="str">
        <x:v>Index type</x:v>
      </x:c>
      <x:c r="E30" s="58"/>
      <x:c r="F30" s="58" t="str">
        <x:v>Unique</x:v>
      </x:c>
      <x:c r="G30" s="58"/>
      <x:c r="H30" s="58" t="str">
        <x:v>구성 컬럼</x:v>
      </x:c>
      <x:c r="I30" s="58"/>
      <x:c r="J30" s="58"/>
      <x:c r="K30" s="58"/>
    </x:row>
    <x:row r="31">
      <x:c r="A31" s="15" t="n">
        <x:v>1</x:v>
      </x:c>
      <x:c r="B31" s="15" t="str">
        <x:v>PK_pos_order_items</x:v>
      </x:c>
      <x:c r="C31" s="15"/>
      <x:c r="D31" s="15" t="str">
        <x:v>PK</x:v>
      </x:c>
      <x:c r="E31" s="15"/>
      <x:c r="F31" s="15" t="str">
        <x:v>Unique</x:v>
      </x:c>
      <x:c r="G31" s="15"/>
      <x:c r="H31" s="15" t="str">
        <x:v>order_item_id</x:v>
      </x:c>
      <x:c r="I31" s="15"/>
      <x:c r="J31" s="15"/>
      <x:c r="K31" s="15"/>
    </x:row>
    <x:row r="32">
      <x:c r="A32" s="15" t="n">
        <x:v>2</x:v>
      </x:c>
      <x:c r="B32" s="15" t="str">
        <x:v>IX_pos_order_items_order_id</x:v>
      </x:c>
      <x:c r="C32" s="15"/>
      <x:c r="D32" s="15" t="str">
        <x:v>BTREE</x:v>
      </x:c>
      <x:c r="E32" s="15"/>
      <x:c r="F32" s="15" t="str">
        <x:v>Non-Unique</x:v>
      </x:c>
      <x:c r="G32" s="15"/>
      <x:c r="H32" s="15" t="str">
        <x:v>order_id</x:v>
      </x:c>
      <x:c r="I32" s="15"/>
      <x:c r="J32" s="15"/>
      <x:c r="K32" s="15"/>
    </x:row>
    <x:row r="33">
      <x:c r="A33" s="15" t="n">
        <x:v>3</x:v>
      </x:c>
      <x:c r="B33" s="15" t="str">
        <x:v>IX_pos_order_items_order</x:v>
      </x:c>
      <x:c r="C33" s="15"/>
      <x:c r="D33" s="15" t="str">
        <x:v>BTREE</x:v>
      </x:c>
      <x:c r="E33" s="15"/>
      <x:c r="F33" s="15" t="str">
        <x:v>Non-Unique</x:v>
      </x:c>
      <x:c r="G33" s="15"/>
      <x:c r="H33" s="15" t="str">
        <x:v>order_id</x:v>
      </x:c>
      <x:c r="I33" s="15"/>
      <x:c r="J33" s="15"/>
      <x:c r="K33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0:C30"/>
    <x:mergeCell ref="D30:E30"/>
    <x:mergeCell ref="F30:G30"/>
    <x:mergeCell ref="H30:K30"/>
    <x:mergeCell ref="B31:C31"/>
    <x:mergeCell ref="D31:E31"/>
    <x:mergeCell ref="F31:G31"/>
    <x:mergeCell ref="H31:K31"/>
    <x:mergeCell ref="B32:C32"/>
    <x:mergeCell ref="D32:E32"/>
    <x:mergeCell ref="F32:G32"/>
    <x:mergeCell ref="H32:K32"/>
    <x:mergeCell ref="B33:C33"/>
    <x:mergeCell ref="D33:E33"/>
    <x:mergeCell ref="F33:G33"/>
    <x:mergeCell ref="H33:K33"/>
  </x:mergeCells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SQL Server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hotel_crm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dbo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crm_members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CRM 멤버십 회원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합성 CRM 멤버십 회원의 현재 snapshot을 저장한다. 현재 등급·포인트 잔액·가입 시각·상태를 제공하지만 과거 거래 시점의 등급 판정은 grade history를 사용한다.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합성 적재 기준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property_id</x:v>
      </x:c>
      <x:c r="C17" s="15" t="str">
        <x:v>호텔 속성 ID</x:v>
      </x:c>
      <x:c r="D17" s="15" t="str">
        <x:v>varchar</x:v>
      </x:c>
      <x:c r="E17" s="15" t="str">
        <x:v>64</x:v>
      </x:c>
      <x:c r="F17" s="15"/>
      <x:c r="G17" s="15" t="str">
        <x:v>NOT NULL</x:v>
      </x:c>
      <x:c r="H17" s="15"/>
      <x:c r="I17" s="15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15" t="str">
        <x:v>공통 조인 기준 | fixture property_id=SYNTHETIC_HOTEL_001 | 5개 source에서 동일 값 사용</x:v>
      </x:c>
      <x:c r="K17" s="15" t="str">
        <x:v>보안: POLICY</x:v>
      </x:c>
    </x:row>
    <x:row r="18" ht="44" customHeight="1">
      <x:c r="A18" s="15" t="n">
        <x:v>2</x:v>
      </x:c>
      <x:c r="B18" s="15" t="str">
        <x:v>member_no</x:v>
      </x:c>
      <x:c r="C18" s="15" t="str">
        <x:v>회원 번호</x:v>
      </x:c>
      <x:c r="D18" s="15" t="str">
        <x:v>varchar</x:v>
      </x:c>
      <x:c r="E18" s="15" t="str">
        <x:v>36</x:v>
      </x:c>
      <x:c r="F18" s="15" t="str">
        <x:v>PK</x:v>
      </x:c>
      <x:c r="G18" s="15" t="str">
        <x:v>NOT NULL</x:v>
      </x:c>
      <x:c r="H18" s="15"/>
      <x:c r="I18" s="15" t="str">
        <x:v>CRM 멤버십 회원의 한 행을 안정적으로 식별하는 기본키다. 다른 이력·분석·참조에서 동일 레코드를 추적할 수 있도록 생성 후 재사용하거나 변경하지 않는다. 설계 기준은 'MEM-8자리 합성 키'이다.</x:v>
      </x:c>
      <x:c r="J18" s="15" t="str">
        <x:v>참조됨 | hotel_crm.dbo.crm_member_grade_history.member_no, hotel_crm.dbo.crm_point_transactions.member_no, hotel_crm.dbo.crm_customer_map.member_no</x:v>
      </x:c>
      <x:c r="K18" s="15" t="str">
        <x:v>보안: SYNTHETIC</x:v>
      </x:c>
    </x:row>
    <x:row r="19" ht="44" customHeight="1">
      <x:c r="A19" s="15" t="n">
        <x:v>3</x:v>
      </x:c>
      <x:c r="B19" s="15" t="str">
        <x:v>membership_grade</x:v>
      </x:c>
      <x:c r="C19" s="15" t="str">
        <x:v>멤버십 등급</x:v>
      </x:c>
      <x:c r="D19" s="15" t="str">
        <x:v>varchar</x:v>
      </x:c>
      <x:c r="E19" s="15" t="str">
        <x:v>16</x:v>
      </x:c>
      <x:c r="F19" s="15"/>
      <x:c r="G19" s="15" t="str">
        <x:v>NOT NULL</x:v>
      </x:c>
      <x:c r="H19" s="15"/>
      <x:c r="I19" s="15" t="str">
        <x:v>현재 표시용 멤버십 등급 snapshot이다. BASIC, SILVER, GOLD, VIP 중 하나이며 과거 거래 시점 분석에는 사용하지 않는다.</x:v>
      </x:c>
      <x:c r="J19" s="15" t="str">
        <x:v>현재 snapshot 기준 | 과거 시점 등급 판정은 crm_member_grade_history 사용</x:v>
      </x:c>
      <x:c r="K19" s="15" t="str">
        <x:v>보안: SYNTHETIC</x:v>
      </x:c>
    </x:row>
    <x:row r="20" ht="44" customHeight="1">
      <x:c r="A20" s="15" t="n">
        <x:v>4</x:v>
      </x:c>
      <x:c r="B20" s="15" t="str">
        <x:v>points_balance</x:v>
      </x:c>
      <x:c r="C20" s="15" t="str">
        <x:v>포인트 잔액</x:v>
      </x:c>
      <x:c r="D20" s="15" t="str">
        <x:v>integer</x:v>
      </x:c>
      <x:c r="E20" s="15"/>
      <x:c r="F20" s="15"/>
      <x:c r="G20" s="15" t="str">
        <x:v>NOT NULL</x:v>
      </x:c>
      <x:c r="H20" s="15"/>
      <x:c r="I20" s="15" t="str">
        <x:v>현재 시점의 사용 가능 포인트 잔액 snapshot이다. 0 이상이며 crm_point_transactions의 누적값과 기준 시점에 맞춰 정합성을 확인한다.</x:v>
      </x:c>
      <x:c r="J20" s="15"/>
      <x:c r="K20" s="15" t="str">
        <x:v>보안: SYNTHETIC</x:v>
      </x:c>
    </x:row>
    <x:row r="21" ht="44" customHeight="1">
      <x:c r="A21" s="15" t="n">
        <x:v>5</x:v>
      </x:c>
      <x:c r="B21" s="15" t="str">
        <x:v>joined_at</x:v>
      </x:c>
      <x:c r="C21" s="15" t="str">
        <x:v>가입 시각</x:v>
      </x:c>
      <x:c r="D21" s="15" t="str">
        <x:v>datetime2</x:v>
      </x:c>
      <x:c r="E21" s="15" t="str">
        <x:v>3</x:v>
      </x:c>
      <x:c r="F21" s="15"/>
      <x:c r="G21" s="15" t="str">
        <x:v>NOT NULL</x:v>
      </x:c>
      <x:c r="H21" s="15"/>
      <x:c r="I21" s="15" t="str">
        <x:v>가입 시각을 나타내는 업무 시각이다. 관련 상태 전이와 다른 시각 컬럼의 선후관계가 일치해야 하며 point-in-time 분석을 위해 timezone 기준을 일관되게 적용한다. 밀리초 정밀도의 datetime2로 저장하며 기준 timezone을 명시한다.</x:v>
      </x:c>
      <x:c r="J21" s="15"/>
      <x:c r="K21" s="15" t="str">
        <x:v>보안: SYNTHETIC</x:v>
      </x:c>
    </x:row>
    <x:row r="22" ht="44" customHeight="1">
      <x:c r="A22" s="15" t="n">
        <x:v>6</x:v>
      </x:c>
      <x:c r="B22" s="15" t="str">
        <x:v>member_status</x:v>
      </x:c>
      <x:c r="C22" s="15" t="str">
        <x:v>상태</x:v>
      </x:c>
      <x:c r="D22" s="15" t="str">
        <x:v>varchar</x:v>
      </x:c>
      <x:c r="E22" s="15" t="str">
        <x:v>16</x:v>
      </x:c>
      <x:c r="F22" s="15"/>
      <x:c r="G22" s="15" t="str">
        <x:v>NOT NULL</x:v>
      </x:c>
      <x:c r="H22" s="15"/>
      <x:c r="I22" s="15" t="str">
        <x:v>회원 계정의 현재 상태다. ACTIVE, INACTIVE, REVOKED 중 하나이며 REVOKED 회원은 신규 매핑·포인트 거래 대상에서 제외한다.</x:v>
      </x:c>
      <x:c r="J22" s="15" t="str">
        <x:v>코드 기준 | ACTIVE, INACTIVE, REVOKED</x:v>
      </x:c>
      <x:c r="K22" s="15" t="str">
        <x:v>보안: SYNTHETIC</x:v>
      </x:c>
    </x:row>
    <x:row r="23" ht="44" customHeight="1">
      <x:c r="A23" s="15" t="n">
        <x:v>7</x:v>
      </x:c>
      <x:c r="B23" s="15" t="str">
        <x:v>data_period_status</x:v>
      </x:c>
      <x:c r="C23" s="15" t="str">
        <x:v>기간 상태</x:v>
      </x:c>
      <x:c r="D23" s="15" t="str">
        <x:v>varchar</x:v>
      </x:c>
      <x:c r="E23" s="15" t="str">
        <x:v>32</x:v>
      </x:c>
      <x:c r="F23" s="15"/>
      <x:c r="G23" s="15" t="str">
        <x:v>NOT NULL</x:v>
      </x:c>
      <x:c r="H23" s="15"/>
      <x:c r="I23" s="1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23" s="15" t="str">
        <x:v>기준 테이블 | hotel_datahub_app.reference.calendar_daily.data_period_status</x:v>
      </x:c>
      <x:c r="K23" s="15" t="str">
        <x:v>보안: POLICY</x:v>
      </x:c>
    </x:row>
    <x:row r="24" ht="44" customHeight="1">
      <x:c r="A24" s="15" t="n">
        <x:v>8</x:v>
      </x:c>
      <x:c r="B24" s="15" t="str">
        <x:v>is_forecast</x:v>
      </x:c>
      <x:c r="C24" s="15" t="str">
        <x:v>전망 여부</x:v>
      </x:c>
      <x:c r="D24" s="15" t="str">
        <x:v>bit</x:v>
      </x:c>
      <x:c r="E24" s="15"/>
      <x:c r="F24" s="15"/>
      <x:c r="G24" s="15" t="str">
        <x:v>NOT NULL</x:v>
      </x:c>
      <x:c r="H24" s="15"/>
      <x:c r="I24" s="15" t="str">
        <x:v>해당 행을 실제·유사 실적이 아닌 미래 전망 시나리오로 취급할지 나타낸다. 2026-08-16 이후 FORECAST_SCENARIO만 true/1이며 실제 실적 기본 조회에서는 제외한다.</x:v>
      </x:c>
      <x:c r="J24" s="15" t="str">
        <x:v>기준 테이블 | hotel_datahub_app.reference.calendar_daily.is_forecast</x:v>
      </x:c>
      <x:c r="K24" s="15" t="str">
        <x:v>보안: POLICY</x:v>
      </x:c>
    </x:row>
    <x:row r="25" ht="44" customHeight="1">
      <x:c r="A25" s="15" t="n">
        <x:v>9</x:v>
      </x:c>
      <x:c r="B25" s="15" t="str">
        <x:v>is_synthetic</x:v>
      </x:c>
      <x:c r="C25" s="15" t="str">
        <x:v>합성 여부</x:v>
      </x:c>
      <x:c r="D25" s="15" t="str">
        <x:v>bit</x:v>
      </x:c>
      <x:c r="E25" s="15"/>
      <x:c r="F25" s="15"/>
      <x:c r="G25" s="15" t="str">
        <x:v>NOT NULL</x:v>
      </x:c>
      <x:c r="H25" s="15"/>
      <x:c r="I25" s="15" t="str">
        <x:v>실제 고객·운영 원천이 아닌 프로젝트 생성 합성 데이터임을 표시한다. 현재 source fixture에서는 항상 true/1이며 실제 데이터와 혼합 저장하지 않는다.</x:v>
      </x:c>
      <x:c r="J25" s="15" t="str">
        <x:v>합성 데이터 정책 | source-fixture-v5.0에서 true/1 고정</x:v>
      </x:c>
      <x:c r="K25" s="15" t="str">
        <x:v>보안: POLICY</x:v>
      </x:c>
    </x:row>
    <x:row r="26" ht="44" customHeight="1">
      <x:c r="A26" s="15" t="n">
        <x:v>10</x:v>
      </x:c>
      <x:c r="B26" s="15" t="str">
        <x:v>source_updated_at</x:v>
      </x:c>
      <x:c r="C26" s="15" t="str">
        <x:v>원천 수정시각</x:v>
      </x:c>
      <x:c r="D26" s="15" t="str">
        <x:v>datetime2</x:v>
      </x:c>
      <x:c r="E26" s="15" t="str">
        <x:v>3</x:v>
      </x:c>
      <x:c r="F26" s="15"/>
      <x:c r="G26" s="15" t="str">
        <x:v>NOT NULL</x:v>
      </x:c>
      <x:c r="H26" s="15"/>
      <x:c r="I26" s="15" t="str">
        <x:v>원천 수정시각을 나타내는 업무 시각이다. 관련 상태 전이와 다른 시각 컬럼의 선후관계가 일치해야 하며 point-in-time 분석을 위해 timezone 기준을 일관되게 적용한다. 밀리초 정밀도의 datetime2로 저장하며 기준 timezone을 명시한다.</x:v>
      </x:c>
      <x:c r="J26" s="15" t="str">
        <x:v>Point-in-time 기준 | source watermark; 조회 시 source_updated_at &lt;= :as_of_utc</x:v>
      </x:c>
      <x:c r="K26" s="15" t="str">
        <x:v>보안: SYNTHETIC</x:v>
      </x:c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>
      <x:c r="A28" s="58" t="str">
        <x:v>no</x:v>
      </x:c>
      <x:c r="B28" s="58" t="str">
        <x:v>Index name</x:v>
      </x:c>
      <x:c r="C28" s="58"/>
      <x:c r="D28" s="58" t="str">
        <x:v>Index type</x:v>
      </x:c>
      <x:c r="E28" s="58"/>
      <x:c r="F28" s="58" t="str">
        <x:v>Unique</x:v>
      </x:c>
      <x:c r="G28" s="58"/>
      <x:c r="H28" s="58" t="str">
        <x:v>구성 컬럼</x:v>
      </x:c>
      <x:c r="I28" s="58"/>
      <x:c r="J28" s="58"/>
      <x:c r="K28" s="58"/>
    </x:row>
    <x:row r="29">
      <x:c r="A29" s="15" t="n">
        <x:v>1</x:v>
      </x:c>
      <x:c r="B29" s="15" t="str">
        <x:v>PK_crm_members</x:v>
      </x:c>
      <x:c r="C29" s="15"/>
      <x:c r="D29" s="15" t="str">
        <x:v>PK</x:v>
      </x:c>
      <x:c r="E29" s="15"/>
      <x:c r="F29" s="15" t="str">
        <x:v>Unique</x:v>
      </x:c>
      <x:c r="G29" s="15"/>
      <x:c r="H29" s="15" t="str">
        <x:v>member_no</x:v>
      </x:c>
      <x:c r="I29" s="15"/>
      <x:c r="J29" s="15"/>
      <x:c r="K29" s="15"/>
    </x:row>
    <x:row r="30">
      <x:c r="A30" s="15" t="n">
        <x:v>2</x:v>
      </x:c>
      <x:c r="B30" s="15" t="str">
        <x:v>IX_crm_members_grade_status</x:v>
      </x:c>
      <x:c r="C30" s="15"/>
      <x:c r="D30" s="15" t="str">
        <x:v>BTREE</x:v>
      </x:c>
      <x:c r="E30" s="15"/>
      <x:c r="F30" s="15" t="str">
        <x:v>Non-Unique</x:v>
      </x:c>
      <x:c r="G30" s="15"/>
      <x:c r="H30" s="15" t="str">
        <x:v>membership_grade, member_status</x:v>
      </x:c>
      <x:c r="I30" s="15"/>
      <x:c r="J30" s="15"/>
      <x:c r="K30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28:C28"/>
    <x:mergeCell ref="D28:E28"/>
    <x:mergeCell ref="F28:G28"/>
    <x:mergeCell ref="H28:K28"/>
    <x:mergeCell ref="B29:C29"/>
    <x:mergeCell ref="D29:E29"/>
    <x:mergeCell ref="F29:G29"/>
    <x:mergeCell ref="H29:K29"/>
    <x:mergeCell ref="B30:C30"/>
    <x:mergeCell ref="D30:E30"/>
    <x:mergeCell ref="F30:G30"/>
    <x:mergeCell ref="H30:K30"/>
  </x:mergeCells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SQL Server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hotel_crm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dbo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crm_member_grade_history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CRM 회원 등급 이력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회원별 멤버십 등급의 유효기간 이력을 저장한다. [valid_from, valid_to) 구간이 겹치지 않도록 검증하며 과거 예약·투숙·거래의 시점 등급을 판정하는 기준이다.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합성 적재 기준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property_id</x:v>
      </x:c>
      <x:c r="C17" s="15" t="str">
        <x:v>호텔 속성 ID</x:v>
      </x:c>
      <x:c r="D17" s="15" t="str">
        <x:v>varchar</x:v>
      </x:c>
      <x:c r="E17" s="15" t="str">
        <x:v>64</x:v>
      </x:c>
      <x:c r="F17" s="15"/>
      <x:c r="G17" s="15" t="str">
        <x:v>NOT NULL</x:v>
      </x:c>
      <x:c r="H17" s="15"/>
      <x:c r="I17" s="15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15" t="str">
        <x:v>공통 조인 기준 | fixture property_id=SYNTHETIC_HOTEL_001 | 5개 source에서 동일 값 사용</x:v>
      </x:c>
      <x:c r="K17" s="15" t="str">
        <x:v>보안: POLICY</x:v>
      </x:c>
    </x:row>
    <x:row r="18" ht="44" customHeight="1">
      <x:c r="A18" s="15" t="n">
        <x:v>2</x:v>
      </x:c>
      <x:c r="B18" s="15" t="str">
        <x:v>grade_history_id</x:v>
      </x:c>
      <x:c r="C18" s="15" t="str">
        <x:v>등급 이력 ID</x:v>
      </x:c>
      <x:c r="D18" s="15" t="str">
        <x:v>varchar</x:v>
      </x:c>
      <x:c r="E18" s="15" t="str">
        <x:v>36</x:v>
      </x:c>
      <x:c r="F18" s="15" t="str">
        <x:v>PK</x:v>
      </x:c>
      <x:c r="G18" s="15" t="str">
        <x:v>NOT NULL</x:v>
      </x:c>
      <x:c r="H18" s="15"/>
      <x:c r="I18" s="15" t="str">
        <x:v>CRM 회원 등급 이력의 한 행을 안정적으로 식별하는 기본키다. 다른 이력·분석·참조에서 동일 레코드를 추적할 수 있도록 생성 후 재사용하거나 변경하지 않는다. 설계 기준은 '안정 관계 PK'이다.</x:v>
      </x:c>
      <x:c r="J18" s="15"/>
      <x:c r="K18" s="15" t="str">
        <x:v>보안: SYNTHETIC</x:v>
      </x:c>
    </x:row>
    <x:row r="19" ht="44" customHeight="1">
      <x:c r="A19" s="15" t="n">
        <x:v>3</x:v>
      </x:c>
      <x:c r="B19" s="15" t="str">
        <x:v>member_no</x:v>
      </x:c>
      <x:c r="C19" s="15" t="str">
        <x:v>회원 번호</x:v>
      </x:c>
      <x:c r="D19" s="15" t="str">
        <x:v>varchar</x:v>
      </x:c>
      <x:c r="E19" s="15" t="str">
        <x:v>36</x:v>
      </x:c>
      <x:c r="F19" s="15" t="str">
        <x:v>FK</x:v>
      </x:c>
      <x:c r="G19" s="15" t="str">
        <x:v>NOT NULL</x:v>
      </x:c>
      <x:c r="H19" s="15"/>
      <x:c r="I19" s="15" t="str">
        <x:v>회원 번호를 hotel_crm.dbo.crm_members.member_no와 연결하는 물리 외래키다. 반드시 존재하는 상위 행을 참조해야 한다.</x:v>
      </x:c>
      <x:c r="J19" s="15" t="str">
        <x:v>물리 FK | hotel_crm.dbo.crm_members.member_no</x:v>
      </x:c>
      <x:c r="K19" s="15" t="str">
        <x:v>보안: SYNTHETIC</x:v>
      </x:c>
    </x:row>
    <x:row r="20" ht="44" customHeight="1">
      <x:c r="A20" s="15" t="n">
        <x:v>4</x:v>
      </x:c>
      <x:c r="B20" s="15" t="str">
        <x:v>grade_code</x:v>
      </x:c>
      <x:c r="C20" s="15" t="str">
        <x:v>멤버십 등급</x:v>
      </x:c>
      <x:c r="D20" s="15" t="str">
        <x:v>varchar</x:v>
      </x:c>
      <x:c r="E20" s="15" t="str">
        <x:v>16</x:v>
      </x:c>
      <x:c r="F20" s="15"/>
      <x:c r="G20" s="15" t="str">
        <x:v>NOT NULL</x:v>
      </x:c>
      <x:c r="H20" s="15"/>
      <x:c r="I20" s="15" t="str">
        <x:v>멤버십 등급: 자유서술이 아닌 승인 코드로 저장한다. 자유서술 대신 승인된 코드 도메인을 사용해 source 간 집계와 필터 조건을 일관되게 유지한다. 허용값은 BASIC, SILVER, GOLD, VIP이다.</x:v>
      </x:c>
      <x:c r="J20" s="15" t="str">
        <x:v>코드 기준 | BASIC/SILVER/GOLD/VIP; crm_members.membership_grade와 동일 도메인</x:v>
      </x:c>
      <x:c r="K20" s="15" t="str">
        <x:v>보안: SYNTHETIC</x:v>
      </x:c>
    </x:row>
    <x:row r="21" ht="44" customHeight="1">
      <x:c r="A21" s="15" t="n">
        <x:v>5</x:v>
      </x:c>
      <x:c r="B21" s="15" t="str">
        <x:v>valid_from</x:v>
      </x:c>
      <x:c r="C21" s="15" t="str">
        <x:v>유효 시작</x:v>
      </x:c>
      <x:c r="D21" s="15" t="str">
        <x:v>datetime2</x:v>
      </x:c>
      <x:c r="E21" s="15" t="str">
        <x:v>3</x:v>
      </x:c>
      <x:c r="F21" s="15"/>
      <x:c r="G21" s="15" t="str">
        <x:v>NOT NULL</x:v>
      </x:c>
      <x:c r="H21" s="15"/>
      <x:c r="I21" s="15" t="str">
        <x:v>해당 등급이 효력을 갖기 시작하는 시각으로 경계값을 포함한다. 같은 회원의 다른 등급 기간과 겹치지 않아야 한다.</x:v>
      </x:c>
      <x:c r="J21" s="15" t="str">
        <x:v>기간 기준 | [valid_from, valid_to) 반개구간 규칙</x:v>
      </x:c>
      <x:c r="K21" s="15" t="str">
        <x:v>보안: SYNTHETIC</x:v>
      </x:c>
    </x:row>
    <x:row r="22" ht="44" customHeight="1">
      <x:c r="A22" s="15" t="n">
        <x:v>6</x:v>
      </x:c>
      <x:c r="B22" s="15" t="str">
        <x:v>valid_to</x:v>
      </x:c>
      <x:c r="C22" s="15" t="str">
        <x:v>유효 종료</x:v>
      </x:c>
      <x:c r="D22" s="15" t="str">
        <x:v>datetime2</x:v>
      </x:c>
      <x:c r="E22" s="15" t="str">
        <x:v>3</x:v>
      </x:c>
      <x:c r="F22" s="15"/>
      <x:c r="G22" s="15"/>
      <x:c r="H22" s="15"/>
      <x:c r="I22" s="15" t="str">
        <x:v>해당 등급 효력 종료 시각으로 경계값을 포함하지 않는다. NULL은 현재까지 유효함을 뜻하며 [valid_from, valid_to) 규칙을 사용한다.</x:v>
      </x:c>
      <x:c r="J22" s="15" t="str">
        <x:v>기간 기준 | [valid_from, valid_to) 반개구간 규칙</x:v>
      </x:c>
      <x:c r="K22" s="15" t="str">
        <x:v>보안: SYNTHETIC</x:v>
      </x:c>
    </x:row>
    <x:row r="23" ht="44" customHeight="1">
      <x:c r="A23" s="15" t="n">
        <x:v>7</x:v>
      </x:c>
      <x:c r="B23" s="15" t="str">
        <x:v>change_reason_code</x:v>
      </x:c>
      <x:c r="C23" s="15" t="str">
        <x:v>변경 사유 코드</x:v>
      </x:c>
      <x:c r="D23" s="15" t="str">
        <x:v>varchar</x:v>
      </x:c>
      <x:c r="E23" s="15" t="str">
        <x:v>24</x:v>
      </x:c>
      <x:c r="F23" s="15"/>
      <x:c r="G23" s="15" t="str">
        <x:v>NOT NULL</x:v>
      </x:c>
      <x:c r="H23" s="15"/>
      <x:c r="I23" s="15" t="str">
        <x:v>등급 이력 생성 사유다. JOIN, UPGRADE, DOWNGRADE, REVIEW 중 하나이며 등급 변경 감사와 데이터 검증에 사용한다.</x:v>
      </x:c>
      <x:c r="J23" s="15" t="str">
        <x:v>코드 기준 | JOIN, UPGRADE, DOWNGRADE, REVIEW</x:v>
      </x:c>
      <x:c r="K23" s="15" t="str">
        <x:v>보안: SYNTHETIC</x:v>
      </x:c>
    </x:row>
    <x:row r="24" ht="44" customHeight="1">
      <x:c r="A24" s="15" t="n">
        <x:v>8</x:v>
      </x:c>
      <x:c r="B24" s="15" t="str">
        <x:v>is_synthetic</x:v>
      </x:c>
      <x:c r="C24" s="15" t="str">
        <x:v>합성 여부</x:v>
      </x:c>
      <x:c r="D24" s="15" t="str">
        <x:v>bit</x:v>
      </x:c>
      <x:c r="E24" s="15"/>
      <x:c r="F24" s="15"/>
      <x:c r="G24" s="15" t="str">
        <x:v>NOT NULL</x:v>
      </x:c>
      <x:c r="H24" s="15"/>
      <x:c r="I24" s="15" t="str">
        <x:v>실제 고객·운영 원천이 아닌 프로젝트 생성 합성 데이터임을 표시한다. 현재 source fixture에서는 항상 true/1이며 실제 데이터와 혼합 저장하지 않는다.</x:v>
      </x:c>
      <x:c r="J24" s="15" t="str">
        <x:v>합성 데이터 정책 | source-fixture-v5.0에서 true/1 고정</x:v>
      </x:c>
      <x:c r="K24" s="15" t="str">
        <x:v>보안: POLICY</x:v>
      </x:c>
    </x:row>
    <x:row r="25" ht="44" customHeight="1">
      <x:c r="A25" s="15" t="n">
        <x:v>9</x:v>
      </x:c>
      <x:c r="B25" s="15" t="str">
        <x:v>source_updated_at</x:v>
      </x:c>
      <x:c r="C25" s="15" t="str">
        <x:v>원천 수정시각</x:v>
      </x:c>
      <x:c r="D25" s="15" t="str">
        <x:v>datetime2</x:v>
      </x:c>
      <x:c r="E25" s="15" t="str">
        <x:v>3</x:v>
      </x:c>
      <x:c r="F25" s="15"/>
      <x:c r="G25" s="15" t="str">
        <x:v>NOT NULL</x:v>
      </x:c>
      <x:c r="H25" s="15"/>
      <x:c r="I25" s="15" t="str">
        <x:v>원천 수정시각을 나타내는 업무 시각이다. 관련 상태 전이와 다른 시각 컬럼의 선후관계가 일치해야 하며 point-in-time 분석을 위해 timezone 기준을 일관되게 적용한다. 밀리초 정밀도의 datetime2로 저장하며 기준 timezone을 명시한다.</x:v>
      </x:c>
      <x:c r="J25" s="15" t="str">
        <x:v>Point-in-time 기준 | source watermark; 조회 시 source_updated_at &lt;= :as_of_utc</x:v>
      </x:c>
      <x:c r="K25" s="15" t="str">
        <x:v>보안: SYNTHETIC</x:v>
      </x:c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>
      <x:c r="A27" s="58" t="str">
        <x:v>no</x:v>
      </x:c>
      <x:c r="B27" s="58" t="str">
        <x:v>Index name</x:v>
      </x:c>
      <x:c r="C27" s="58"/>
      <x:c r="D27" s="58" t="str">
        <x:v>Index type</x:v>
      </x:c>
      <x:c r="E27" s="58"/>
      <x:c r="F27" s="58" t="str">
        <x:v>Unique</x:v>
      </x:c>
      <x:c r="G27" s="58"/>
      <x:c r="H27" s="58" t="str">
        <x:v>구성 컬럼</x:v>
      </x:c>
      <x:c r="I27" s="58"/>
      <x:c r="J27" s="58"/>
      <x:c r="K27" s="58"/>
    </x:row>
    <x:row r="28">
      <x:c r="A28" s="15" t="n">
        <x:v>1</x:v>
      </x:c>
      <x:c r="B28" s="15" t="str">
        <x:v>PK_crm_member_grade_history</x:v>
      </x:c>
      <x:c r="C28" s="15"/>
      <x:c r="D28" s="15" t="str">
        <x:v>PK</x:v>
      </x:c>
      <x:c r="E28" s="15"/>
      <x:c r="F28" s="15" t="str">
        <x:v>Unique</x:v>
      </x:c>
      <x:c r="G28" s="15"/>
      <x:c r="H28" s="15" t="str">
        <x:v>grade_history_id</x:v>
      </x:c>
      <x:c r="I28" s="15"/>
      <x:c r="J28" s="15"/>
      <x:c r="K28" s="15"/>
    </x:row>
    <x:row r="29">
      <x:c r="A29" s="15" t="n">
        <x:v>2</x:v>
      </x:c>
      <x:c r="B29" s="15" t="str">
        <x:v>IX_crm_member_grade_history_member_no</x:v>
      </x:c>
      <x:c r="C29" s="15"/>
      <x:c r="D29" s="15" t="str">
        <x:v>BTREE</x:v>
      </x:c>
      <x:c r="E29" s="15"/>
      <x:c r="F29" s="15" t="str">
        <x:v>Non-Unique</x:v>
      </x:c>
      <x:c r="G29" s="15"/>
      <x:c r="H29" s="15" t="str">
        <x:v>member_no</x:v>
      </x:c>
      <x:c r="I29" s="15"/>
      <x:c r="J29" s="15"/>
      <x:c r="K29" s="15"/>
    </x:row>
    <x:row r="30">
      <x:c r="A30" s="15" t="n">
        <x:v>3</x:v>
      </x:c>
      <x:c r="B30" s="15" t="str">
        <x:v>IX_crm_grade_history_validity</x:v>
      </x:c>
      <x:c r="C30" s="15"/>
      <x:c r="D30" s="15" t="str">
        <x:v>BTREE</x:v>
      </x:c>
      <x:c r="E30" s="15"/>
      <x:c r="F30" s="15" t="str">
        <x:v>Non-Unique</x:v>
      </x:c>
      <x:c r="G30" s="15"/>
      <x:c r="H30" s="15" t="str">
        <x:v>member_no, valid_from, valid_to</x:v>
      </x:c>
      <x:c r="I30" s="15"/>
      <x:c r="J30" s="15"/>
      <x:c r="K30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27:C27"/>
    <x:mergeCell ref="D27:E27"/>
    <x:mergeCell ref="F27:G27"/>
    <x:mergeCell ref="H27:K27"/>
    <x:mergeCell ref="B28:C28"/>
    <x:mergeCell ref="D28:E28"/>
    <x:mergeCell ref="F28:G28"/>
    <x:mergeCell ref="H28:K28"/>
    <x:mergeCell ref="B29:C29"/>
    <x:mergeCell ref="D29:E29"/>
    <x:mergeCell ref="F29:G29"/>
    <x:mergeCell ref="H29:K29"/>
    <x:mergeCell ref="B30:C30"/>
    <x:mergeCell ref="D30:E30"/>
    <x:mergeCell ref="F30:G30"/>
    <x:mergeCell ref="H30:K30"/>
  </x:mergeCells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SQL Server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hotel_crm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dbo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crm_point_transactions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CRM 포인트 거래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멤버십 포인트의 적립·사용·소멸·조정 거래를 저장한다. 증감값과 발생 시각, 연관 source·거래 ID를 보관하며 관련 거래는 source 유형에 따라 논리적으로 연결한다.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합성 적재 기준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property_id</x:v>
      </x:c>
      <x:c r="C17" s="15" t="str">
        <x:v>호텔 속성 ID</x:v>
      </x:c>
      <x:c r="D17" s="15" t="str">
        <x:v>varchar</x:v>
      </x:c>
      <x:c r="E17" s="15" t="str">
        <x:v>64</x:v>
      </x:c>
      <x:c r="F17" s="15"/>
      <x:c r="G17" s="15" t="str">
        <x:v>NOT NULL</x:v>
      </x:c>
      <x:c r="H17" s="15"/>
      <x:c r="I17" s="15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15" t="str">
        <x:v>공통 조인 기준 | fixture property_id=SYNTHETIC_HOTEL_001 | 5개 source에서 동일 값 사용</x:v>
      </x:c>
      <x:c r="K17" s="15" t="str">
        <x:v>보안: POLICY</x:v>
      </x:c>
    </x:row>
    <x:row r="18" ht="44" customHeight="1">
      <x:c r="A18" s="15" t="n">
        <x:v>2</x:v>
      </x:c>
      <x:c r="B18" s="15" t="str">
        <x:v>point_txn_id</x:v>
      </x:c>
      <x:c r="C18" s="15" t="str">
        <x:v>포인트 거래 ID</x:v>
      </x:c>
      <x:c r="D18" s="15" t="str">
        <x:v>varchar</x:v>
      </x:c>
      <x:c r="E18" s="15" t="str">
        <x:v>36</x:v>
      </x:c>
      <x:c r="F18" s="15" t="str">
        <x:v>PK</x:v>
      </x:c>
      <x:c r="G18" s="15" t="str">
        <x:v>NOT NULL</x:v>
      </x:c>
      <x:c r="H18" s="15"/>
      <x:c r="I18" s="15" t="str">
        <x:v>CRM 포인트 거래의 한 행을 안정적으로 식별하는 기본키다. 다른 이력·분석·참조에서 동일 레코드를 추적할 수 있도록 생성 후 재사용하거나 변경하지 않는다.</x:v>
      </x:c>
      <x:c r="J18" s="15"/>
      <x:c r="K18" s="15" t="str">
        <x:v>보안: SYNTHETIC</x:v>
      </x:c>
    </x:row>
    <x:row r="19" ht="44" customHeight="1">
      <x:c r="A19" s="15" t="n">
        <x:v>3</x:v>
      </x:c>
      <x:c r="B19" s="15" t="str">
        <x:v>member_no</x:v>
      </x:c>
      <x:c r="C19" s="15" t="str">
        <x:v>회원 번호</x:v>
      </x:c>
      <x:c r="D19" s="15" t="str">
        <x:v>varchar</x:v>
      </x:c>
      <x:c r="E19" s="15" t="str">
        <x:v>36</x:v>
      </x:c>
      <x:c r="F19" s="15" t="str">
        <x:v>FK</x:v>
      </x:c>
      <x:c r="G19" s="15" t="str">
        <x:v>NOT NULL</x:v>
      </x:c>
      <x:c r="H19" s="15"/>
      <x:c r="I19" s="15" t="str">
        <x:v>회원 번호를 hotel_crm.dbo.crm_members.member_no와 연결하는 물리 외래키다. 반드시 존재하는 상위 행을 참조해야 한다.</x:v>
      </x:c>
      <x:c r="J19" s="15" t="str">
        <x:v>물리 FK | hotel_crm.dbo.crm_members.member_no</x:v>
      </x:c>
      <x:c r="K19" s="15" t="str">
        <x:v>보안: SYNTHETIC</x:v>
      </x:c>
    </x:row>
    <x:row r="20" ht="44" customHeight="1">
      <x:c r="A20" s="15" t="n">
        <x:v>4</x:v>
      </x:c>
      <x:c r="B20" s="15" t="str">
        <x:v>event_at</x:v>
      </x:c>
      <x:c r="C20" s="15" t="str">
        <x:v>거래 시각</x:v>
      </x:c>
      <x:c r="D20" s="15" t="str">
        <x:v>datetime2</x:v>
      </x:c>
      <x:c r="E20" s="15" t="str">
        <x:v>3</x:v>
      </x:c>
      <x:c r="F20" s="15"/>
      <x:c r="G20" s="15" t="str">
        <x:v>NOT NULL</x:v>
      </x:c>
      <x:c r="H20" s="15"/>
      <x:c r="I20" s="15" t="str">
        <x:v>거래 시각을 나타내는 업무 시각이다. 관련 상태 전이와 다른 시각 컬럼의 선후관계가 일치해야 하며 point-in-time 분석을 위해 timezone 기준을 일관되게 적용한다. 밀리초 정밀도의 datetime2로 저장하며 기준 timezone을 명시한다.</x:v>
      </x:c>
      <x:c r="J20" s="15"/>
      <x:c r="K20" s="15" t="str">
        <x:v>보안: SYNTHETIC</x:v>
      </x:c>
    </x:row>
    <x:row r="21" ht="44" customHeight="1">
      <x:c r="A21" s="15" t="n">
        <x:v>5</x:v>
      </x:c>
      <x:c r="B21" s="15" t="str">
        <x:v>txn_type</x:v>
      </x:c>
      <x:c r="C21" s="15" t="str">
        <x:v>거래 유형</x:v>
      </x:c>
      <x:c r="D21" s="15" t="str">
        <x:v>varchar</x:v>
      </x:c>
      <x:c r="E21" s="15" t="str">
        <x:v>16</x:v>
      </x:c>
      <x:c r="F21" s="15"/>
      <x:c r="G21" s="15" t="str">
        <x:v>NOT NULL</x:v>
      </x:c>
      <x:c r="H21" s="15"/>
      <x:c r="I21" s="15" t="str">
        <x:v>거래 유형: 승인된 표준 코드 값이다. 허용값은 EARN, USE, EXPIRE, ADJUST이며 값에 따라 CRM 포인트 거래의 처리 규칙·집계 범위·표시 방식이 달라지므로 자유서술을 허용하지 않는다.</x:v>
      </x:c>
      <x:c r="J21" s="15" t="str">
        <x:v>코드 기준 | EARN, USE, EXPIRE, ADJUST</x:v>
      </x:c>
      <x:c r="K21" s="15" t="str">
        <x:v>보안: SYNTHETIC</x:v>
      </x:c>
    </x:row>
    <x:row r="22" ht="44" customHeight="1">
      <x:c r="A22" s="15" t="n">
        <x:v>6</x:v>
      </x:c>
      <x:c r="B22" s="15" t="str">
        <x:v>points_delta</x:v>
      </x:c>
      <x:c r="C22" s="15" t="str">
        <x:v>포인트 증감</x:v>
      </x:c>
      <x:c r="D22" s="15" t="str">
        <x:v>integer</x:v>
      </x:c>
      <x:c r="E22" s="15"/>
      <x:c r="F22" s="15"/>
      <x:c r="G22" s="15" t="str">
        <x:v>NOT NULL</x:v>
      </x:c>
      <x:c r="H22" s="15"/>
      <x:c r="I22" s="15" t="str">
        <x:v>포인트 잔액에 반영되는 증감값이다. EARN·ADJUST 적립은 양수, USE·EXPIRE는 음수를 기본으로 하며 txn_type과 부호 정합성을 검증한다.</x:v>
      </x:c>
      <x:c r="J22" s="15"/>
      <x:c r="K22" s="15" t="str">
        <x:v>보안: SYNTHETIC</x:v>
      </x:c>
    </x:row>
    <x:row r="23" ht="44" customHeight="1">
      <x:c r="A23" s="15" t="n">
        <x:v>7</x:v>
      </x:c>
      <x:c r="B23" s="15" t="str">
        <x:v>related_source</x:v>
      </x:c>
      <x:c r="C23" s="15" t="str">
        <x:v>연관 소스</x:v>
      </x:c>
      <x:c r="D23" s="15" t="str">
        <x:v>varchar</x:v>
      </x:c>
      <x:c r="E23" s="15" t="str">
        <x:v>16</x:v>
      </x:c>
      <x:c r="F23" s="15"/>
      <x:c r="G23" s="15"/>
      <x:c r="H23" s="15"/>
      <x:c r="I23" s="15" t="str">
        <x:v>포인트 거래의 근거가 발생한 업무 source 코드다. PMS, POS, FACILITY, BANQUET 중 하나이며 related_id를 어떤 테이블의 식별자로 해석할지 결정한다.</x:v>
      </x:c>
      <x:c r="J23" s="15" t="str">
        <x:v>코드 기준 | PMS/POS/FACILITY/BANQUET</x:v>
      </x:c>
      <x:c r="K23" s="15" t="str">
        <x:v>보안: SYNTHETIC</x:v>
      </x:c>
    </x:row>
    <x:row r="24" ht="44" customHeight="1">
      <x:c r="A24" s="15" t="n">
        <x:v>8</x:v>
      </x:c>
      <x:c r="B24" s="15" t="str">
        <x:v>related_id</x:v>
      </x:c>
      <x:c r="C24" s="15" t="str">
        <x:v>연관 거래 ID</x:v>
      </x:c>
      <x:c r="D24" s="15" t="str">
        <x:v>varchar</x:v>
      </x:c>
      <x:c r="E24" s="15" t="str">
        <x:v>36</x:v>
      </x:c>
      <x:c r="F24" s="15" t="str">
        <x:v>L-FK</x:v>
      </x:c>
      <x:c r="G24" s="15"/>
      <x:c r="H24" s="15"/>
      <x:c r="I24" s="15" t="str">
        <x:v>포인트 거래의 근거가 된 원천 거래 식별자다. related_source에 따라 예약·주문·시설 이벤트·연회 행사를 논리적으로 가리키며 단일 물리 FK는 두지 않는다.</x:v>
      </x:c>
      <x:c r="J24" s="15" t="str">
        <x:v>다형 논리 참조 | related_source 값에 따라 PMS·POS·FACILITY·BANQUET의 거래 식별자를 가리키는 다형 논리 참조; 물리 FK 미적용</x:v>
      </x:c>
      <x:c r="K24" s="15" t="str">
        <x:v>보안: SYNTHETIC</x:v>
      </x:c>
    </x:row>
    <x:row r="25" ht="44" customHeight="1">
      <x:c r="A25" s="15" t="n">
        <x:v>9</x:v>
      </x:c>
      <x:c r="B25" s="15" t="str">
        <x:v>data_period_status</x:v>
      </x:c>
      <x:c r="C25" s="15" t="str">
        <x:v>기간 상태</x:v>
      </x:c>
      <x:c r="D25" s="15" t="str">
        <x:v>varchar</x:v>
      </x:c>
      <x:c r="E25" s="15" t="str">
        <x:v>32</x:v>
      </x:c>
      <x:c r="F25" s="15"/>
      <x:c r="G25" s="15" t="str">
        <x:v>NOT NULL</x:v>
      </x:c>
      <x:c r="H25" s="15"/>
      <x:c r="I25" s="1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25" s="15" t="str">
        <x:v>기준 테이블 | hotel_datahub_app.reference.calendar_daily.data_period_status</x:v>
      </x:c>
      <x:c r="K25" s="15" t="str">
        <x:v>보안: POLICY</x:v>
      </x:c>
    </x:row>
    <x:row r="26" ht="44" customHeight="1">
      <x:c r="A26" s="15" t="n">
        <x:v>10</x:v>
      </x:c>
      <x:c r="B26" s="15" t="str">
        <x:v>is_forecast</x:v>
      </x:c>
      <x:c r="C26" s="15" t="str">
        <x:v>전망 여부</x:v>
      </x:c>
      <x:c r="D26" s="15" t="str">
        <x:v>bit</x:v>
      </x:c>
      <x:c r="E26" s="15"/>
      <x:c r="F26" s="15"/>
      <x:c r="G26" s="15" t="str">
        <x:v>NOT NULL</x:v>
      </x:c>
      <x:c r="H26" s="15"/>
      <x:c r="I26" s="15" t="str">
        <x:v>해당 행을 실제·유사 실적이 아닌 미래 전망 시나리오로 취급할지 나타낸다. 2026-08-16 이후 FORECAST_SCENARIO만 true/1이며 실제 실적 기본 조회에서는 제외한다.</x:v>
      </x:c>
      <x:c r="J26" s="15" t="str">
        <x:v>기준 테이블 | hotel_datahub_app.reference.calendar_daily.is_forecast</x:v>
      </x:c>
      <x:c r="K26" s="15" t="str">
        <x:v>보안: POLICY</x:v>
      </x:c>
    </x:row>
    <x:row r="27" ht="44" customHeight="1">
      <x:c r="A27" s="15" t="n">
        <x:v>11</x:v>
      </x:c>
      <x:c r="B27" s="15" t="str">
        <x:v>is_synthetic</x:v>
      </x:c>
      <x:c r="C27" s="15" t="str">
        <x:v>합성 여부</x:v>
      </x:c>
      <x:c r="D27" s="15" t="str">
        <x:v>bit</x:v>
      </x:c>
      <x:c r="E27" s="15"/>
      <x:c r="F27" s="15"/>
      <x:c r="G27" s="15" t="str">
        <x:v>NOT NULL</x:v>
      </x:c>
      <x:c r="H27" s="15"/>
      <x:c r="I27" s="15" t="str">
        <x:v>실제 고객·운영 원천이 아닌 프로젝트 생성 합성 데이터임을 표시한다. 현재 source fixture에서는 항상 true/1이며 실제 데이터와 혼합 저장하지 않는다.</x:v>
      </x:c>
      <x:c r="J27" s="15" t="str">
        <x:v>합성 데이터 정책 | source-fixture-v5.0에서 true/1 고정</x:v>
      </x:c>
      <x:c r="K27" s="15" t="str">
        <x:v>보안: POLICY</x:v>
      </x:c>
    </x:row>
    <x:row r="28" ht="44" customHeight="1">
      <x:c r="A28" s="15" t="n">
        <x:v>12</x:v>
      </x:c>
      <x:c r="B28" s="15" t="str">
        <x:v>source_updated_at</x:v>
      </x:c>
      <x:c r="C28" s="15" t="str">
        <x:v>원천 수정시각</x:v>
      </x:c>
      <x:c r="D28" s="15" t="str">
        <x:v>datetime2</x:v>
      </x:c>
      <x:c r="E28" s="15" t="str">
        <x:v>3</x:v>
      </x:c>
      <x:c r="F28" s="15"/>
      <x:c r="G28" s="15" t="str">
        <x:v>NOT NULL</x:v>
      </x:c>
      <x:c r="H28" s="15"/>
      <x:c r="I28" s="15" t="str">
        <x:v>원천 수정시각을 나타내는 업무 시각이다. 관련 상태 전이와 다른 시각 컬럼의 선후관계가 일치해야 하며 point-in-time 분석을 위해 timezone 기준을 일관되게 적용한다. 밀리초 정밀도의 datetime2로 저장하며 기준 timezone을 명시한다.</x:v>
      </x:c>
      <x:c r="J28" s="15" t="str">
        <x:v>Point-in-time 기준 | source watermark; 조회 시 source_updated_at &lt;= :as_of_utc</x:v>
      </x:c>
      <x:c r="K28" s="15" t="str">
        <x:v>보안: SYNTHETIC</x:v>
      </x:c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>
      <x:c r="A30" s="58" t="str">
        <x:v>no</x:v>
      </x:c>
      <x:c r="B30" s="58" t="str">
        <x:v>Index name</x:v>
      </x:c>
      <x:c r="C30" s="58"/>
      <x:c r="D30" s="58" t="str">
        <x:v>Index type</x:v>
      </x:c>
      <x:c r="E30" s="58"/>
      <x:c r="F30" s="58" t="str">
        <x:v>Unique</x:v>
      </x:c>
      <x:c r="G30" s="58"/>
      <x:c r="H30" s="58" t="str">
        <x:v>구성 컬럼</x:v>
      </x:c>
      <x:c r="I30" s="58"/>
      <x:c r="J30" s="58"/>
      <x:c r="K30" s="58"/>
    </x:row>
    <x:row r="31">
      <x:c r="A31" s="15" t="n">
        <x:v>1</x:v>
      </x:c>
      <x:c r="B31" s="15" t="str">
        <x:v>PK_crm_point_transactions</x:v>
      </x:c>
      <x:c r="C31" s="15"/>
      <x:c r="D31" s="15" t="str">
        <x:v>PK</x:v>
      </x:c>
      <x:c r="E31" s="15"/>
      <x:c r="F31" s="15" t="str">
        <x:v>Unique</x:v>
      </x:c>
      <x:c r="G31" s="15"/>
      <x:c r="H31" s="15" t="str">
        <x:v>point_txn_id</x:v>
      </x:c>
      <x:c r="I31" s="15"/>
      <x:c r="J31" s="15"/>
      <x:c r="K31" s="15"/>
    </x:row>
    <x:row r="32">
      <x:c r="A32" s="15" t="n">
        <x:v>2</x:v>
      </x:c>
      <x:c r="B32" s="15" t="str">
        <x:v>IX_crm_point_transactions_member_no</x:v>
      </x:c>
      <x:c r="C32" s="15"/>
      <x:c r="D32" s="15" t="str">
        <x:v>BTREE</x:v>
      </x:c>
      <x:c r="E32" s="15"/>
      <x:c r="F32" s="15" t="str">
        <x:v>Non-Unique</x:v>
      </x:c>
      <x:c r="G32" s="15"/>
      <x:c r="H32" s="15" t="str">
        <x:v>member_no</x:v>
      </x:c>
      <x:c r="I32" s="15"/>
      <x:c r="J32" s="15"/>
      <x:c r="K32" s="15"/>
    </x:row>
    <x:row r="33">
      <x:c r="A33" s="15" t="n">
        <x:v>3</x:v>
      </x:c>
      <x:c r="B33" s="15" t="str">
        <x:v>IX_crm_points_member_event</x:v>
      </x:c>
      <x:c r="C33" s="15"/>
      <x:c r="D33" s="15" t="str">
        <x:v>BTREE</x:v>
      </x:c>
      <x:c r="E33" s="15"/>
      <x:c r="F33" s="15" t="str">
        <x:v>Non-Unique</x:v>
      </x:c>
      <x:c r="G33" s="15"/>
      <x:c r="H33" s="15" t="str">
        <x:v>member_no, event_at</x:v>
      </x:c>
      <x:c r="I33" s="15"/>
      <x:c r="J33" s="15"/>
      <x:c r="K33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0:C30"/>
    <x:mergeCell ref="D30:E30"/>
    <x:mergeCell ref="F30:G30"/>
    <x:mergeCell ref="H30:K30"/>
    <x:mergeCell ref="B31:C31"/>
    <x:mergeCell ref="D31:E31"/>
    <x:mergeCell ref="F31:G31"/>
    <x:mergeCell ref="H31:K31"/>
    <x:mergeCell ref="B32:C32"/>
    <x:mergeCell ref="D32:E32"/>
    <x:mergeCell ref="F32:G32"/>
    <x:mergeCell ref="H32:K32"/>
    <x:mergeCell ref="B33:C33"/>
    <x:mergeCell ref="D33:E33"/>
    <x:mergeCell ref="F33:G33"/>
    <x:mergeCell ref="H33:K33"/>
  </x:mergeCells>
  <x:pageMargins left="0.7" right="0.7" top="0.75" bottom="0.75" header="0.3" footer="0.3"/>
</x:worksheet>
</file>

<file path=xl/worksheets/sheet7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SQL Server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hotel_crm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dbo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crm_customer_map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CRM 고객 식별자 매핑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CRM 회원과 PMS·POS·시설·연회에 존재하는 합성 로컬 고객키의 기간성 매핑을 저장한다. 매핑 유효기간과 상태·신뢰도를 적용해 Trino 교차 source 조인을 허용하며 물리 FK는 생성하지 않는다.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합성 적재 기준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property_id</x:v>
      </x:c>
      <x:c r="C17" s="15" t="str">
        <x:v>호텔 속성 ID</x:v>
      </x:c>
      <x:c r="D17" s="15" t="str">
        <x:v>varchar</x:v>
      </x:c>
      <x:c r="E17" s="15" t="str">
        <x:v>64</x:v>
      </x:c>
      <x:c r="F17" s="15"/>
      <x:c r="G17" s="15" t="str">
        <x:v>NOT NULL</x:v>
      </x:c>
      <x:c r="H17" s="15"/>
      <x:c r="I17" s="15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15" t="str">
        <x:v>공통 조인 기준 | fixture property_id=SYNTHETIC_HOTEL_001 | 5개 source에서 동일 값 사용</x:v>
      </x:c>
      <x:c r="K17" s="15" t="str">
        <x:v>보안: POLICY</x:v>
      </x:c>
    </x:row>
    <x:row r="18" ht="44" customHeight="1">
      <x:c r="A18" s="15" t="n">
        <x:v>2</x:v>
      </x:c>
      <x:c r="B18" s="15" t="str">
        <x:v>customer_map_id</x:v>
      </x:c>
      <x:c r="C18" s="15" t="str">
        <x:v>고객 매핑 ID</x:v>
      </x:c>
      <x:c r="D18" s="15" t="str">
        <x:v>varchar</x:v>
      </x:c>
      <x:c r="E18" s="15" t="str">
        <x:v>36</x:v>
      </x:c>
      <x:c r="F18" s="15" t="str">
        <x:v>PK</x:v>
      </x:c>
      <x:c r="G18" s="15" t="str">
        <x:v>NOT NULL</x:v>
      </x:c>
      <x:c r="H18" s="15"/>
      <x:c r="I18" s="15" t="str">
        <x:v>CRM 고객 식별자 매핑의 한 행을 안정적으로 식별하는 기본키다. 다른 이력·분석·참조에서 동일 레코드를 추적할 수 있도록 생성 후 재사용하거나 변경하지 않는다. 설계 기준은 '관계 자산 PK'이다.</x:v>
      </x:c>
      <x:c r="J18" s="15"/>
      <x:c r="K18" s="15" t="str">
        <x:v>보안: SYNTHETIC</x:v>
      </x:c>
    </x:row>
    <x:row r="19" ht="44" customHeight="1">
      <x:c r="A19" s="15" t="n">
        <x:v>3</x:v>
      </x:c>
      <x:c r="B19" s="15" t="str">
        <x:v>member_no</x:v>
      </x:c>
      <x:c r="C19" s="15" t="str">
        <x:v>CRM 회원 번호</x:v>
      </x:c>
      <x:c r="D19" s="15" t="str">
        <x:v>varchar</x:v>
      </x:c>
      <x:c r="E19" s="15" t="str">
        <x:v>36</x:v>
      </x:c>
      <x:c r="F19" s="15" t="str">
        <x:v>FK</x:v>
      </x:c>
      <x:c r="G19" s="15" t="str">
        <x:v>NOT NULL</x:v>
      </x:c>
      <x:c r="H19" s="15"/>
      <x:c r="I19" s="15" t="str">
        <x:v>CRM 회원 번호를 hotel_crm.dbo.crm_members.member_no와 연결하는 물리 외래키다. 반드시 존재하는 상위 행을 참조해야 한다.</x:v>
      </x:c>
      <x:c r="J19" s="15" t="str">
        <x:v>물리 FK | hotel_crm.dbo.crm_members.member_no</x:v>
      </x:c>
      <x:c r="K19" s="15" t="str">
        <x:v>보안: SYNTHETIC</x:v>
      </x:c>
    </x:row>
    <x:row r="20" ht="44" customHeight="1">
      <x:c r="A20" s="15" t="n">
        <x:v>4</x:v>
      </x:c>
      <x:c r="B20" s="15" t="str">
        <x:v>pms_guest_id</x:v>
      </x:c>
      <x:c r="C20" s="15" t="str">
        <x:v>PMS 고객 ID</x:v>
      </x:c>
      <x:c r="D20" s="15" t="str">
        <x:v>varchar</x:v>
      </x:c>
      <x:c r="E20" s="15" t="str">
        <x:v>36</x:v>
      </x:c>
      <x:c r="F20" s="15" t="str">
        <x:v>L-FK</x:v>
      </x:c>
      <x:c r="G20" s="15"/>
      <x:c r="H20" s="15"/>
      <x:c r="I20" s="15" t="str">
        <x:v>CRM 회원과 연결할 PMS 합성 고객키다. pms_guests.guest_id와 논리 조인하며 stay event time이 이 매핑의 [valid_from, valid_to) 구간에 포함되어야 한다.</x:v>
      </x:c>
      <x:c r="J20" s="15" t="str">
        <x:v>논리 참조 | hotel_pms.public.pms_guests.guest_id | Trino JOIN_POLICY; stay event time이 매핑 유효기간에 포함</x:v>
      </x:c>
      <x:c r="K20" s="15" t="str">
        <x:v>보안: SYNTHETIC</x:v>
      </x:c>
    </x:row>
    <x:row r="21" ht="44" customHeight="1">
      <x:c r="A21" s="15" t="n">
        <x:v>5</x:v>
      </x:c>
      <x:c r="B21" s="15" t="str">
        <x:v>pos_customer_ref</x:v>
      </x:c>
      <x:c r="C21" s="15" t="str">
        <x:v>POS 고객 참조</x:v>
      </x:c>
      <x:c r="D21" s="15" t="str">
        <x:v>varchar</x:v>
      </x:c>
      <x:c r="E21" s="15" t="str">
        <x:v>36</x:v>
      </x:c>
      <x:c r="F21" s="15" t="str">
        <x:v>L-FK</x:v>
      </x:c>
      <x:c r="G21" s="15"/>
      <x:c r="H21" s="15"/>
      <x:c r="I21" s="15" t="str">
        <x:v>CRM 회원과 연결할 POS 합성 고객키다. pos_orders.pos_customer_ref와 논리 조인하며 ordered_at가 매핑 유효기간 안에 있을 때만 사용한다.</x:v>
      </x:c>
      <x:c r="J21" s="15" t="str">
        <x:v>논리 참조 | hotel_pos.hotel_pos.pos_orders.pos_customer_ref | Trino JOIN_POLICY; ordered_at가 매핑 [valid_from, valid_to) 구간에 포함</x:v>
      </x:c>
      <x:c r="K21" s="15" t="str">
        <x:v>보안: SYNTHETIC</x:v>
      </x:c>
    </x:row>
    <x:row r="22" ht="44" customHeight="1">
      <x:c r="A22" s="15" t="n">
        <x:v>6</x:v>
      </x:c>
      <x:c r="B22" s="15" t="str">
        <x:v>facility_user_ref</x:v>
      </x:c>
      <x:c r="C22" s="15" t="str">
        <x:v>시설 고객 참조</x:v>
      </x:c>
      <x:c r="D22" s="15" t="str">
        <x:v>varchar</x:v>
      </x:c>
      <x:c r="E22" s="15" t="str">
        <x:v>36</x:v>
      </x:c>
      <x:c r="F22" s="15" t="str">
        <x:v>L-FK</x:v>
      </x:c>
      <x:c r="G22" s="15"/>
      <x:c r="H22" s="15"/>
      <x:c r="I22" s="15" t="str">
        <x:v>CRM 회원과 연결할 시설 이용 합성 고객키다. facility_events.facility_user_ref와 논리 조인하며 event_at가 매핑 유효기간 안에 있어야 한다.</x:v>
      </x:c>
      <x:c r="J22" s="15" t="str">
        <x:v>논리 참조 | hotel_facility.hotel_facility.facility_events.facility_user_ref | Trino JOIN_POLICY; event_at가 매핑 [valid_from, valid_to) 구간에 포함</x:v>
      </x:c>
      <x:c r="K22" s="15" t="str">
        <x:v>보안: SYNTHETIC</x:v>
      </x:c>
    </x:row>
    <x:row r="23" ht="44" customHeight="1">
      <x:c r="A23" s="15" t="n">
        <x:v>7</x:v>
      </x:c>
      <x:c r="B23" s="15" t="str">
        <x:v>banquet_customer_id</x:v>
      </x:c>
      <x:c r="C23" s="15" t="str">
        <x:v>연회 고객 ID</x:v>
      </x:c>
      <x:c r="D23" s="15" t="str">
        <x:v>varchar</x:v>
      </x:c>
      <x:c r="E23" s="15" t="str">
        <x:v>36</x:v>
      </x:c>
      <x:c r="F23" s="15" t="str">
        <x:v>L-FK</x:v>
      </x:c>
      <x:c r="G23" s="15"/>
      <x:c r="H23" s="15"/>
      <x:c r="I23" s="15" t="str">
        <x:v>CRM 회원과 연결할 연회 합성 고객키다. banquet_bookings.customer_id와 논리 조인하며 event_date가 매핑 유효기간 안에 있을 때만 사용한다.</x:v>
      </x:c>
      <x:c r="J23" s="15" t="str">
        <x:v>논리 참조 | hotel_banquet.public.banquet_bookings.customer_id | Trino JOIN_POLICY; event_date가 매핑 [valid_from, valid_to) 구간에 포함</x:v>
      </x:c>
      <x:c r="K23" s="15" t="str">
        <x:v>보안: SYNTHETIC</x:v>
      </x:c>
    </x:row>
    <x:row r="24" ht="44" customHeight="1">
      <x:c r="A24" s="15" t="n">
        <x:v>8</x:v>
      </x:c>
      <x:c r="B24" s="15" t="str">
        <x:v>valid_from</x:v>
      </x:c>
      <x:c r="C24" s="15" t="str">
        <x:v>유효 시작</x:v>
      </x:c>
      <x:c r="D24" s="15" t="str">
        <x:v>datetime2</x:v>
      </x:c>
      <x:c r="E24" s="15" t="str">
        <x:v>3</x:v>
      </x:c>
      <x:c r="F24" s="15"/>
      <x:c r="G24" s="15" t="str">
        <x:v>NOT NULL</x:v>
      </x:c>
      <x:c r="H24" s="15"/>
      <x:c r="I24" s="15" t="str">
        <x:v>CRM 회원과 source 로컬키 매핑이 유효해지는 시작 시각이다. event time이 이 값 이상인 거래만 해당 회원과 연결한다.</x:v>
      </x:c>
      <x:c r="J24" s="15" t="str">
        <x:v>기간 기준 | [valid_from, valid_to) 반개구간 규칙</x:v>
      </x:c>
      <x:c r="K24" s="15" t="str">
        <x:v>보안: SYNTHETIC</x:v>
      </x:c>
    </x:row>
    <x:row r="25" ht="44" customHeight="1">
      <x:c r="A25" s="15" t="n">
        <x:v>9</x:v>
      </x:c>
      <x:c r="B25" s="15" t="str">
        <x:v>valid_to</x:v>
      </x:c>
      <x:c r="C25" s="15" t="str">
        <x:v>유효 종료</x:v>
      </x:c>
      <x:c r="D25" s="15" t="str">
        <x:v>datetime2</x:v>
      </x:c>
      <x:c r="E25" s="15" t="str">
        <x:v>3</x:v>
      </x:c>
      <x:c r="F25" s="15"/>
      <x:c r="G25" s="15"/>
      <x:c r="H25" s="15"/>
      <x:c r="I25" s="15" t="str">
        <x:v>매핑 유효 종료 시각이다. NULL이면 현재 유효하며 event time이 이 값과 같으면 해당 매핑을 사용하지 않는 exclusive 경계다.</x:v>
      </x:c>
      <x:c r="J25" s="15" t="str">
        <x:v>기간 기준 | [valid_from, valid_to) 반개구간 규칙</x:v>
      </x:c>
      <x:c r="K25" s="15" t="str">
        <x:v>보안: SYNTHETIC</x:v>
      </x:c>
    </x:row>
    <x:row r="26" ht="44" customHeight="1">
      <x:c r="A26" s="15" t="n">
        <x:v>10</x:v>
      </x:c>
      <x:c r="B26" s="15" t="str">
        <x:v>mapping_status</x:v>
      </x:c>
      <x:c r="C26" s="15" t="str">
        <x:v>상태</x:v>
      </x:c>
      <x:c r="D26" s="15" t="str">
        <x:v>varchar</x:v>
      </x:c>
      <x:c r="E26" s="15" t="str">
        <x:v>16</x:v>
      </x:c>
      <x:c r="F26" s="15"/>
      <x:c r="G26" s="15" t="str">
        <x:v>NOT NULL</x:v>
      </x:c>
      <x:c r="H26" s="15"/>
      <x:c r="I26" s="15" t="str">
        <x:v>매핑의 사용 가능 상태다. ACTIVE만 교차 source JOIN에 사용할 수 있고 REVOKED는 과거 이력 보존용으로만 남긴다.</x:v>
      </x:c>
      <x:c r="J26" s="15" t="str">
        <x:v>코드 기준 | ACTIVE, REVOKED</x:v>
      </x:c>
      <x:c r="K26" s="15" t="str">
        <x:v>보안: SYNTHETIC</x:v>
      </x:c>
    </x:row>
    <x:row r="27" ht="44" customHeight="1">
      <x:c r="A27" s="15" t="n">
        <x:v>11</x:v>
      </x:c>
      <x:c r="B27" s="15" t="str">
        <x:v>mapping_confidence</x:v>
      </x:c>
      <x:c r="C27" s="15" t="str">
        <x:v>매핑 신뢰도</x:v>
      </x:c>
      <x:c r="D27" s="15" t="str">
        <x:v>decimal</x:v>
      </x:c>
      <x:c r="E27" s="15" t="str">
        <x:v>5,4</x:v>
      </x:c>
      <x:c r="F27" s="15"/>
      <x:c r="G27" s="15" t="str">
        <x:v>NOT NULL</x:v>
      </x:c>
      <x:c r="H27" s="15"/>
      <x:c r="I27" s="15" t="str">
        <x:v>합성 고객키 매핑의 신뢰도를 0~1로 저장한다. 승인 JOIN 정책에서 요구한 임계값 미만이면 자동 조인 대상에서 제외한다.</x:v>
      </x:c>
      <x:c r="J27" s="15"/>
      <x:c r="K27" s="15" t="str">
        <x:v>보안: SYNTHETIC</x:v>
      </x:c>
    </x:row>
    <x:row r="28" ht="44" customHeight="1">
      <x:c r="A28" s="15" t="n">
        <x:v>12</x:v>
      </x:c>
      <x:c r="B28" s="15" t="str">
        <x:v>is_synthetic</x:v>
      </x:c>
      <x:c r="C28" s="15" t="str">
        <x:v>합성 여부</x:v>
      </x:c>
      <x:c r="D28" s="15" t="str">
        <x:v>bit</x:v>
      </x:c>
      <x:c r="E28" s="15"/>
      <x:c r="F28" s="15"/>
      <x:c r="G28" s="15" t="str">
        <x:v>NOT NULL</x:v>
      </x:c>
      <x:c r="H28" s="15"/>
      <x:c r="I28" s="15" t="str">
        <x:v>실제 고객·운영 원천이 아닌 프로젝트 생성 합성 데이터임을 표시한다. 현재 source fixture에서는 항상 true/1이며 실제 데이터와 혼합 저장하지 않는다.</x:v>
      </x:c>
      <x:c r="J28" s="15" t="str">
        <x:v>합성 데이터 정책 | source-fixture-v5.0에서 true/1 고정</x:v>
      </x:c>
      <x:c r="K28" s="15" t="str">
        <x:v>보안: POLICY</x:v>
      </x:c>
    </x:row>
    <x:row r="29" ht="44" customHeight="1">
      <x:c r="A29" s="15" t="n">
        <x:v>13</x:v>
      </x:c>
      <x:c r="B29" s="15" t="str">
        <x:v>source_updated_at</x:v>
      </x:c>
      <x:c r="C29" s="15" t="str">
        <x:v>원천 수정시각</x:v>
      </x:c>
      <x:c r="D29" s="15" t="str">
        <x:v>datetime2</x:v>
      </x:c>
      <x:c r="E29" s="15" t="str">
        <x:v>3</x:v>
      </x:c>
      <x:c r="F29" s="15"/>
      <x:c r="G29" s="15" t="str">
        <x:v>NOT NULL</x:v>
      </x:c>
      <x:c r="H29" s="15"/>
      <x:c r="I29" s="15" t="str">
        <x:v>원천 수정시각을 나타내는 업무 시각이다. 관련 상태 전이와 다른 시각 컬럼의 선후관계가 일치해야 하며 point-in-time 분석을 위해 timezone 기준을 일관되게 적용한다. 밀리초 정밀도의 datetime2로 저장하며 기준 timezone을 명시한다.</x:v>
      </x:c>
      <x:c r="J29" s="15" t="str">
        <x:v>Point-in-time 기준 | source watermark; 조회 시 source_updated_at &lt;= :as_of_utc</x:v>
      </x:c>
      <x:c r="K29" s="15" t="str">
        <x:v>보안: SYNTHETIC</x:v>
      </x:c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>
      <x:c r="A31" s="58" t="str">
        <x:v>no</x:v>
      </x:c>
      <x:c r="B31" s="58" t="str">
        <x:v>Index name</x:v>
      </x:c>
      <x:c r="C31" s="58"/>
      <x:c r="D31" s="58" t="str">
        <x:v>Index type</x:v>
      </x:c>
      <x:c r="E31" s="58"/>
      <x:c r="F31" s="58" t="str">
        <x:v>Unique</x:v>
      </x:c>
      <x:c r="G31" s="58"/>
      <x:c r="H31" s="58" t="str">
        <x:v>구성 컬럼</x:v>
      </x:c>
      <x:c r="I31" s="58"/>
      <x:c r="J31" s="58"/>
      <x:c r="K31" s="58"/>
    </x:row>
    <x:row r="32">
      <x:c r="A32" s="15" t="n">
        <x:v>1</x:v>
      </x:c>
      <x:c r="B32" s="15" t="str">
        <x:v>PK_crm_customer_map</x:v>
      </x:c>
      <x:c r="C32" s="15"/>
      <x:c r="D32" s="15" t="str">
        <x:v>PK</x:v>
      </x:c>
      <x:c r="E32" s="15"/>
      <x:c r="F32" s="15" t="str">
        <x:v>Unique</x:v>
      </x:c>
      <x:c r="G32" s="15"/>
      <x:c r="H32" s="15" t="str">
        <x:v>customer_map_id</x:v>
      </x:c>
      <x:c r="I32" s="15"/>
      <x:c r="J32" s="15"/>
      <x:c r="K32" s="15"/>
    </x:row>
    <x:row r="33">
      <x:c r="A33" s="15" t="n">
        <x:v>2</x:v>
      </x:c>
      <x:c r="B33" s="15" t="str">
        <x:v>IX_crm_customer_map_member_no</x:v>
      </x:c>
      <x:c r="C33" s="15"/>
      <x:c r="D33" s="15" t="str">
        <x:v>BTREE</x:v>
      </x:c>
      <x:c r="E33" s="15"/>
      <x:c r="F33" s="15" t="str">
        <x:v>Non-Unique</x:v>
      </x:c>
      <x:c r="G33" s="15"/>
      <x:c r="H33" s="15" t="str">
        <x:v>member_no</x:v>
      </x:c>
      <x:c r="I33" s="15"/>
      <x:c r="J33" s="15"/>
      <x:c r="K33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1:C31"/>
    <x:mergeCell ref="D31:E31"/>
    <x:mergeCell ref="F31:G31"/>
    <x:mergeCell ref="H31:K31"/>
    <x:mergeCell ref="B32:C32"/>
    <x:mergeCell ref="D32:E32"/>
    <x:mergeCell ref="F32:G32"/>
    <x:mergeCell ref="H32:K32"/>
    <x:mergeCell ref="B33:C33"/>
    <x:mergeCell ref="D33:E33"/>
    <x:mergeCell ref="F33:G33"/>
    <x:mergeCell ref="H33:K33"/>
  </x:mergeCells>
  <x:pageMargins left="0.7" right="0.7" top="0.75" bottom="0.75" header="0.3" footer="0.3"/>
</x:worksheet>
</file>

<file path=xl/worksheets/sheet7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ClickHouse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hotel_facility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hotel_facility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facility_master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시설 마스터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시설 운영 이벤트의 상위 합성 시설 마스터를 저장한다. 시설 유형·담당 조직·수용인원·운영시간·활성 상태를 관리하며 ClickHouse 특성상 facility_events와의 관계는 논리 검증한다.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합성 적재 기준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property_id</x:v>
      </x:c>
      <x:c r="C17" s="15" t="str">
        <x:v>호텔 속성 ID</x:v>
      </x:c>
      <x:c r="D17" s="15" t="str">
        <x:v>String</x:v>
      </x:c>
      <x:c r="E17" s="15"/>
      <x:c r="F17" s="15"/>
      <x:c r="G17" s="15" t="str">
        <x:v>NOT NULL</x:v>
      </x:c>
      <x:c r="H17" s="15"/>
      <x:c r="I17" s="15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15" t="str">
        <x:v>공통 조인 기준 | fixture property_id=SYNTHETIC_HOTEL_001 | 5개 source에서 동일 값 사용</x:v>
      </x:c>
      <x:c r="K17" s="15" t="str">
        <x:v>보안: POLICY</x:v>
      </x:c>
    </x:row>
    <x:row r="18" ht="44" customHeight="1">
      <x:c r="A18" s="15" t="n">
        <x:v>2</x:v>
      </x:c>
      <x:c r="B18" s="15" t="str">
        <x:v>facility_id</x:v>
      </x:c>
      <x:c r="C18" s="15" t="str">
        <x:v>시설 ID</x:v>
      </x:c>
      <x:c r="D18" s="15" t="str">
        <x:v>String</x:v>
      </x:c>
      <x:c r="E18" s="15"/>
      <x:c r="F18" s="15" t="str">
        <x:v>PK</x:v>
      </x:c>
      <x:c r="G18" s="15" t="str">
        <x:v>NOT NULL</x:v>
      </x:c>
      <x:c r="H18" s="15"/>
      <x:c r="I18" s="15" t="str">
        <x:v>시설 마스터의 한 행을 안정적으로 식별하는 기본키다. 다른 이력·분석·참조에서 동일 레코드를 추적할 수 있도록 생성 후 재사용하거나 변경하지 않는다. 설계 기준은 '논리 PK'이다.</x:v>
      </x:c>
      <x:c r="J18" s="15" t="str">
        <x:v>참조됨 | hotel_facility.hotel_facility.facility_events.facility_id</x:v>
      </x:c>
      <x:c r="K18" s="15" t="str">
        <x:v>보안: SYNTHETIC</x:v>
      </x:c>
    </x:row>
    <x:row r="19" ht="44" customHeight="1">
      <x:c r="A19" s="15" t="n">
        <x:v>3</x:v>
      </x:c>
      <x:c r="B19" s="15" t="str">
        <x:v>facility_name</x:v>
      </x:c>
      <x:c r="C19" s="15" t="str">
        <x:v>합성 시설명</x:v>
      </x:c>
      <x:c r="D19" s="15" t="str">
        <x:v>String</x:v>
      </x:c>
      <x:c r="E19" s="15"/>
      <x:c r="F19" s="15"/>
      <x:c r="G19" s="15" t="str">
        <x:v>NOT NULL</x:v>
      </x:c>
      <x:c r="H19" s="15"/>
      <x:c r="I19" s="15" t="str">
        <x:v>합성 시설명으로 화면·보고서에 표시하는 사람이 읽을 수 있는 명칭이다. 식별·조인에는 별도 ID 또는 안정 키를 사용하며 민감정보를 포함하지 않는다.</x:v>
      </x:c>
      <x:c r="J19" s="15"/>
      <x:c r="K19" s="15" t="str">
        <x:v>보안: SYNTHETIC</x:v>
      </x:c>
    </x:row>
    <x:row r="20" ht="44" customHeight="1">
      <x:c r="A20" s="15" t="n">
        <x:v>4</x:v>
      </x:c>
      <x:c r="B20" s="15" t="str">
        <x:v>facility_type</x:v>
      </x:c>
      <x:c r="C20" s="15" t="str">
        <x:v>시설 유형</x:v>
      </x:c>
      <x:c r="D20" s="15" t="str">
        <x:v>LowCardinality</x:v>
      </x:c>
      <x:c r="E20" s="15" t="str">
        <x:v>String</x:v>
      </x:c>
      <x:c r="F20" s="15"/>
      <x:c r="G20" s="15" t="str">
        <x:v>NOT NULL</x:v>
      </x:c>
      <x:c r="H20" s="15"/>
      <x:c r="I20" s="15" t="str">
        <x:v>시설 유형: 승인된 표준 코드 값이다. 허용값은 SPA, POOL, FITNESS, ACTIVITY, MEETING_SUPPORT, BACK_OF_HOUSE이며 값에 따라 시설 마스터의 처리 규칙·집계 범위·표시 방식이 달라지므로 자유서술을 허용하지 않는다.</x:v>
      </x:c>
      <x:c r="J20" s="15" t="str">
        <x:v>코드 기준 | SPA, POOL, FITNESS, ACTIVITY, MEETING_SUPPORT, BACK_OF_HOUSE</x:v>
      </x:c>
      <x:c r="K20" s="15" t="str">
        <x:v>보안: SYNTHETIC</x:v>
      </x:c>
    </x:row>
    <x:row r="21" ht="44" customHeight="1">
      <x:c r="A21" s="15" t="n">
        <x:v>5</x:v>
      </x:c>
      <x:c r="B21" s="15" t="str">
        <x:v>owner_team</x:v>
      </x:c>
      <x:c r="C21" s="15" t="str">
        <x:v>담당 조직</x:v>
      </x:c>
      <x:c r="D21" s="15" t="str">
        <x:v>LowCardinality</x:v>
      </x:c>
      <x:c r="E21" s="15" t="str">
        <x:v>String</x:v>
      </x:c>
      <x:c r="F21" s="15"/>
      <x:c r="G21" s="15" t="str">
        <x:v>NOT NULL</x:v>
      </x:c>
      <x:c r="H21" s="15"/>
      <x:c r="I21" s="15" t="str">
        <x:v>시설 운영·점검·장애 대응에 책임을 지는 담당 조직 코드다. 이벤트 배정과 품질 이슈 소유자 표시에 사용하며 개인 담당자 정보는 저장하지 않는다.</x:v>
      </x:c>
      <x:c r="J21" s="15"/>
      <x:c r="K21" s="15" t="str">
        <x:v>보안: SYNTHETIC</x:v>
      </x:c>
    </x:row>
    <x:row r="22" ht="44" customHeight="1">
      <x:c r="A22" s="15" t="n">
        <x:v>6</x:v>
      </x:c>
      <x:c r="B22" s="15" t="str">
        <x:v>capacity</x:v>
      </x:c>
      <x:c r="C22" s="15" t="str">
        <x:v>수용 인원</x:v>
      </x:c>
      <x:c r="D22" s="15" t="str">
        <x:v>UInt32</x:v>
      </x:c>
      <x:c r="E22" s="15"/>
      <x:c r="F22" s="15"/>
      <x:c r="G22" s="15" t="str">
        <x:v>NOT NULL</x:v>
      </x:c>
      <x:c r="H22" s="15"/>
      <x:c r="I22" s="15" t="str">
        <x:v>시설이 동시에 수용할 수 있는 합성 인원 수다. 0 이상이며 이용 이벤트·혼잡도 시나리오 검증의 상한 기준으로 사용한다.</x:v>
      </x:c>
      <x:c r="J22" s="15"/>
      <x:c r="K22" s="15" t="str">
        <x:v>보안: SYNTHETIC</x:v>
      </x:c>
    </x:row>
    <x:row r="23" ht="44" customHeight="1">
      <x:c r="A23" s="15" t="n">
        <x:v>7</x:v>
      </x:c>
      <x:c r="B23" s="15" t="str">
        <x:v>open_hour</x:v>
      </x:c>
      <x:c r="C23" s="15" t="str">
        <x:v>운영 시작 시</x:v>
      </x:c>
      <x:c r="D23" s="15" t="str">
        <x:v>UInt8</x:v>
      </x:c>
      <x:c r="E23" s="15"/>
      <x:c r="F23" s="15"/>
      <x:c r="G23" s="15" t="str">
        <x:v>NOT NULL</x:v>
      </x:c>
      <x:c r="H23" s="15"/>
      <x:c r="I23" s="15" t="str">
        <x:v>시설의 정상 운영 시작 시각을 0~23 정수 시로 저장한다. close_hour와 함께 이벤트가 운영시간 안에 발생했는지 검증한다.</x:v>
      </x:c>
      <x:c r="J23" s="15"/>
      <x:c r="K23" s="15" t="str">
        <x:v>보안: SYNTHETIC</x:v>
      </x:c>
    </x:row>
    <x:row r="24" ht="44" customHeight="1">
      <x:c r="A24" s="15" t="n">
        <x:v>8</x:v>
      </x:c>
      <x:c r="B24" s="15" t="str">
        <x:v>close_hour</x:v>
      </x:c>
      <x:c r="C24" s="15" t="str">
        <x:v>운영 종료 시</x:v>
      </x:c>
      <x:c r="D24" s="15" t="str">
        <x:v>UInt8</x:v>
      </x:c>
      <x:c r="E24" s="15"/>
      <x:c r="F24" s="15"/>
      <x:c r="G24" s="15" t="str">
        <x:v>NOT NULL</x:v>
      </x:c>
      <x:c r="H24" s="15"/>
      <x:c r="I24" s="15" t="str">
        <x:v>시설의 정상 운영 종료 시각을 0~23 정수 시로 저장한다. 자정을 넘는 운영은 별도 규칙을 적용하고 open_hour와 모순되지 않아야 한다.</x:v>
      </x:c>
      <x:c r="J24" s="15"/>
      <x:c r="K24" s="15" t="str">
        <x:v>보안: SYNTHETIC</x:v>
      </x:c>
    </x:row>
    <x:row r="25" ht="44" customHeight="1">
      <x:c r="A25" s="15" t="n">
        <x:v>9</x:v>
      </x:c>
      <x:c r="B25" s="15" t="str">
        <x:v>is_active</x:v>
      </x:c>
      <x:c r="C25" s="15" t="str">
        <x:v>활성 여부</x:v>
      </x:c>
      <x:c r="D25" s="15" t="str">
        <x:v>UInt8</x:v>
      </x:c>
      <x:c r="E25" s="15"/>
      <x:c r="F25" s="15"/>
      <x:c r="G25" s="15" t="str">
        <x:v>NOT NULL</x:v>
      </x:c>
      <x:c r="H25" s="15"/>
      <x:c r="I25" s="15" t="str">
        <x:v>활성 여부 조건의 충족 여부를 boolean으로 저장한다. true/false의 업무 의미를 명확히 고정하고 NULL로 미정 상태를 표현하지 않는다.</x:v>
      </x:c>
      <x:c r="J25" s="15"/>
      <x:c r="K25" s="15" t="str">
        <x:v>보안: SYNTHETIC</x:v>
      </x:c>
    </x:row>
    <x:row r="26" ht="44" customHeight="1">
      <x:c r="A26" s="15" t="n">
        <x:v>10</x:v>
      </x:c>
      <x:c r="B26" s="15" t="str">
        <x:v>is_synthetic</x:v>
      </x:c>
      <x:c r="C26" s="15" t="str">
        <x:v>합성 여부</x:v>
      </x:c>
      <x:c r="D26" s="15" t="str">
        <x:v>UInt8</x:v>
      </x:c>
      <x:c r="E26" s="15"/>
      <x:c r="F26" s="15"/>
      <x:c r="G26" s="15" t="str">
        <x:v>NOT NULL</x:v>
      </x:c>
      <x:c r="H26" s="15"/>
      <x:c r="I26" s="15" t="str">
        <x:v>실제 고객·운영 원천이 아닌 프로젝트 생성 합성 데이터임을 표시한다. 현재 source fixture에서는 항상 true/1이며 실제 데이터와 혼합 저장하지 않는다.</x:v>
      </x:c>
      <x:c r="J26" s="15" t="str">
        <x:v>합성 데이터 정책 | source-fixture-v5.0에서 true/1 고정</x:v>
      </x:c>
      <x:c r="K26" s="15" t="str">
        <x:v>보안: POLICY</x:v>
      </x:c>
    </x:row>
    <x:row r="27" ht="44" customHeight="1">
      <x:c r="A27" s="15" t="n">
        <x:v>11</x:v>
      </x:c>
      <x:c r="B27" s="15" t="str">
        <x:v>source_updated_at</x:v>
      </x:c>
      <x:c r="C27" s="15" t="str">
        <x:v>원천 수정시각</x:v>
      </x:c>
      <x:c r="D27" s="15" t="str">
        <x:v>DateTime64</x:v>
      </x:c>
      <x:c r="E27" s="15" t="str">
        <x:v>3,'UTC'</x:v>
      </x:c>
      <x:c r="F27" s="15"/>
      <x:c r="G27" s="15" t="str">
        <x:v>NOT NULL</x:v>
      </x:c>
      <x:c r="H27" s="15"/>
      <x:c r="I27" s="15" t="str">
        <x:v>원천 수정시각을 나타내는 업무 시각이다. 관련 상태 전이와 다른 시각 컬럼의 선후관계가 일치해야 하며 point-in-time 분석을 위해 timezone 기준을 일관되게 적용한다. UTC 기준 시각으로 저장한다.</x:v>
      </x:c>
      <x:c r="J27" s="15" t="str">
        <x:v>Point-in-time 기준 | source watermark; 조회 시 source_updated_at &lt;= :as_of_utc</x:v>
      </x:c>
      <x:c r="K27" s="15" t="str">
        <x:v>보안: SYNTHETIC</x:v>
      </x:c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>
      <x:c r="A29" s="58" t="str">
        <x:v>no</x:v>
      </x:c>
      <x:c r="B29" s="58" t="str">
        <x:v>Index name</x:v>
      </x:c>
      <x:c r="C29" s="58"/>
      <x:c r="D29" s="58" t="str">
        <x:v>Index type</x:v>
      </x:c>
      <x:c r="E29" s="58"/>
      <x:c r="F29" s="58" t="str">
        <x:v>Unique</x:v>
      </x:c>
      <x:c r="G29" s="58"/>
      <x:c r="H29" s="58" t="str">
        <x:v>구성 컬럼</x:v>
      </x:c>
      <x:c r="I29" s="58"/>
      <x:c r="J29" s="58"/>
      <x:c r="K29" s="58"/>
    </x:row>
    <x:row r="30">
      <x:c r="A30" s="15" t="n">
        <x:v>1</x:v>
      </x:c>
      <x:c r="B30" s="15" t="str">
        <x:v>PK_facility_master_LOGICAL</x:v>
      </x:c>
      <x:c r="C30" s="15"/>
      <x:c r="D30" s="15" t="str">
        <x:v>LOGICAL PK</x:v>
      </x:c>
      <x:c r="E30" s="15"/>
      <x:c r="F30" s="15" t="str">
        <x:v>Unique</x:v>
      </x:c>
      <x:c r="G30" s="15"/>
      <x:c r="H30" s="15" t="str">
        <x:v>facility_id</x:v>
      </x:c>
      <x:c r="I30" s="15"/>
      <x:c r="J30" s="15"/>
      <x:c r="K30" s="15"/>
    </x:row>
    <x:row r="31">
      <x:c r="A31" s="15" t="n">
        <x:v>2</x:v>
      </x:c>
      <x:c r="B31" s="15" t="str">
        <x:v>ORDER_facility_master</x:v>
      </x:c>
      <x:c r="C31" s="15"/>
      <x:c r="D31" s="15" t="str">
        <x:v>ORDER BY</x:v>
      </x:c>
      <x:c r="E31" s="15"/>
      <x:c r="F31" s="15" t="str">
        <x:v>-</x:v>
      </x:c>
      <x:c r="G31" s="15"/>
      <x:c r="H31" s="15" t="str">
        <x:v>facility_id</x:v>
      </x:c>
      <x:c r="I31" s="15"/>
      <x:c r="J31" s="15"/>
      <x:c r="K31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29:C29"/>
    <x:mergeCell ref="D29:E29"/>
    <x:mergeCell ref="F29:G29"/>
    <x:mergeCell ref="H29:K29"/>
    <x:mergeCell ref="B30:C30"/>
    <x:mergeCell ref="D30:E30"/>
    <x:mergeCell ref="F30:G30"/>
    <x:mergeCell ref="H30:K30"/>
    <x:mergeCell ref="B31:C31"/>
    <x:mergeCell ref="D31:E31"/>
    <x:mergeCell ref="F31:G31"/>
    <x:mergeCell ref="H31:K31"/>
  </x:mergeCells>
  <x:pageMargins left="0.7" right="0.7" top="0.75" bottom="0.75" header="0.3" footer="0.3"/>
</x:worksheet>
</file>

<file path=xl/worksheets/sheet80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ClickHouse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hotel_facility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hotel_facility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facility_events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시설 운영 이벤트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시설 이용·점검·장애를 하나의 이벤트 fact로 저장한다. 이벤트 유형·상태·심각도, 발생·소요·중단 시간과 이용 매출을 기록하고 고객 연결은 CRM 매핑을 통한 논리 참조로만 수행한다.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합성 적재 기준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property_id</x:v>
      </x:c>
      <x:c r="C17" s="15" t="str">
        <x:v>호텔 속성 ID</x:v>
      </x:c>
      <x:c r="D17" s="15" t="str">
        <x:v>String</x:v>
      </x:c>
      <x:c r="E17" s="15"/>
      <x:c r="F17" s="15"/>
      <x:c r="G17" s="15" t="str">
        <x:v>NOT NULL</x:v>
      </x:c>
      <x:c r="H17" s="15"/>
      <x:c r="I17" s="15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15" t="str">
        <x:v>공통 조인 기준 | fixture property_id=SYNTHETIC_HOTEL_001 | 5개 source에서 동일 값 사용</x:v>
      </x:c>
      <x:c r="K17" s="15" t="str">
        <x:v>보안: POLICY</x:v>
      </x:c>
    </x:row>
    <x:row r="18" ht="44" customHeight="1">
      <x:c r="A18" s="15" t="n">
        <x:v>2</x:v>
      </x:c>
      <x:c r="B18" s="15" t="str">
        <x:v>event_id</x:v>
      </x:c>
      <x:c r="C18" s="15" t="str">
        <x:v>이벤트 ID</x:v>
      </x:c>
      <x:c r="D18" s="15" t="str">
        <x:v>String</x:v>
      </x:c>
      <x:c r="E18" s="15"/>
      <x:c r="F18" s="15" t="str">
        <x:v>PK</x:v>
      </x:c>
      <x:c r="G18" s="15" t="str">
        <x:v>NOT NULL</x:v>
      </x:c>
      <x:c r="H18" s="15"/>
      <x:c r="I18" s="15" t="str">
        <x:v>시설 운영 이벤트의 한 행을 안정적으로 식별하는 기본키다. 다른 이력·분석·참조에서 동일 레코드를 추적할 수 있도록 생성 후 재사용하거나 변경하지 않는다. 설계 기준은 '논리 PK'이다.</x:v>
      </x:c>
      <x:c r="J18" s="15"/>
      <x:c r="K18" s="15" t="str">
        <x:v>보안: SYNTHETIC</x:v>
      </x:c>
    </x:row>
    <x:row r="19" ht="44" customHeight="1">
      <x:c r="A19" s="15" t="n">
        <x:v>3</x:v>
      </x:c>
      <x:c r="B19" s="15" t="str">
        <x:v>facility_id</x:v>
      </x:c>
      <x:c r="C19" s="15" t="str">
        <x:v>시설 ID</x:v>
      </x:c>
      <x:c r="D19" s="15" t="str">
        <x:v>String</x:v>
      </x:c>
      <x:c r="E19" s="15"/>
      <x:c r="F19" s="15" t="str">
        <x:v>L-FK</x:v>
      </x:c>
      <x:c r="G19" s="15" t="str">
        <x:v>NOT NULL</x:v>
      </x:c>
      <x:c r="H19" s="15"/>
      <x:c r="I19" s="15" t="str">
        <x:v>이 이벤트가 발생한 시설을 식별하는 논리 외래키다. ClickHouse에는 물리 FK를 생성하지 않고 facility_master.facility_id 존재 여부를 적재 전후 anti-join 검증으로 확인한다.</x:v>
      </x:c>
      <x:c r="J19" s="15" t="str">
        <x:v>논리 참조 | hotel_facility.hotel_facility.facility_master.facility_id | ClickHouse 물리 FK 미지원; 적재 전후 anti-join 검증</x:v>
      </x:c>
      <x:c r="K19" s="15" t="str">
        <x:v>보안: SYNTHETIC</x:v>
      </x:c>
    </x:row>
    <x:row r="20" ht="44" customHeight="1">
      <x:c r="A20" s="15" t="n">
        <x:v>4</x:v>
      </x:c>
      <x:c r="B20" s="15" t="str">
        <x:v>facility_user_ref</x:v>
      </x:c>
      <x:c r="C20" s="15" t="str">
        <x:v>시설 고객 참조</x:v>
      </x:c>
      <x:c r="D20" s="15" t="str">
        <x:v>Nullable</x:v>
      </x:c>
      <x:c r="E20" s="15" t="str">
        <x:v>String</x:v>
      </x:c>
      <x:c r="F20" s="15" t="str">
        <x:v>L-FK</x:v>
      </x:c>
      <x:c r="G20" s="15"/>
      <x:c r="H20" s="15"/>
      <x:c r="I20" s="15" t="str">
        <x:v>시설 이용 이벤트의 합성 고객 참조키다. crm_customer_map.facility_user_ref와 event_at 기준 유효기간을 만족할 때만 CRM 회원과 논리 연결하며 매핑이 없으면 NULL을 허용한다.</x:v>
      </x:c>
      <x:c r="J20" s="15" t="str">
        <x:v>논리 참조 | hotel_crm.dbo.crm_customer_map.facility_user_ref | Trino JOIN_POLICY; event_at가 매핑 [valid_from, valid_to) 구간에 포함</x:v>
      </x:c>
      <x:c r="K20" s="15" t="str">
        <x:v>보안: SYNTHETIC</x:v>
      </x:c>
    </x:row>
    <x:row r="21" ht="44" customHeight="1">
      <x:c r="A21" s="15" t="n">
        <x:v>5</x:v>
      </x:c>
      <x:c r="B21" s="15" t="str">
        <x:v>event_type</x:v>
      </x:c>
      <x:c r="C21" s="15" t="str">
        <x:v>이벤트 유형</x:v>
      </x:c>
      <x:c r="D21" s="15" t="str">
        <x:v>LowCardinality</x:v>
      </x:c>
      <x:c r="E21" s="15" t="str">
        <x:v>String</x:v>
      </x:c>
      <x:c r="F21" s="15"/>
      <x:c r="G21" s="15" t="str">
        <x:v>NOT NULL</x:v>
      </x:c>
      <x:c r="H21" s="15"/>
      <x:c r="I21" s="15" t="str">
        <x:v>시설 이벤트의 업무 유형이다. USAGE, INSPECTION, INCIDENT 중 하나이며 금액·심각도·중단시간의 적용 규칙을 결정한다.</x:v>
      </x:c>
      <x:c r="J21" s="15" t="str">
        <x:v>코드 기준 | USAGE, INSPECTION, INCIDENT</x:v>
      </x:c>
      <x:c r="K21" s="15" t="str">
        <x:v>보안: SYNTHETIC</x:v>
      </x:c>
    </x:row>
    <x:row r="22" ht="44" customHeight="1">
      <x:c r="A22" s="15" t="n">
        <x:v>6</x:v>
      </x:c>
      <x:c r="B22" s="15" t="str">
        <x:v>event_at</x:v>
      </x:c>
      <x:c r="C22" s="15" t="str">
        <x:v>발생 시각</x:v>
      </x:c>
      <x:c r="D22" s="15" t="str">
        <x:v>DateTime64</x:v>
      </x:c>
      <x:c r="E22" s="15" t="str">
        <x:v>3,'UTC'</x:v>
      </x:c>
      <x:c r="F22" s="15"/>
      <x:c r="G22" s="15" t="str">
        <x:v>NOT NULL</x:v>
      </x:c>
      <x:c r="H22" s="15"/>
      <x:c r="I22" s="15" t="str">
        <x:v>발생 시각을 나타내는 업무 시각이다. 관련 상태 전이와 다른 시각 컬럼의 선후관계가 일치해야 하며 point-in-time 분석을 위해 timezone 기준을 일관되게 적용한다. UTC 기준 시각으로 저장한다.</x:v>
      </x:c>
      <x:c r="J22" s="15"/>
      <x:c r="K22" s="15" t="str">
        <x:v>보안: SYNTHETIC</x:v>
      </x:c>
    </x:row>
    <x:row r="23" ht="44" customHeight="1">
      <x:c r="A23" s="15" t="n">
        <x:v>7</x:v>
      </x:c>
      <x:c r="B23" s="15" t="str">
        <x:v>event_status</x:v>
      </x:c>
      <x:c r="C23" s="15" t="str">
        <x:v>상태</x:v>
      </x:c>
      <x:c r="D23" s="15" t="str">
        <x:v>LowCardinality</x:v>
      </x:c>
      <x:c r="E23" s="15" t="str">
        <x:v>String</x:v>
      </x:c>
      <x:c r="F23" s="15"/>
      <x:c r="G23" s="15" t="str">
        <x:v>NOT NULL</x:v>
      </x:c>
      <x:c r="H23" s="15"/>
      <x:c r="I23" s="15" t="str">
        <x:v>이벤트 진행 상태다. RESERVED, COMPLETED, FAILED, SCHEDULED, OPEN, CLOSED 중 이벤트 유형에 맞는 값만 허용한다.</x:v>
      </x:c>
      <x:c r="J23" s="15" t="str">
        <x:v>코드 기준 | RESERVED, COMPLETED, FAILED, SCHEDULED, OPEN, CLOSED</x:v>
      </x:c>
      <x:c r="K23" s="15" t="str">
        <x:v>보안: SYNTHETIC</x:v>
      </x:c>
    </x:row>
    <x:row r="24" ht="44" customHeight="1">
      <x:c r="A24" s="15" t="n">
        <x:v>8</x:v>
      </x:c>
      <x:c r="B24" s="15" t="str">
        <x:v>severity</x:v>
      </x:c>
      <x:c r="C24" s="15" t="str">
        <x:v>심각도</x:v>
      </x:c>
      <x:c r="D24" s="15" t="str">
        <x:v>Nullable</x:v>
      </x:c>
      <x:c r="E24" s="15" t="str">
        <x:v>LowCardinality(String)</x:v>
      </x:c>
      <x:c r="F24" s="15"/>
      <x:c r="G24" s="15"/>
      <x:c r="H24" s="15"/>
      <x:c r="I24" s="15" t="str">
        <x:v>장애 또는 운영 상태의 심각도다. NORMAL, WARNING, CRITICAL 중 하나이며 INCIDENT가 아닌 행에서는 NULL 또는 NORMAL 정책을 적용한다.</x:v>
      </x:c>
      <x:c r="J24" s="15" t="str">
        <x:v>코드 기준 | NORMAL, WARNING, CRITICAL</x:v>
      </x:c>
      <x:c r="K24" s="15" t="str">
        <x:v>보안: SYNTHETIC</x:v>
      </x:c>
    </x:row>
    <x:row r="25" ht="44" customHeight="1">
      <x:c r="A25" s="15" t="n">
        <x:v>9</x:v>
      </x:c>
      <x:c r="B25" s="15" t="str">
        <x:v>duration_minutes</x:v>
      </x:c>
      <x:c r="C25" s="15" t="str">
        <x:v>소요 시간</x:v>
      </x:c>
      <x:c r="D25" s="15" t="str">
        <x:v>Float32</x:v>
      </x:c>
      <x:c r="E25" s="15"/>
      <x:c r="F25" s="15"/>
      <x:c r="G25" s="15" t="str">
        <x:v>NOT NULL</x:v>
      </x:c>
      <x:c r="H25" s="15"/>
      <x:c r="I25" s="15" t="str">
        <x:v>시설 이용·점검·장애가 지속된 총 분이다. 0 이상이며 이벤트 종료 정보가 있는 경우 실제 시각 차이와 일치하도록 검증한다.</x:v>
      </x:c>
      <x:c r="J25" s="15"/>
      <x:c r="K25" s="15" t="str">
        <x:v>보안: SYNTHETIC</x:v>
      </x:c>
    </x:row>
    <x:row r="26" ht="44" customHeight="1">
      <x:c r="A26" s="15" t="n">
        <x:v>10</x:v>
      </x:c>
      <x:c r="B26" s="15" t="str">
        <x:v>amount</x:v>
      </x:c>
      <x:c r="C26" s="15" t="str">
        <x:v>시설 매출</x:v>
      </x:c>
      <x:c r="D26" s="15" t="str">
        <x:v>Decimal</x:v>
      </x:c>
      <x:c r="E26" s="15" t="str">
        <x:v>14,2</x:v>
      </x:c>
      <x:c r="F26" s="15"/>
      <x:c r="G26" s="15" t="str">
        <x:v>NOT NULL</x:v>
      </x:c>
      <x:c r="H26" s="15"/>
      <x:c r="I26" s="15" t="str">
        <x:v>시설 이용에서 발생한 합성 매출이다. USAGE 이벤트에서 의미가 있고 INSPECTION·INCIDENT는 일반적으로 0으로 저장한다.</x:v>
      </x:c>
      <x:c r="J26" s="15"/>
      <x:c r="K26" s="15" t="str">
        <x:v>보안: SYNTHETIC</x:v>
      </x:c>
    </x:row>
    <x:row r="27" ht="44" customHeight="1">
      <x:c r="A27" s="15" t="n">
        <x:v>11</x:v>
      </x:c>
      <x:c r="B27" s="15" t="str">
        <x:v>downtime_minutes</x:v>
      </x:c>
      <x:c r="C27" s="15" t="str">
        <x:v>운영 중단 분</x:v>
      </x:c>
      <x:c r="D27" s="15" t="str">
        <x:v>UInt32</x:v>
      </x:c>
      <x:c r="E27" s="15"/>
      <x:c r="F27" s="15"/>
      <x:c r="G27" s="15" t="str">
        <x:v>NOT NULL</x:v>
      </x:c>
      <x:c r="H27" s="15"/>
      <x:c r="I27" s="15" t="str">
        <x:v>시설 장애로 정상 운영하지 못한 시간(분)이다. INCIDENT 이벤트 중심으로 사용하며 duration_minutes를 초과하지 않도록 검증한다.</x:v>
      </x:c>
      <x:c r="J27" s="15"/>
      <x:c r="K27" s="15" t="str">
        <x:v>보안: SYNTHETIC</x:v>
      </x:c>
    </x:row>
    <x:row r="28" ht="44" customHeight="1">
      <x:c r="A28" s="15" t="n">
        <x:v>12</x:v>
      </x:c>
      <x:c r="B28" s="15" t="str">
        <x:v>data_period_status</x:v>
      </x:c>
      <x:c r="C28" s="15" t="str">
        <x:v>기간 상태</x:v>
      </x:c>
      <x:c r="D28" s="15" t="str">
        <x:v>LowCardinality</x:v>
      </x:c>
      <x:c r="E28" s="15" t="str">
        <x:v>String</x:v>
      </x:c>
      <x:c r="F28" s="15"/>
      <x:c r="G28" s="15" t="str">
        <x:v>NOT NULL</x:v>
      </x:c>
      <x:c r="H28" s="15"/>
      <x:c r="I28" s="1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28" s="15" t="str">
        <x:v>기준 테이블 | hotel_datahub_app.reference.calendar_daily.data_period_status</x:v>
      </x:c>
      <x:c r="K28" s="15" t="str">
        <x:v>보안: POLICY</x:v>
      </x:c>
    </x:row>
    <x:row r="29" ht="44" customHeight="1">
      <x:c r="A29" s="15" t="n">
        <x:v>13</x:v>
      </x:c>
      <x:c r="B29" s="15" t="str">
        <x:v>is_forecast</x:v>
      </x:c>
      <x:c r="C29" s="15" t="str">
        <x:v>전망 여부</x:v>
      </x:c>
      <x:c r="D29" s="15" t="str">
        <x:v>UInt8</x:v>
      </x:c>
      <x:c r="E29" s="15"/>
      <x:c r="F29" s="15"/>
      <x:c r="G29" s="15" t="str">
        <x:v>NOT NULL</x:v>
      </x:c>
      <x:c r="H29" s="15"/>
      <x:c r="I29" s="15" t="str">
        <x:v>해당 행을 실제·유사 실적이 아닌 미래 전망 시나리오로 취급할지 나타낸다. 2026-08-16 이후 FORECAST_SCENARIO만 true/1이며 실제 실적 기본 조회에서는 제외한다.</x:v>
      </x:c>
      <x:c r="J29" s="15" t="str">
        <x:v>기준 테이블 | hotel_datahub_app.reference.calendar_daily.is_forecast</x:v>
      </x:c>
      <x:c r="K29" s="15" t="str">
        <x:v>보안: POLICY</x:v>
      </x:c>
    </x:row>
    <x:row r="30" ht="44" customHeight="1">
      <x:c r="A30" s="15" t="n">
        <x:v>14</x:v>
      </x:c>
      <x:c r="B30" s="15" t="str">
        <x:v>is_synthetic</x:v>
      </x:c>
      <x:c r="C30" s="15" t="str">
        <x:v>합성 여부</x:v>
      </x:c>
      <x:c r="D30" s="15" t="str">
        <x:v>UInt8</x:v>
      </x:c>
      <x:c r="E30" s="15"/>
      <x:c r="F30" s="15"/>
      <x:c r="G30" s="15" t="str">
        <x:v>NOT NULL</x:v>
      </x:c>
      <x:c r="H30" s="15"/>
      <x:c r="I30" s="15" t="str">
        <x:v>실제 고객·운영 원천이 아닌 프로젝트 생성 합성 데이터임을 표시한다. 현재 source fixture에서는 항상 true/1이며 실제 데이터와 혼합 저장하지 않는다.</x:v>
      </x:c>
      <x:c r="J30" s="15" t="str">
        <x:v>합성 데이터 정책 | source-fixture-v5.0에서 true/1 고정</x:v>
      </x:c>
      <x:c r="K30" s="15" t="str">
        <x:v>보안: POLICY</x:v>
      </x:c>
    </x:row>
    <x:row r="31" ht="44" customHeight="1">
      <x:c r="A31" s="15" t="n">
        <x:v>15</x:v>
      </x:c>
      <x:c r="B31" s="15" t="str">
        <x:v>source_updated_at</x:v>
      </x:c>
      <x:c r="C31" s="15" t="str">
        <x:v>원천 수정시각</x:v>
      </x:c>
      <x:c r="D31" s="15" t="str">
        <x:v>DateTime64</x:v>
      </x:c>
      <x:c r="E31" s="15" t="str">
        <x:v>3,'UTC'</x:v>
      </x:c>
      <x:c r="F31" s="15"/>
      <x:c r="G31" s="15" t="str">
        <x:v>NOT NULL</x:v>
      </x:c>
      <x:c r="H31" s="15"/>
      <x:c r="I31" s="15" t="str">
        <x:v>원천 수정시각을 나타내는 업무 시각이다. 관련 상태 전이와 다른 시각 컬럼의 선후관계가 일치해야 하며 point-in-time 분석을 위해 timezone 기준을 일관되게 적용한다. UTC 기준 시각으로 저장한다.</x:v>
      </x:c>
      <x:c r="J31" s="15" t="str">
        <x:v>Point-in-time 기준 | source watermark; 조회 시 source_updated_at &lt;= :as_of_utc</x:v>
      </x:c>
      <x:c r="K31" s="15" t="str">
        <x:v>보안: SYNTHETIC</x:v>
      </x:c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>
      <x:c r="A33" s="58" t="str">
        <x:v>no</x:v>
      </x:c>
      <x:c r="B33" s="58" t="str">
        <x:v>Index name</x:v>
      </x:c>
      <x:c r="C33" s="58"/>
      <x:c r="D33" s="58" t="str">
        <x:v>Index type</x:v>
      </x:c>
      <x:c r="E33" s="58"/>
      <x:c r="F33" s="58" t="str">
        <x:v>Unique</x:v>
      </x:c>
      <x:c r="G33" s="58"/>
      <x:c r="H33" s="58" t="str">
        <x:v>구성 컬럼</x:v>
      </x:c>
      <x:c r="I33" s="58"/>
      <x:c r="J33" s="58"/>
      <x:c r="K33" s="58"/>
    </x:row>
    <x:row r="34">
      <x:c r="A34" s="15" t="n">
        <x:v>1</x:v>
      </x:c>
      <x:c r="B34" s="15" t="str">
        <x:v>PK_facility_events_LOGICAL</x:v>
      </x:c>
      <x:c r="C34" s="15"/>
      <x:c r="D34" s="15" t="str">
        <x:v>LOGICAL PK</x:v>
      </x:c>
      <x:c r="E34" s="15"/>
      <x:c r="F34" s="15" t="str">
        <x:v>Unique</x:v>
      </x:c>
      <x:c r="G34" s="15"/>
      <x:c r="H34" s="15" t="str">
        <x:v>event_id</x:v>
      </x:c>
      <x:c r="I34" s="15"/>
      <x:c r="J34" s="15"/>
      <x:c r="K34" s="15"/>
    </x:row>
    <x:row r="35">
      <x:c r="A35" s="15" t="n">
        <x:v>2</x:v>
      </x:c>
      <x:c r="B35" s="15" t="str">
        <x:v>ORDER_facility_events</x:v>
      </x:c>
      <x:c r="C35" s="15"/>
      <x:c r="D35" s="15" t="str">
        <x:v>ORDER BY</x:v>
      </x:c>
      <x:c r="E35" s="15"/>
      <x:c r="F35" s="15" t="str">
        <x:v>-</x:v>
      </x:c>
      <x:c r="G35" s="15"/>
      <x:c r="H35" s="15" t="str">
        <x:v>facility_id, event_at, event_id</x:v>
      </x:c>
      <x:c r="I35" s="15"/>
      <x:c r="J35" s="15"/>
      <x:c r="K35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3:C33"/>
    <x:mergeCell ref="D33:E33"/>
    <x:mergeCell ref="F33:G33"/>
    <x:mergeCell ref="H33:K33"/>
    <x:mergeCell ref="B34:C34"/>
    <x:mergeCell ref="D34:E34"/>
    <x:mergeCell ref="F34:G34"/>
    <x:mergeCell ref="H34:K34"/>
    <x:mergeCell ref="B35:C35"/>
    <x:mergeCell ref="D35:E35"/>
    <x:mergeCell ref="F35:G35"/>
    <x:mergeCell ref="H35:K35"/>
  </x:mergeCells>
  <x:pageMargins left="0.7" right="0.7" top="0.75" bottom="0.75" header="0.3" footer="0.3"/>
</x:worksheet>
</file>

<file path=xl/worksheets/sheet8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ClickHouse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hotel_facility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hotel_facility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hotel_staffing_daily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일별 인력·인건비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부서·영업일자별 계획·실제 근무시간, 정원·공석·입퇴사·FTE·인건비를 저장한다. 객실 판매량과 월 단위로 결합해 HPOR와 Labor CPOR를 계산하는 원천 fact다.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합성 적재 기준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property_id</x:v>
      </x:c>
      <x:c r="C17" s="15" t="str">
        <x:v>호텔 속성 ID</x:v>
      </x:c>
      <x:c r="D17" s="15" t="str">
        <x:v>String</x:v>
      </x:c>
      <x:c r="E17" s="15"/>
      <x:c r="F17" s="15"/>
      <x:c r="G17" s="15" t="str">
        <x:v>NOT NULL</x:v>
      </x:c>
      <x:c r="H17" s="15"/>
      <x:c r="I17" s="15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15" t="str">
        <x:v>공통 조인 기준 | fixture property_id=SYNTHETIC_HOTEL_001 | 5개 source에서 동일 값 사용</x:v>
      </x:c>
      <x:c r="K17" s="15" t="str">
        <x:v>보안: POLICY</x:v>
      </x:c>
    </x:row>
    <x:row r="18" ht="44" customHeight="1">
      <x:c r="A18" s="15" t="n">
        <x:v>2</x:v>
      </x:c>
      <x:c r="B18" s="15" t="str">
        <x:v>staffing_id</x:v>
      </x:c>
      <x:c r="C18" s="15" t="str">
        <x:v>인력 일별 ID</x:v>
      </x:c>
      <x:c r="D18" s="15" t="str">
        <x:v>String</x:v>
      </x:c>
      <x:c r="E18" s="15"/>
      <x:c r="F18" s="15" t="str">
        <x:v>PK</x:v>
      </x:c>
      <x:c r="G18" s="15" t="str">
        <x:v>NOT NULL</x:v>
      </x:c>
      <x:c r="H18" s="15"/>
      <x:c r="I18" s="15" t="str">
        <x:v>일별 인력·인건비의 한 행을 안정적으로 식별하는 기본키다. 다른 이력·분석·참조에서 동일 레코드를 추적할 수 있도록 생성 후 재사용하거나 변경하지 않는다. 설계 기준은 '논리 PK'이다.</x:v>
      </x:c>
      <x:c r="J18" s="15"/>
      <x:c r="K18" s="15" t="str">
        <x:v>보안: SYNTHETIC</x:v>
      </x:c>
    </x:row>
    <x:row r="19" ht="44" customHeight="1">
      <x:c r="A19" s="15" t="n">
        <x:v>3</x:v>
      </x:c>
      <x:c r="B19" s="15" t="str">
        <x:v>business_date</x:v>
      </x:c>
      <x:c r="C19" s="15" t="str">
        <x:v>영업일자</x:v>
      </x:c>
      <x:c r="D19" s="15" t="str">
        <x:v>Date</x:v>
      </x:c>
      <x:c r="E19" s="15"/>
      <x:c r="F19" s="15"/>
      <x:c r="G19" s="15" t="str">
        <x:v>NOT NULL</x:v>
      </x:c>
      <x:c r="H19" s="15"/>
      <x:c r="I19" s="15" t="str">
        <x:v>해당 일별 운영 fact가 귀속되는 영업일자다. reference.calendar_daily.business_date 범위 안에 있어야 하며 기간 상태와 forecast 여부를 이 날짜 기준으로 판정한다.</x:v>
      </x:c>
      <x:c r="J19" s="15" t="str">
        <x:v>논리 기준 | hotel_datahub_app.reference.calendar_daily.business_date</x:v>
      </x:c>
      <x:c r="K19" s="15" t="str">
        <x:v>보안: SYNTHETIC</x:v>
      </x:c>
    </x:row>
    <x:row r="20" ht="44" customHeight="1">
      <x:c r="A20" s="15" t="n">
        <x:v>4</x:v>
      </x:c>
      <x:c r="B20" s="15" t="str">
        <x:v>department</x:v>
      </x:c>
      <x:c r="C20" s="15" t="str">
        <x:v>부서</x:v>
      </x:c>
      <x:c r="D20" s="15" t="str">
        <x:v>LowCardinality</x:v>
      </x:c>
      <x:c r="E20" s="15" t="str">
        <x:v>String</x:v>
      </x:c>
      <x:c r="F20" s="15"/>
      <x:c r="G20" s="15" t="str">
        <x:v>NOT NULL</x:v>
      </x:c>
      <x:c r="H20" s="15"/>
      <x:c r="I20" s="15" t="str">
        <x:v>부서: 자유서술이 아닌 승인 코드로 저장한다. 자유서술 대신 승인된 코드 도메인을 사용해 source 간 집계와 필터 조건을 일관되게 유지한다. 허용값은 ROOMS, FNB, FACILITY, ENGINEERING, BANQUET, SALES, ADMIN이다.</x:v>
      </x:c>
      <x:c r="J20" s="15" t="str">
        <x:v>코드 기준 | ROOMS, FNB, FACILITY, ENGINEERING, BANQUET, SALES, ADMIN</x:v>
      </x:c>
      <x:c r="K20" s="15" t="str">
        <x:v>보안: SYNTHETIC</x:v>
      </x:c>
    </x:row>
    <x:row r="21" ht="44" customHeight="1">
      <x:c r="A21" s="15" t="n">
        <x:v>5</x:v>
      </x:c>
      <x:c r="B21" s="15" t="str">
        <x:v>approved_positions</x:v>
      </x:c>
      <x:c r="C21" s="15" t="str">
        <x:v>승인 정원</x:v>
      </x:c>
      <x:c r="D21" s="15" t="str">
        <x:v>UInt32</x:v>
      </x:c>
      <x:c r="E21" s="15"/>
      <x:c r="F21" s="15"/>
      <x:c r="G21" s="15" t="str">
        <x:v>NOT NULL</x:v>
      </x:c>
      <x:c r="H21" s="15"/>
      <x:c r="I21" s="15" t="str">
        <x:v>해당 부서·영업일의 승인 정원 수다. 실제 개인 인사정보가 아니라 집계값이며 공석·FTE 산정의 기준으로 사용한다.</x:v>
      </x:c>
      <x:c r="J21" s="15"/>
      <x:c r="K21" s="15" t="str">
        <x:v>보안: SYNTHETIC</x:v>
      </x:c>
    </x:row>
    <x:row r="22" ht="44" customHeight="1">
      <x:c r="A22" s="15" t="n">
        <x:v>6</x:v>
      </x:c>
      <x:c r="B22" s="15" t="str">
        <x:v>scheduled_hours</x:v>
      </x:c>
      <x:c r="C22" s="15" t="str">
        <x:v>계획 근무시간</x:v>
      </x:c>
      <x:c r="D22" s="15" t="str">
        <x:v>Float32</x:v>
      </x:c>
      <x:c r="E22" s="15"/>
      <x:c r="F22" s="15"/>
      <x:c r="G22" s="15" t="str">
        <x:v>NOT NULL</x:v>
      </x:c>
      <x:c r="H22" s="15"/>
      <x:c r="I22" s="15" t="str">
        <x:v>해당 부서에 계획된 총 근무시간이다. 음수는 허용하지 않으며 worked_hours와 비교해 초과·미달 근무를 분석한다.</x:v>
      </x:c>
      <x:c r="J22" s="15"/>
      <x:c r="K22" s="15" t="str">
        <x:v>보안: SYNTHETIC</x:v>
      </x:c>
    </x:row>
    <x:row r="23" ht="44" customHeight="1">
      <x:c r="A23" s="15" t="n">
        <x:v>7</x:v>
      </x:c>
      <x:c r="B23" s="15" t="str">
        <x:v>worked_hours</x:v>
      </x:c>
      <x:c r="C23" s="15" t="str">
        <x:v>실제 근무시간</x:v>
      </x:c>
      <x:c r="D23" s="15" t="str">
        <x:v>Float32</x:v>
      </x:c>
      <x:c r="E23" s="15"/>
      <x:c r="F23" s="15"/>
      <x:c r="G23" s="15" t="str">
        <x:v>NOT NULL</x:v>
      </x:c>
      <x:c r="H23" s="15"/>
      <x:c r="I23" s="15" t="str">
        <x:v>해당 부서에서 실제 수행된 총 근무시간이다. 월별 객실 판매량과 결합해 HPOR를 계산하는 분자다.</x:v>
      </x:c>
      <x:c r="J23" s="15"/>
      <x:c r="K23" s="15" t="str">
        <x:v>보안: SYNTHETIC</x:v>
      </x:c>
    </x:row>
    <x:row r="24" ht="44" customHeight="1">
      <x:c r="A24" s="15" t="n">
        <x:v>8</x:v>
      </x:c>
      <x:c r="B24" s="15" t="str">
        <x:v>labor_cost</x:v>
      </x:c>
      <x:c r="C24" s="15" t="str">
        <x:v>인건비</x:v>
      </x:c>
      <x:c r="D24" s="15" t="str">
        <x:v>Decimal</x:v>
      </x:c>
      <x:c r="E24" s="15" t="str">
        <x:v>14,2</x:v>
      </x:c>
      <x:c r="F24" s="15"/>
      <x:c r="G24" s="15" t="str">
        <x:v>NOT NULL</x:v>
      </x:c>
      <x:c r="H24" s="15"/>
      <x:c r="I24" s="15" t="str">
        <x:v>해당 부서·영업일의 합성 총 인건비다. KRW 금액이며 객실 판매량과 결합해 Labor CPOR를 계산한다.</x:v>
      </x:c>
      <x:c r="J24" s="15"/>
      <x:c r="K24" s="15" t="str">
        <x:v>보안: SYNTHETIC</x:v>
      </x:c>
    </x:row>
    <x:row r="25" ht="44" customHeight="1">
      <x:c r="A25" s="15" t="n">
        <x:v>9</x:v>
      </x:c>
      <x:c r="B25" s="15" t="str">
        <x:v>fte</x:v>
      </x:c>
      <x:c r="C25" s="15" t="str">
        <x:v>FTE</x:v>
      </x:c>
      <x:c r="D25" s="15" t="str">
        <x:v>Float32</x:v>
      </x:c>
      <x:c r="E25" s="15"/>
      <x:c r="F25" s="15"/>
      <x:c r="G25" s="15" t="str">
        <x:v>NOT NULL</x:v>
      </x:c>
      <x:c r="H25" s="15"/>
      <x:c r="I25" s="15" t="str">
        <x:v>근무시간을 표준 정규직 근무량으로 환산한 Full-Time Equivalent다. 개인 수가 아니라 부서별 집계 인력 규모를 나타낸다.</x:v>
      </x:c>
      <x:c r="J25" s="15"/>
      <x:c r="K25" s="15" t="str">
        <x:v>보안: SYNTHETIC</x:v>
      </x:c>
    </x:row>
    <x:row r="26" ht="44" customHeight="1">
      <x:c r="A26" s="15" t="n">
        <x:v>10</x:v>
      </x:c>
      <x:c r="B26" s="15" t="str">
        <x:v>vacancies</x:v>
      </x:c>
      <x:c r="C26" s="15" t="str">
        <x:v>공석 수</x:v>
      </x:c>
      <x:c r="D26" s="15" t="str">
        <x:v>UInt32</x:v>
      </x:c>
      <x:c r="E26" s="15"/>
      <x:c r="F26" s="15"/>
      <x:c r="G26" s="15" t="str">
        <x:v>NOT NULL</x:v>
      </x:c>
      <x:c r="H26" s="15"/>
      <x:c r="I26" s="15" t="str">
        <x:v>승인 정원 중 충원되지 않은 공석 수다. 0 이상이며 approved_positions를 초과할 수 없다.</x:v>
      </x:c>
      <x:c r="J26" s="15"/>
      <x:c r="K26" s="15" t="str">
        <x:v>보안: SYNTHETIC</x:v>
      </x:c>
    </x:row>
    <x:row r="27" ht="44" customHeight="1">
      <x:c r="A27" s="15" t="n">
        <x:v>11</x:v>
      </x:c>
      <x:c r="B27" s="15" t="str">
        <x:v>new_hires</x:v>
      </x:c>
      <x:c r="C27" s="15" t="str">
        <x:v>신규 입사</x:v>
      </x:c>
      <x:c r="D27" s="15" t="str">
        <x:v>UInt32</x:v>
      </x:c>
      <x:c r="E27" s="15"/>
      <x:c r="F27" s="15"/>
      <x:c r="G27" s="15" t="str">
        <x:v>NOT NULL</x:v>
      </x:c>
      <x:c r="H27" s="15"/>
      <x:c r="I27" s="15" t="str">
        <x:v>해당 영업일에 부서에 반영된 합성 신규 입사 인원 수다. 개인 식별정보 없이 집계값만 저장한다.</x:v>
      </x:c>
      <x:c r="J27" s="15"/>
      <x:c r="K27" s="15" t="str">
        <x:v>보안: SYNTHETIC</x:v>
      </x:c>
    </x:row>
    <x:row r="28" ht="44" customHeight="1">
      <x:c r="A28" s="15" t="n">
        <x:v>12</x:v>
      </x:c>
      <x:c r="B28" s="15" t="str">
        <x:v>separations</x:v>
      </x:c>
      <x:c r="C28" s="15" t="str">
        <x:v>퇴사</x:v>
      </x:c>
      <x:c r="D28" s="15" t="str">
        <x:v>UInt32</x:v>
      </x:c>
      <x:c r="E28" s="15"/>
      <x:c r="F28" s="15"/>
      <x:c r="G28" s="15" t="str">
        <x:v>NOT NULL</x:v>
      </x:c>
      <x:c r="H28" s="15"/>
      <x:c r="I28" s="15" t="str">
        <x:v>해당 영업일에 부서에서 이탈한 합성 인원 수다. 퇴사 사유·개인정보는 저장하지 않고 집계값만 사용한다.</x:v>
      </x:c>
      <x:c r="J28" s="15"/>
      <x:c r="K28" s="15" t="str">
        <x:v>보안: SYNTHETIC</x:v>
      </x:c>
    </x:row>
    <x:row r="29" ht="44" customHeight="1">
      <x:c r="A29" s="15" t="n">
        <x:v>13</x:v>
      </x:c>
      <x:c r="B29" s="15" t="str">
        <x:v>data_period_status</x:v>
      </x:c>
      <x:c r="C29" s="15" t="str">
        <x:v>기간 상태</x:v>
      </x:c>
      <x:c r="D29" s="15" t="str">
        <x:v>LowCardinality</x:v>
      </x:c>
      <x:c r="E29" s="15" t="str">
        <x:v>String</x:v>
      </x:c>
      <x:c r="F29" s="15"/>
      <x:c r="G29" s="15" t="str">
        <x:v>NOT NULL</x:v>
      </x:c>
      <x:c r="H29" s="15"/>
      <x:c r="I29" s="1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29" s="15" t="str">
        <x:v>기준 테이블 | hotel_datahub_app.reference.calendar_daily.data_period_status</x:v>
      </x:c>
      <x:c r="K29" s="15" t="str">
        <x:v>보안: POLICY</x:v>
      </x:c>
    </x:row>
    <x:row r="30" ht="44" customHeight="1">
      <x:c r="A30" s="15" t="n">
        <x:v>14</x:v>
      </x:c>
      <x:c r="B30" s="15" t="str">
        <x:v>is_forecast</x:v>
      </x:c>
      <x:c r="C30" s="15" t="str">
        <x:v>전망 여부</x:v>
      </x:c>
      <x:c r="D30" s="15" t="str">
        <x:v>UInt8</x:v>
      </x:c>
      <x:c r="E30" s="15"/>
      <x:c r="F30" s="15"/>
      <x:c r="G30" s="15" t="str">
        <x:v>NOT NULL</x:v>
      </x:c>
      <x:c r="H30" s="15"/>
      <x:c r="I30" s="15" t="str">
        <x:v>해당 행을 실제·유사 실적이 아닌 미래 전망 시나리오로 취급할지 나타낸다. 2026-08-16 이후 FORECAST_SCENARIO만 true/1이며 실제 실적 기본 조회에서는 제외한다.</x:v>
      </x:c>
      <x:c r="J30" s="15" t="str">
        <x:v>기준 테이블 | hotel_datahub_app.reference.calendar_daily.is_forecast</x:v>
      </x:c>
      <x:c r="K30" s="15" t="str">
        <x:v>보안: POLICY</x:v>
      </x:c>
    </x:row>
    <x:row r="31" ht="44" customHeight="1">
      <x:c r="A31" s="15" t="n">
        <x:v>15</x:v>
      </x:c>
      <x:c r="B31" s="15" t="str">
        <x:v>is_synthetic</x:v>
      </x:c>
      <x:c r="C31" s="15" t="str">
        <x:v>합성 여부</x:v>
      </x:c>
      <x:c r="D31" s="15" t="str">
        <x:v>UInt8</x:v>
      </x:c>
      <x:c r="E31" s="15"/>
      <x:c r="F31" s="15"/>
      <x:c r="G31" s="15" t="str">
        <x:v>NOT NULL</x:v>
      </x:c>
      <x:c r="H31" s="15"/>
      <x:c r="I31" s="15" t="str">
        <x:v>실제 고객·운영 원천이 아닌 프로젝트 생성 합성 데이터임을 표시한다. 현재 source fixture에서는 항상 true/1이며 실제 데이터와 혼합 저장하지 않는다.</x:v>
      </x:c>
      <x:c r="J31" s="15" t="str">
        <x:v>합성 데이터 정책 | source-fixture-v5.0에서 true/1 고정</x:v>
      </x:c>
      <x:c r="K31" s="15" t="str">
        <x:v>보안: POLICY</x:v>
      </x:c>
    </x:row>
    <x:row r="32" ht="44" customHeight="1">
      <x:c r="A32" s="15" t="n">
        <x:v>16</x:v>
      </x:c>
      <x:c r="B32" s="15" t="str">
        <x:v>source_updated_at</x:v>
      </x:c>
      <x:c r="C32" s="15" t="str">
        <x:v>원천 수정시각</x:v>
      </x:c>
      <x:c r="D32" s="15" t="str">
        <x:v>DateTime64</x:v>
      </x:c>
      <x:c r="E32" s="15" t="str">
        <x:v>3,'UTC'</x:v>
      </x:c>
      <x:c r="F32" s="15"/>
      <x:c r="G32" s="15" t="str">
        <x:v>NOT NULL</x:v>
      </x:c>
      <x:c r="H32" s="15"/>
      <x:c r="I32" s="15" t="str">
        <x:v>원천 수정시각을 나타내는 업무 시각이다. 관련 상태 전이와 다른 시각 컬럼의 선후관계가 일치해야 하며 point-in-time 분석을 위해 timezone 기준을 일관되게 적용한다. UTC 기준 시각으로 저장한다.</x:v>
      </x:c>
      <x:c r="J32" s="15" t="str">
        <x:v>Point-in-time 기준 | source watermark; 조회 시 source_updated_at &lt;= :as_of_utc</x:v>
      </x:c>
      <x:c r="K32" s="15" t="str">
        <x:v>보안: SYNTHETIC</x:v>
      </x:c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  <x:row r="34">
      <x:c r="A34" s="58" t="str">
        <x:v>no</x:v>
      </x:c>
      <x:c r="B34" s="58" t="str">
        <x:v>Index name</x:v>
      </x:c>
      <x:c r="C34" s="58"/>
      <x:c r="D34" s="58" t="str">
        <x:v>Index type</x:v>
      </x:c>
      <x:c r="E34" s="58"/>
      <x:c r="F34" s="58" t="str">
        <x:v>Unique</x:v>
      </x:c>
      <x:c r="G34" s="58"/>
      <x:c r="H34" s="58" t="str">
        <x:v>구성 컬럼</x:v>
      </x:c>
      <x:c r="I34" s="58"/>
      <x:c r="J34" s="58"/>
      <x:c r="K34" s="58"/>
    </x:row>
    <x:row r="35">
      <x:c r="A35" s="15" t="n">
        <x:v>1</x:v>
      </x:c>
      <x:c r="B35" s="15" t="str">
        <x:v>PK_hotel_staffing_daily_LOGICAL</x:v>
      </x:c>
      <x:c r="C35" s="15"/>
      <x:c r="D35" s="15" t="str">
        <x:v>LOGICAL PK</x:v>
      </x:c>
      <x:c r="E35" s="15"/>
      <x:c r="F35" s="15" t="str">
        <x:v>Unique</x:v>
      </x:c>
      <x:c r="G35" s="15"/>
      <x:c r="H35" s="15" t="str">
        <x:v>staffing_id</x:v>
      </x:c>
      <x:c r="I35" s="15"/>
      <x:c r="J35" s="15"/>
      <x:c r="K35" s="15"/>
    </x:row>
    <x:row r="36">
      <x:c r="A36" s="15" t="n">
        <x:v>2</x:v>
      </x:c>
      <x:c r="B36" s="15" t="str">
        <x:v>ORDER_staffing_daily</x:v>
      </x:c>
      <x:c r="C36" s="15"/>
      <x:c r="D36" s="15" t="str">
        <x:v>ORDER BY</x:v>
      </x:c>
      <x:c r="E36" s="15"/>
      <x:c r="F36" s="15" t="str">
        <x:v>-</x:v>
      </x:c>
      <x:c r="G36" s="15"/>
      <x:c r="H36" s="15" t="str">
        <x:v>business_date, department</x:v>
      </x:c>
      <x:c r="I36" s="15"/>
      <x:c r="J36" s="15"/>
      <x:c r="K36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4:C34"/>
    <x:mergeCell ref="D34:E34"/>
    <x:mergeCell ref="F34:G34"/>
    <x:mergeCell ref="H34:K34"/>
    <x:mergeCell ref="B35:C35"/>
    <x:mergeCell ref="D35:E35"/>
    <x:mergeCell ref="F35:G35"/>
    <x:mergeCell ref="H35:K35"/>
    <x:mergeCell ref="B36:C36"/>
    <x:mergeCell ref="D36:E36"/>
    <x:mergeCell ref="F36:G36"/>
    <x:mergeCell ref="H36:K36"/>
  </x:mergeCells>
  <x:pageMargins left="0.7" right="0.7" top="0.75" bottom="0.75" header="0.3" footer="0.3"/>
</x:worksheet>
</file>

<file path=xl/worksheets/sheet8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ClickHouse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hotel_facility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hotel_facility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facility_resource_daily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일별 자원 사용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자원 범위·영업일자별 에너지·수도·폐기물·비용 및 운영·중단 시간을 저장한다. 객실 점유 실적과 월 단위로 결합해 객실박당 자원 사용량과 비용을 계산한다.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합성 적재 기준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property_id</x:v>
      </x:c>
      <x:c r="C17" s="15" t="str">
        <x:v>호텔 속성 ID</x:v>
      </x:c>
      <x:c r="D17" s="15" t="str">
        <x:v>String</x:v>
      </x:c>
      <x:c r="E17" s="15"/>
      <x:c r="F17" s="15"/>
      <x:c r="G17" s="15" t="str">
        <x:v>NOT NULL</x:v>
      </x:c>
      <x:c r="H17" s="15"/>
      <x:c r="I17" s="15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15" t="str">
        <x:v>공통 조인 기준 | fixture property_id=SYNTHETIC_HOTEL_001 | 5개 source에서 동일 값 사용</x:v>
      </x:c>
      <x:c r="K17" s="15" t="str">
        <x:v>보안: POLICY</x:v>
      </x:c>
    </x:row>
    <x:row r="18" ht="44" customHeight="1">
      <x:c r="A18" s="15" t="n">
        <x:v>2</x:v>
      </x:c>
      <x:c r="B18" s="15" t="str">
        <x:v>resource_id</x:v>
      </x:c>
      <x:c r="C18" s="15" t="str">
        <x:v>자원 일별 ID</x:v>
      </x:c>
      <x:c r="D18" s="15" t="str">
        <x:v>String</x:v>
      </x:c>
      <x:c r="E18" s="15"/>
      <x:c r="F18" s="15" t="str">
        <x:v>PK</x:v>
      </x:c>
      <x:c r="G18" s="15" t="str">
        <x:v>NOT NULL</x:v>
      </x:c>
      <x:c r="H18" s="15"/>
      <x:c r="I18" s="15" t="str">
        <x:v>일별 자원 사용의 한 행을 안정적으로 식별하는 기본키다. 다른 이력·분석·참조에서 동일 레코드를 추적할 수 있도록 생성 후 재사용하거나 변경하지 않는다. 설계 기준은 '논리 PK'이다.</x:v>
      </x:c>
      <x:c r="J18" s="15"/>
      <x:c r="K18" s="15" t="str">
        <x:v>보안: SYNTHETIC</x:v>
      </x:c>
    </x:row>
    <x:row r="19" ht="44" customHeight="1">
      <x:c r="A19" s="15" t="n">
        <x:v>3</x:v>
      </x:c>
      <x:c r="B19" s="15" t="str">
        <x:v>business_date</x:v>
      </x:c>
      <x:c r="C19" s="15" t="str">
        <x:v>영업일자</x:v>
      </x:c>
      <x:c r="D19" s="15" t="str">
        <x:v>Date</x:v>
      </x:c>
      <x:c r="E19" s="15"/>
      <x:c r="F19" s="15"/>
      <x:c r="G19" s="15" t="str">
        <x:v>NOT NULL</x:v>
      </x:c>
      <x:c r="H19" s="15"/>
      <x:c r="I19" s="15" t="str">
        <x:v>해당 일별 운영 fact가 귀속되는 영업일자다. reference.calendar_daily.business_date 범위 안에 있어야 하며 기간 상태와 forecast 여부를 이 날짜 기준으로 판정한다.</x:v>
      </x:c>
      <x:c r="J19" s="15" t="str">
        <x:v>논리 기준 | hotel_datahub_app.reference.calendar_daily.business_date</x:v>
      </x:c>
      <x:c r="K19" s="15" t="str">
        <x:v>보안: SYNTHETIC</x:v>
      </x:c>
    </x:row>
    <x:row r="20" ht="44" customHeight="1">
      <x:c r="A20" s="15" t="n">
        <x:v>4</x:v>
      </x:c>
      <x:c r="B20" s="15" t="str">
        <x:v>resource_scope</x:v>
      </x:c>
      <x:c r="C20" s="15" t="str">
        <x:v>자원 범위</x:v>
      </x:c>
      <x:c r="D20" s="15" t="str">
        <x:v>LowCardinality</x:v>
      </x:c>
      <x:c r="E20" s="15" t="str">
        <x:v>String</x:v>
      </x:c>
      <x:c r="F20" s="15"/>
      <x:c r="G20" s="15" t="str">
        <x:v>NOT NULL</x:v>
      </x:c>
      <x:c r="H20" s="15"/>
      <x:c r="I20" s="15" t="str">
        <x:v>자원 범위: 승인된 표준 코드 값이다. 허용값은 HOTEL, ROOMS, FNB, FACILITY이며 값에 따라 일별 자원 사용의 처리 규칙·집계 범위·표시 방식이 달라지므로 자유서술을 허용하지 않는다.</x:v>
      </x:c>
      <x:c r="J20" s="15" t="str">
        <x:v>코드 기준 | HOTEL, ROOMS, FNB, FACILITY</x:v>
      </x:c>
      <x:c r="K20" s="15" t="str">
        <x:v>보안: SYNTHETIC</x:v>
      </x:c>
    </x:row>
    <x:row r="21" ht="44" customHeight="1">
      <x:c r="A21" s="15" t="n">
        <x:v>5</x:v>
      </x:c>
      <x:c r="B21" s="15" t="str">
        <x:v>energy_kwh</x:v>
      </x:c>
      <x:c r="C21" s="15" t="str">
        <x:v>에너지 사용량</x:v>
      </x:c>
      <x:c r="D21" s="15" t="str">
        <x:v>Float64</x:v>
      </x:c>
      <x:c r="E21" s="15"/>
      <x:c r="F21" s="15"/>
      <x:c r="G21" s="15" t="str">
        <x:v>NOT NULL</x:v>
      </x:c>
      <x:c r="H21" s="15"/>
      <x:c r="I21" s="15" t="str">
        <x:v>해당 자원 범위·영업일의 전력 사용량을 kWh로 저장한다. 0 이상이며 객실박당 에너지 사용량 계산의 분자다.</x:v>
      </x:c>
      <x:c r="J21" s="15"/>
      <x:c r="K21" s="15" t="str">
        <x:v>보안: SYNTHETIC</x:v>
      </x:c>
    </x:row>
    <x:row r="22" ht="44" customHeight="1">
      <x:c r="A22" s="15" t="n">
        <x:v>6</x:v>
      </x:c>
      <x:c r="B22" s="15" t="str">
        <x:v>water_m3</x:v>
      </x:c>
      <x:c r="C22" s="15" t="str">
        <x:v>수도 사용량</x:v>
      </x:c>
      <x:c r="D22" s="15" t="str">
        <x:v>Float64</x:v>
      </x:c>
      <x:c r="E22" s="15"/>
      <x:c r="F22" s="15"/>
      <x:c r="G22" s="15" t="str">
        <x:v>NOT NULL</x:v>
      </x:c>
      <x:c r="H22" s="15"/>
      <x:c r="I22" s="15" t="str">
        <x:v>해당 자원 범위·영업일의 수도 사용량을 세제곱미터로 저장한다. 0 이상이며 객실박당 수도 사용량 계산에 사용한다.</x:v>
      </x:c>
      <x:c r="J22" s="15"/>
      <x:c r="K22" s="15" t="str">
        <x:v>보안: SYNTHETIC</x:v>
      </x:c>
    </x:row>
    <x:row r="23" ht="44" customHeight="1">
      <x:c r="A23" s="15" t="n">
        <x:v>7</x:v>
      </x:c>
      <x:c r="B23" s="15" t="str">
        <x:v>waste_kg</x:v>
      </x:c>
      <x:c r="C23" s="15" t="str">
        <x:v>폐기물</x:v>
      </x:c>
      <x:c r="D23" s="15" t="str">
        <x:v>Float64</x:v>
      </x:c>
      <x:c r="E23" s="15"/>
      <x:c r="F23" s="15"/>
      <x:c r="G23" s="15" t="str">
        <x:v>NOT NULL</x:v>
      </x:c>
      <x:c r="H23" s="15"/>
      <x:c r="I23" s="15" t="str">
        <x:v>해당 자원 범위·영업일의 폐기물 발생량을 kg으로 저장한다. 0 이상이며 실제 폐기물 식별정보는 포함하지 않는다.</x:v>
      </x:c>
      <x:c r="J23" s="15"/>
      <x:c r="K23" s="15" t="str">
        <x:v>보안: SYNTHETIC</x:v>
      </x:c>
    </x:row>
    <x:row r="24" ht="44" customHeight="1">
      <x:c r="A24" s="15" t="n">
        <x:v>8</x:v>
      </x:c>
      <x:c r="B24" s="15" t="str">
        <x:v>resource_cost</x:v>
      </x:c>
      <x:c r="C24" s="15" t="str">
        <x:v>자원 비용</x:v>
      </x:c>
      <x:c r="D24" s="15" t="str">
        <x:v>Decimal</x:v>
      </x:c>
      <x:c r="E24" s="15" t="str">
        <x:v>14,2</x:v>
      </x:c>
      <x:c r="F24" s="15"/>
      <x:c r="G24" s="15" t="str">
        <x:v>NOT NULL</x:v>
      </x:c>
      <x:c r="H24" s="15"/>
      <x:c r="I24" s="15" t="str">
        <x:v>에너지·수도·폐기물 등 자원 사용에 대응하는 합성 비용 총액이다. KRW 금액이며 객실박당 자원비용 계산에 사용한다.</x:v>
      </x:c>
      <x:c r="J24" s="15"/>
      <x:c r="K24" s="15" t="str">
        <x:v>보안: SYNTHETIC</x:v>
      </x:c>
    </x:row>
    <x:row r="25" ht="44" customHeight="1">
      <x:c r="A25" s="15" t="n">
        <x:v>9</x:v>
      </x:c>
      <x:c r="B25" s="15" t="str">
        <x:v>scheduled_hours</x:v>
      </x:c>
      <x:c r="C25" s="15" t="str">
        <x:v>계획 운영시간</x:v>
      </x:c>
      <x:c r="D25" s="15" t="str">
        <x:v>Float32</x:v>
      </x:c>
      <x:c r="E25" s="15"/>
      <x:c r="F25" s="15"/>
      <x:c r="G25" s="15" t="str">
        <x:v>NOT NULL</x:v>
      </x:c>
      <x:c r="H25" s="15"/>
      <x:c r="I25" s="15" t="str">
        <x:v>해당 자원 범위의 계획 운영시간이다. 0 이상이며 downtime_hours와 함께 운영 가동률을 계산한다.</x:v>
      </x:c>
      <x:c r="J25" s="15"/>
      <x:c r="K25" s="15" t="str">
        <x:v>보안: SYNTHETIC</x:v>
      </x:c>
    </x:row>
    <x:row r="26" ht="44" customHeight="1">
      <x:c r="A26" s="15" t="n">
        <x:v>10</x:v>
      </x:c>
      <x:c r="B26" s="15" t="str">
        <x:v>downtime_hours</x:v>
      </x:c>
      <x:c r="C26" s="15" t="str">
        <x:v>중단 시간</x:v>
      </x:c>
      <x:c r="D26" s="15" t="str">
        <x:v>Float32</x:v>
      </x:c>
      <x:c r="E26" s="15"/>
      <x:c r="F26" s="15"/>
      <x:c r="G26" s="15" t="str">
        <x:v>NOT NULL</x:v>
      </x:c>
      <x:c r="H26" s="15"/>
      <x:c r="I26" s="15" t="str">
        <x:v>설비·시설 중단으로 운영하지 못한 시간이다. 0 이상이며 일반적으로 scheduled_hours를 초과하지 않는다.</x:v>
      </x:c>
      <x:c r="J26" s="15"/>
      <x:c r="K26" s="15" t="str">
        <x:v>보안: SYNTHETIC</x:v>
      </x:c>
    </x:row>
    <x:row r="27" ht="44" customHeight="1">
      <x:c r="A27" s="15" t="n">
        <x:v>11</x:v>
      </x:c>
      <x:c r="B27" s="15" t="str">
        <x:v>data_period_status</x:v>
      </x:c>
      <x:c r="C27" s="15" t="str">
        <x:v>기간 상태</x:v>
      </x:c>
      <x:c r="D27" s="15" t="str">
        <x:v>LowCardinality</x:v>
      </x:c>
      <x:c r="E27" s="15" t="str">
        <x:v>String</x:v>
      </x:c>
      <x:c r="F27" s="15"/>
      <x:c r="G27" s="15" t="str">
        <x:v>NOT NULL</x:v>
      </x:c>
      <x:c r="H27" s="15"/>
      <x:c r="I27" s="1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27" s="15" t="str">
        <x:v>기준 테이블 | hotel_datahub_app.reference.calendar_daily.data_period_status</x:v>
      </x:c>
      <x:c r="K27" s="15" t="str">
        <x:v>보안: POLICY</x:v>
      </x:c>
    </x:row>
    <x:row r="28" ht="44" customHeight="1">
      <x:c r="A28" s="15" t="n">
        <x:v>12</x:v>
      </x:c>
      <x:c r="B28" s="15" t="str">
        <x:v>is_forecast</x:v>
      </x:c>
      <x:c r="C28" s="15" t="str">
        <x:v>전망 여부</x:v>
      </x:c>
      <x:c r="D28" s="15" t="str">
        <x:v>UInt8</x:v>
      </x:c>
      <x:c r="E28" s="15"/>
      <x:c r="F28" s="15"/>
      <x:c r="G28" s="15" t="str">
        <x:v>NOT NULL</x:v>
      </x:c>
      <x:c r="H28" s="15"/>
      <x:c r="I28" s="15" t="str">
        <x:v>해당 행을 실제·유사 실적이 아닌 미래 전망 시나리오로 취급할지 나타낸다. 2026-08-16 이후 FORECAST_SCENARIO만 true/1이며 실제 실적 기본 조회에서는 제외한다.</x:v>
      </x:c>
      <x:c r="J28" s="15" t="str">
        <x:v>기준 테이블 | hotel_datahub_app.reference.calendar_daily.is_forecast</x:v>
      </x:c>
      <x:c r="K28" s="15" t="str">
        <x:v>보안: POLICY</x:v>
      </x:c>
    </x:row>
    <x:row r="29" ht="44" customHeight="1">
      <x:c r="A29" s="15" t="n">
        <x:v>13</x:v>
      </x:c>
      <x:c r="B29" s="15" t="str">
        <x:v>is_synthetic</x:v>
      </x:c>
      <x:c r="C29" s="15" t="str">
        <x:v>합성 여부</x:v>
      </x:c>
      <x:c r="D29" s="15" t="str">
        <x:v>UInt8</x:v>
      </x:c>
      <x:c r="E29" s="15"/>
      <x:c r="F29" s="15"/>
      <x:c r="G29" s="15" t="str">
        <x:v>NOT NULL</x:v>
      </x:c>
      <x:c r="H29" s="15"/>
      <x:c r="I29" s="15" t="str">
        <x:v>실제 고객·운영 원천이 아닌 프로젝트 생성 합성 데이터임을 표시한다. 현재 source fixture에서는 항상 true/1이며 실제 데이터와 혼합 저장하지 않는다.</x:v>
      </x:c>
      <x:c r="J29" s="15" t="str">
        <x:v>합성 데이터 정책 | source-fixture-v5.0에서 true/1 고정</x:v>
      </x:c>
      <x:c r="K29" s="15" t="str">
        <x:v>보안: POLICY</x:v>
      </x:c>
    </x:row>
    <x:row r="30" ht="44" customHeight="1">
      <x:c r="A30" s="15" t="n">
        <x:v>14</x:v>
      </x:c>
      <x:c r="B30" s="15" t="str">
        <x:v>source_updated_at</x:v>
      </x:c>
      <x:c r="C30" s="15" t="str">
        <x:v>원천 수정시각</x:v>
      </x:c>
      <x:c r="D30" s="15" t="str">
        <x:v>DateTime64</x:v>
      </x:c>
      <x:c r="E30" s="15" t="str">
        <x:v>3,'UTC'</x:v>
      </x:c>
      <x:c r="F30" s="15"/>
      <x:c r="G30" s="15" t="str">
        <x:v>NOT NULL</x:v>
      </x:c>
      <x:c r="H30" s="15"/>
      <x:c r="I30" s="15" t="str">
        <x:v>원천 수정시각을 나타내는 업무 시각이다. 관련 상태 전이와 다른 시각 컬럼의 선후관계가 일치해야 하며 point-in-time 분석을 위해 timezone 기준을 일관되게 적용한다. UTC 기준 시각으로 저장한다.</x:v>
      </x:c>
      <x:c r="J30" s="15" t="str">
        <x:v>Point-in-time 기준 | source watermark; 조회 시 source_updated_at &lt;= :as_of_utc</x:v>
      </x:c>
      <x:c r="K30" s="15" t="str">
        <x:v>보안: SYNTHETIC</x:v>
      </x:c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>
      <x:c r="A32" s="58" t="str">
        <x:v>no</x:v>
      </x:c>
      <x:c r="B32" s="58" t="str">
        <x:v>Index name</x:v>
      </x:c>
      <x:c r="C32" s="58"/>
      <x:c r="D32" s="58" t="str">
        <x:v>Index type</x:v>
      </x:c>
      <x:c r="E32" s="58"/>
      <x:c r="F32" s="58" t="str">
        <x:v>Unique</x:v>
      </x:c>
      <x:c r="G32" s="58"/>
      <x:c r="H32" s="58" t="str">
        <x:v>구성 컬럼</x:v>
      </x:c>
      <x:c r="I32" s="58"/>
      <x:c r="J32" s="58"/>
      <x:c r="K32" s="58"/>
    </x:row>
    <x:row r="33">
      <x:c r="A33" s="15" t="n">
        <x:v>1</x:v>
      </x:c>
      <x:c r="B33" s="15" t="str">
        <x:v>PK_facility_resource_daily_LOGICAL</x:v>
      </x:c>
      <x:c r="C33" s="15"/>
      <x:c r="D33" s="15" t="str">
        <x:v>LOGICAL PK</x:v>
      </x:c>
      <x:c r="E33" s="15"/>
      <x:c r="F33" s="15" t="str">
        <x:v>Unique</x:v>
      </x:c>
      <x:c r="G33" s="15"/>
      <x:c r="H33" s="15" t="str">
        <x:v>resource_id</x:v>
      </x:c>
      <x:c r="I33" s="15"/>
      <x:c r="J33" s="15"/>
      <x:c r="K33" s="15"/>
    </x:row>
    <x:row r="34">
      <x:c r="A34" s="15" t="n">
        <x:v>2</x:v>
      </x:c>
      <x:c r="B34" s="15" t="str">
        <x:v>ORDER_resource_daily</x:v>
      </x:c>
      <x:c r="C34" s="15"/>
      <x:c r="D34" s="15" t="str">
        <x:v>ORDER BY</x:v>
      </x:c>
      <x:c r="E34" s="15"/>
      <x:c r="F34" s="15" t="str">
        <x:v>-</x:v>
      </x:c>
      <x:c r="G34" s="15"/>
      <x:c r="H34" s="15" t="str">
        <x:v>business_date, resource_scope</x:v>
      </x:c>
      <x:c r="I34" s="15"/>
      <x:c r="J34" s="15"/>
      <x:c r="K34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2:C32"/>
    <x:mergeCell ref="D32:E32"/>
    <x:mergeCell ref="F32:G32"/>
    <x:mergeCell ref="H32:K32"/>
    <x:mergeCell ref="B33:C33"/>
    <x:mergeCell ref="D33:E33"/>
    <x:mergeCell ref="F33:G33"/>
    <x:mergeCell ref="H33:K33"/>
    <x:mergeCell ref="B34:C34"/>
    <x:mergeCell ref="D34:E34"/>
    <x:mergeCell ref="F34:G34"/>
    <x:mergeCell ref="H34:K34"/>
  </x:mergeCells>
  <x:pageMargins left="0.7" right="0.7" top="0.75" bottom="0.75" header="0.3" footer="0.3"/>
</x:worksheet>
</file>

<file path=xl/worksheets/sheet8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hotel_banquet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public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banquet_bookings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연회 예약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연회 문의부터 견적·가계약·확정·취소·완료까지의 예약 파이프라인을 저장한다. 행사·상품·인원·계약금액과 연계 객실 블록·체크인/아웃 정보를 한 행사 grain으로 관리한다.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합성 적재 기준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property_id</x:v>
      </x:c>
      <x:c r="C17" s="15" t="str">
        <x:v>호텔 속성 ID</x:v>
      </x:c>
      <x:c r="D17" s="15" t="str">
        <x:v>varchar</x:v>
      </x:c>
      <x:c r="E17" s="15" t="str">
        <x:v>64</x:v>
      </x:c>
      <x:c r="F17" s="15"/>
      <x:c r="G17" s="15" t="str">
        <x:v>NOT NULL</x:v>
      </x:c>
      <x:c r="H17" s="15"/>
      <x:c r="I17" s="15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15" t="str">
        <x:v>공통 조인 기준 | fixture property_id=SYNTHETIC_HOTEL_001 | 5개 source에서 동일 값 사용</x:v>
      </x:c>
      <x:c r="K17" s="15" t="str">
        <x:v>보안: POLICY</x:v>
      </x:c>
    </x:row>
    <x:row r="18" ht="44" customHeight="1">
      <x:c r="A18" s="15" t="n">
        <x:v>2</x:v>
      </x:c>
      <x:c r="B18" s="15" t="str">
        <x:v>banquet_event_id</x:v>
      </x:c>
      <x:c r="C18" s="15" t="str">
        <x:v>연회 이벤트 ID</x:v>
      </x:c>
      <x:c r="D18" s="15" t="str">
        <x:v>varchar</x:v>
      </x:c>
      <x:c r="E18" s="15" t="str">
        <x:v>36</x:v>
      </x:c>
      <x:c r="F18" s="15" t="str">
        <x:v>PK</x:v>
      </x:c>
      <x:c r="G18" s="15" t="str">
        <x:v>NOT NULL</x:v>
      </x:c>
      <x:c r="H18" s="15"/>
      <x:c r="I18" s="15" t="str">
        <x:v>연회 예약의 한 행을 안정적으로 식별하는 기본키다. 다른 이력·분석·참조에서 동일 레코드를 추적할 수 있도록 생성 후 재사용하거나 변경하지 않는다.</x:v>
      </x:c>
      <x:c r="J18" s="15" t="str">
        <x:v>참조됨 | hotel_banquet.public.banquet_revenue.banquet_event_id</x:v>
      </x:c>
      <x:c r="K18" s="15" t="str">
        <x:v>보안: SYNTHETIC</x:v>
      </x:c>
    </x:row>
    <x:row r="19" ht="44" customHeight="1">
      <x:c r="A19" s="15" t="n">
        <x:v>3</x:v>
      </x:c>
      <x:c r="B19" s="15" t="str">
        <x:v>customer_id</x:v>
      </x:c>
      <x:c r="C19" s="15" t="str">
        <x:v>연회 고객 ID</x:v>
      </x:c>
      <x:c r="D19" s="15" t="str">
        <x:v>varchar</x:v>
      </x:c>
      <x:c r="E19" s="15" t="str">
        <x:v>36</x:v>
      </x:c>
      <x:c r="F19" s="15" t="str">
        <x:v>L-FK</x:v>
      </x:c>
      <x:c r="G19" s="15" t="str">
        <x:v>NOT NULL</x:v>
      </x:c>
      <x:c r="H19" s="15"/>
      <x:c r="I19" s="15" t="str">
        <x:v>연회 source 내부의 합성 고객 식별자다. CRM customer map의 banquet_customer_id와 event_date 기준으로 논리 연결하며 실제 고객정보는 저장하지 않는다.</x:v>
      </x:c>
      <x:c r="J19" s="15" t="str">
        <x:v>논리 참조 | hotel_crm.dbo.crm_customer_map.banquet_customer_id | Trino JOIN_POLICY; event_date가 매핑 [valid_from, valid_to) 구간에 포함</x:v>
      </x:c>
      <x:c r="K19" s="15" t="str">
        <x:v>보안: SYNTHETIC</x:v>
      </x:c>
    </x:row>
    <x:row r="20" ht="44" customHeight="1">
      <x:c r="A20" s="15" t="n">
        <x:v>4</x:v>
      </x:c>
      <x:c r="B20" s="15" t="str">
        <x:v>inquiry_at</x:v>
      </x:c>
      <x:c r="C20" s="15" t="str">
        <x:v>문의 시각</x:v>
      </x:c>
      <x:c r="D20" s="15" t="str">
        <x:v>timestamptz</x:v>
      </x:c>
      <x:c r="E20" s="15"/>
      <x:c r="F20" s="15"/>
      <x:c r="G20" s="15" t="str">
        <x:v>NOT NULL</x:v>
      </x:c>
      <x:c r="H20" s="15"/>
      <x:c r="I20" s="15" t="str">
        <x:v>연회 문의가 최초 접수된 시각이다. 견적·확정·취소 시각보다 늦을 수 없으며 리드타임 계산의 시작점이다.</x:v>
      </x:c>
      <x:c r="J20" s="15"/>
      <x:c r="K20" s="15" t="str">
        <x:v>보안: SYNTHETIC</x:v>
      </x:c>
    </x:row>
    <x:row r="21" ht="44" customHeight="1">
      <x:c r="A21" s="15" t="n">
        <x:v>5</x:v>
      </x:c>
      <x:c r="B21" s="15" t="str">
        <x:v>quoted_at</x:v>
      </x:c>
      <x:c r="C21" s="15" t="str">
        <x:v>견적 시각</x:v>
      </x:c>
      <x:c r="D21" s="15" t="str">
        <x:v>timestamptz</x:v>
      </x:c>
      <x:c r="E21" s="15"/>
      <x:c r="F21" s="15"/>
      <x:c r="G21" s="15"/>
      <x:c r="H21" s="15"/>
      <x:c r="I21" s="15" t="str">
        <x:v>고객에게 견적이 발행된 시각이다. 문의 이후여야 하며 아직 견적 전인 INQUIRY 상태에서는 NULL일 수 있다.</x:v>
      </x:c>
      <x:c r="J21" s="15"/>
      <x:c r="K21" s="15" t="str">
        <x:v>보안: SYNTHETIC</x:v>
      </x:c>
    </x:row>
    <x:row r="22" ht="44" customHeight="1">
      <x:c r="A22" s="15" t="n">
        <x:v>6</x:v>
      </x:c>
      <x:c r="B22" s="15" t="str">
        <x:v>confirmed_at</x:v>
      </x:c>
      <x:c r="C22" s="15" t="str">
        <x:v>확정 시각</x:v>
      </x:c>
      <x:c r="D22" s="15" t="str">
        <x:v>timestamptz</x:v>
      </x:c>
      <x:c r="E22" s="15"/>
      <x:c r="F22" s="15"/>
      <x:c r="G22" s="15"/>
      <x:c r="H22" s="15"/>
      <x:c r="I22" s="15" t="str">
        <x:v>연회 예약이 확정된 시각이다. CONFIRMED 또는 COMPLETED 상태에서 사용하며 inquiry_at 이후여야 한다.</x:v>
      </x:c>
      <x:c r="J22" s="15"/>
      <x:c r="K22" s="15" t="str">
        <x:v>보안: SYNTHETIC</x:v>
      </x:c>
    </x:row>
    <x:row r="23" ht="44" customHeight="1">
      <x:c r="A23" s="15" t="n">
        <x:v>7</x:v>
      </x:c>
      <x:c r="B23" s="15" t="str">
        <x:v>cancelled_at</x:v>
      </x:c>
      <x:c r="C23" s="15" t="str">
        <x:v>취소 시각</x:v>
      </x:c>
      <x:c r="D23" s="15" t="str">
        <x:v>timestamptz</x:v>
      </x:c>
      <x:c r="E23" s="15"/>
      <x:c r="F23" s="15"/>
      <x:c r="G23" s="15"/>
      <x:c r="H23" s="15"/>
      <x:c r="I23" s="15" t="str">
        <x:v>취소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3" s="15"/>
      <x:c r="K23" s="15" t="str">
        <x:v>보안: SYNTHETIC</x:v>
      </x:c>
    </x:row>
    <x:row r="24" ht="44" customHeight="1">
      <x:c r="A24" s="15" t="n">
        <x:v>8</x:v>
      </x:c>
      <x:c r="B24" s="15" t="str">
        <x:v>event_date</x:v>
      </x:c>
      <x:c r="C24" s="15" t="str">
        <x:v>행사일</x:v>
      </x:c>
      <x:c r="D24" s="15" t="str">
        <x:v>date</x:v>
      </x:c>
      <x:c r="E24" s="15"/>
      <x:c r="F24" s="15"/>
      <x:c r="G24" s="15" t="str">
        <x:v>NOT NULL</x:v>
      </x:c>
      <x:c r="H24" s="15"/>
      <x:c r="I24" s="15" t="str">
        <x:v>연회 행사가 예정 또는 수행되는 영업일자다. 매출 인식일과 다를 수 있으며 CRM 매핑 유효기간 판정의 event time으로 사용한다.</x:v>
      </x:c>
      <x:c r="J24" s="15"/>
      <x:c r="K24" s="15" t="str">
        <x:v>보안: SYNTHETIC</x:v>
      </x:c>
    </x:row>
    <x:row r="25" ht="44" customHeight="1">
      <x:c r="A25" s="15" t="n">
        <x:v>9</x:v>
      </x:c>
      <x:c r="B25" s="15" t="str">
        <x:v>product_code</x:v>
      </x:c>
      <x:c r="C25" s="15" t="str">
        <x:v>연회 상품 코드</x:v>
      </x:c>
      <x:c r="D25" s="15" t="str">
        <x:v>varchar</x:v>
      </x:c>
      <x:c r="E25" s="15" t="str">
        <x:v>32</x:v>
      </x:c>
      <x:c r="F25" s="15"/>
      <x:c r="G25" s="15" t="str">
        <x:v>NOT NULL</x:v>
      </x:c>
      <x:c r="H25" s="15"/>
      <x:c r="I25" s="15" t="str">
        <x:v>연회 상품 코드: 자유서술이 아닌 승인 코드로 저장한다. 자유서술 대신 승인된 코드 도메인을 사용해 source 간 집계와 필터 조건을 일관되게 유지한다.</x:v>
      </x:c>
      <x:c r="J25" s="15" t="str">
        <x:v>논리 코드 도메인 | banquet_revenue.product_code와 공유; 별도 product master는 P0 미구현</x:v>
      </x:c>
      <x:c r="K25" s="15" t="str">
        <x:v>보안: SYNTHETIC</x:v>
      </x:c>
    </x:row>
    <x:row r="26" ht="44" customHeight="1">
      <x:c r="A26" s="15" t="n">
        <x:v>10</x:v>
      </x:c>
      <x:c r="B26" s="15" t="str">
        <x:v>product_category</x:v>
      </x:c>
      <x:c r="C26" s="15" t="str">
        <x:v>행사 분류</x:v>
      </x:c>
      <x:c r="D26" s="15" t="str">
        <x:v>varchar</x:v>
      </x:c>
      <x:c r="E26" s="15" t="str">
        <x:v>32</x:v>
      </x:c>
      <x:c r="F26" s="15"/>
      <x:c r="G26" s="15" t="str">
        <x:v>NOT NULL</x:v>
      </x:c>
      <x:c r="H26" s="15"/>
      <x:c r="I26" s="15" t="str">
        <x:v>행사 분류: 승인된 표준 코드 값이다. 허용값은 WEDDING, CONFERENCE, MEETING, CORPORATE_EVENT, SOCIAL_EVENT이며 값에 따라 연회 예약의 처리 규칙·집계 범위·표시 방식이 달라지므로 자유서술을 허용하지 않는다.</x:v>
      </x:c>
      <x:c r="J26" s="15" t="str">
        <x:v>예약 행사 분류 코드 | WEDDING/CONFERENCE/MEETING/CORPORATE_EVENT/SOCIAL_EVENT</x:v>
      </x:c>
      <x:c r="K26" s="15" t="str">
        <x:v>보안: SYNTHETIC</x:v>
      </x:c>
    </x:row>
    <x:row r="27" ht="44" customHeight="1">
      <x:c r="A27" s="15" t="n">
        <x:v>11</x:v>
      </x:c>
      <x:c r="B27" s="15" t="str">
        <x:v>expected_guests</x:v>
      </x:c>
      <x:c r="C27" s="15" t="str">
        <x:v>예상 인원</x:v>
      </x:c>
      <x:c r="D27" s="15" t="str">
        <x:v>integer</x:v>
      </x:c>
      <x:c r="E27" s="15"/>
      <x:c r="F27" s="15"/>
      <x:c r="G27" s="15" t="str">
        <x:v>NOT NULL</x:v>
      </x:c>
      <x:c r="H27" s="15"/>
      <x:c r="I27" s="15" t="str">
        <x:v>문의·견적 단계에서 예상한 행사 참석 인원 수다. 0 이상이며 공간·상품 견적과 객실 블록 수요를 산정하는 기준으로 사용한다.</x:v>
      </x:c>
      <x:c r="J27" s="15"/>
      <x:c r="K27" s="15" t="str">
        <x:v>보안: SYNTHETIC</x:v>
      </x:c>
    </x:row>
    <x:row r="28" ht="44" customHeight="1">
      <x:c r="A28" s="15" t="n">
        <x:v>12</x:v>
      </x:c>
      <x:c r="B28" s="15" t="str">
        <x:v>actual_attendees</x:v>
      </x:c>
      <x:c r="C28" s="15" t="str">
        <x:v>실제 참석자</x:v>
      </x:c>
      <x:c r="D28" s="15" t="str">
        <x:v>integer</x:v>
      </x:c>
      <x:c r="E28" s="15"/>
      <x:c r="F28" s="15"/>
      <x:c r="G28" s="15"/>
      <x:c r="H28" s="15"/>
      <x:c r="I28" s="15" t="str">
        <x:v>행사에 실제 참석한 합성 인원 수다. 완료 전에는 NULL일 수 있고 완료된 행사에서는 0 이상이며 expected_guests와 비교한다.</x:v>
      </x:c>
      <x:c r="J28" s="15"/>
      <x:c r="K28" s="15" t="str">
        <x:v>보안: SYNTHETIC</x:v>
      </x:c>
    </x:row>
    <x:row r="29" ht="44" customHeight="1">
      <x:c r="A29" s="15" t="n">
        <x:v>13</x:v>
      </x:c>
      <x:c r="B29" s="15" t="str">
        <x:v>lead_source</x:v>
      </x:c>
      <x:c r="C29" s="15" t="str">
        <x:v>문의 유입경로</x:v>
      </x:c>
      <x:c r="D29" s="15" t="str">
        <x:v>varchar</x:v>
      </x:c>
      <x:c r="E29" s="15" t="str">
        <x:v>24</x:v>
      </x:c>
      <x:c r="F29" s="15"/>
      <x:c r="G29" s="15" t="str">
        <x:v>NOT NULL</x:v>
      </x:c>
      <x:c r="H29" s="15"/>
      <x:c r="I29" s="15" t="str">
        <x:v>연회 문의가 유입된 채널 코드다. 직접 문의, 제휴, 기업영업 등 승인된 범주를 사용해 채널별 전환율을 분석한다.</x:v>
      </x:c>
      <x:c r="J29" s="15"/>
      <x:c r="K29" s="15" t="str">
        <x:v>보안: SYNTHETIC</x:v>
      </x:c>
    </x:row>
    <x:row r="30" ht="44" customHeight="1">
      <x:c r="A30" s="15" t="n">
        <x:v>14</x:v>
      </x:c>
      <x:c r="B30" s="15" t="str">
        <x:v>sales_owner_team</x:v>
      </x:c>
      <x:c r="C30" s="15" t="str">
        <x:v>영업 담당팀</x:v>
      </x:c>
      <x:c r="D30" s="15" t="str">
        <x:v>varchar</x:v>
      </x:c>
      <x:c r="E30" s="15" t="str">
        <x:v>32</x:v>
      </x:c>
      <x:c r="F30" s="15"/>
      <x:c r="G30" s="15" t="str">
        <x:v>NOT NULL</x:v>
      </x:c>
      <x:c r="H30" s="15"/>
      <x:c r="I30" s="15" t="str">
        <x:v>해당 연회 기회의 견적·계약·행사 진행을 담당하는 영업 조직 코드다. 개인 이름 대신 팀 단위 소유권만 저장한다.</x:v>
      </x:c>
      <x:c r="J30" s="15"/>
      <x:c r="K30" s="15" t="str">
        <x:v>보안: SYNTHETIC</x:v>
      </x:c>
    </x:row>
    <x:row r="31" ht="44" customHeight="1">
      <x:c r="A31" s="15" t="n">
        <x:v>15</x:v>
      </x:c>
      <x:c r="B31" s="15" t="str">
        <x:v>booking_status</x:v>
      </x:c>
      <x:c r="C31" s="15" t="str">
        <x:v>예약 상태</x:v>
      </x:c>
      <x:c r="D31" s="15" t="str">
        <x:v>varchar</x:v>
      </x:c>
      <x:c r="E31" s="15" t="str">
        <x:v>20</x:v>
      </x:c>
      <x:c r="F31" s="15"/>
      <x:c r="G31" s="15" t="str">
        <x:v>NOT NULL</x:v>
      </x:c>
      <x:c r="H31" s="15"/>
      <x:c r="I31" s="15" t="str">
        <x:v>연회 영업 파이프라인 상태다. INQUIRY, QUOTED, TENTATIVE, CONFIRMED, CANCELLED, COMPLETED 중 하나이며 관련 시각·금액과 일치해야 한다.</x:v>
      </x:c>
      <x:c r="J31" s="15" t="str">
        <x:v>코드 기준 | INQUIRY, QUOTED, TENTATIVE, CONFIRMED, CANCELLED, COMPLETED</x:v>
      </x:c>
      <x:c r="K31" s="15" t="str">
        <x:v>보안: SYNTHETIC</x:v>
      </x:c>
    </x:row>
    <x:row r="32" ht="44" customHeight="1">
      <x:c r="A32" s="15" t="n">
        <x:v>16</x:v>
      </x:c>
      <x:c r="B32" s="15" t="str">
        <x:v>contracted_amount</x:v>
      </x:c>
      <x:c r="C32" s="15" t="str">
        <x:v>계약 금액</x:v>
      </x:c>
      <x:c r="D32" s="15" t="str">
        <x:v>numeric</x:v>
      </x:c>
      <x:c r="E32" s="15" t="str">
        <x:v>14,2</x:v>
      </x:c>
      <x:c r="F32" s="15"/>
      <x:c r="G32" s="15" t="str">
        <x:v>NOT NULL</x:v>
      </x:c>
      <x:c r="H32" s="15"/>
      <x:c r="I32" s="15" t="str">
        <x:v>연회 확정 계약의 총 금액이다. 예상·인식 매출과 구분하며 취소·완료 상태에 따라 별도 검증한다.</x:v>
      </x:c>
      <x:c r="J32" s="15"/>
      <x:c r="K32" s="15" t="str">
        <x:v>보안: SYNTHETIC</x:v>
      </x:c>
    </x:row>
    <x:row r="33" ht="44" customHeight="1">
      <x:c r="A33" s="15" t="n">
        <x:v>17</x:v>
      </x:c>
      <x:c r="B33" s="15" t="str">
        <x:v>pickup_room_count</x:v>
      </x:c>
      <x:c r="C33" s="15" t="str">
        <x:v>픽업 객실 수</x:v>
      </x:c>
      <x:c r="D33" s="15" t="str">
        <x:v>integer</x:v>
      </x:c>
      <x:c r="E33" s="15"/>
      <x:c r="F33" s="15"/>
      <x:c r="G33" s="15" t="str">
        <x:v>NOT NULL</x:v>
      </x:c>
      <x:c r="H33" s="15"/>
      <x:c r="I33" s="15" t="str">
        <x:v>연회 객실 블록 중 실제 예약으로 전환된 객실 수다. 0 이상이며 reserved_room_block_count를 초과하지 않아야 한다.</x:v>
      </x:c>
      <x:c r="J33" s="15"/>
      <x:c r="K33" s="15" t="str">
        <x:v>보안: INTERNAL</x:v>
      </x:c>
    </x:row>
    <x:row r="34" ht="44" customHeight="1">
      <x:c r="A34" s="15" t="n">
        <x:v>18</x:v>
      </x:c>
      <x:c r="B34" s="15" t="str">
        <x:v>released_room_count</x:v>
      </x:c>
      <x:c r="C34" s="15" t="str">
        <x:v>반납 객실 수</x:v>
      </x:c>
      <x:c r="D34" s="15" t="str">
        <x:v>integer</x:v>
      </x:c>
      <x:c r="E34" s="15"/>
      <x:c r="F34" s="15"/>
      <x:c r="G34" s="15" t="str">
        <x:v>NOT NULL</x:v>
      </x:c>
      <x:c r="H34" s="15"/>
      <x:c r="I34" s="15" t="str">
        <x:v>확보한 객실 블록 중 사용하지 않고 반납한 객실 수다. 0 이상이며 예약 블록 총량과 정합성을 검증한다.</x:v>
      </x:c>
      <x:c r="J34" s="15"/>
      <x:c r="K34" s="15" t="str">
        <x:v>보안: INTERNAL</x:v>
      </x:c>
    </x:row>
    <x:row r="35" ht="44" customHeight="1">
      <x:c r="A35" s="15" t="n">
        <x:v>19</x:v>
      </x:c>
      <x:c r="B35" s="15" t="str">
        <x:v>group_checkout_date</x:v>
      </x:c>
      <x:c r="C35" s="15" t="str">
        <x:v>단체 체크아웃일</x:v>
      </x:c>
      <x:c r="D35" s="15" t="str">
        <x:v>date</x:v>
      </x:c>
      <x:c r="E35" s="15"/>
      <x:c r="F35" s="15"/>
      <x:c r="G35" s="15"/>
      <x:c r="H35" s="15"/>
      <x:c r="I35" s="15" t="str">
        <x:v>연회 연계 단체 객실의 예정 체크아웃 날짜다. group_checkin_date보다 늦어야 하며 숙박일수 계산에서 종료일은 포함하지 않는다.</x:v>
      </x:c>
      <x:c r="J35" s="15"/>
      <x:c r="K35" s="15" t="str">
        <x:v>보안: INTERNAL</x:v>
      </x:c>
    </x:row>
    <x:row r="36" ht="44" customHeight="1">
      <x:c r="A36" s="15" t="n">
        <x:v>20</x:v>
      </x:c>
      <x:c r="B36" s="15" t="str">
        <x:v>group_checkin_date</x:v>
      </x:c>
      <x:c r="C36" s="15" t="str">
        <x:v>단체 체크인일</x:v>
      </x:c>
      <x:c r="D36" s="15" t="str">
        <x:v>date</x:v>
      </x:c>
      <x:c r="E36" s="15"/>
      <x:c r="F36" s="15"/>
      <x:c r="G36" s="15"/>
      <x:c r="H36" s="15"/>
      <x:c r="I36" s="15" t="str">
        <x:v>연회 연계 단체 객실의 예정 체크인 날짜다. group_checkout_date보다 빨라야 하며 객실 블록 수요의 시작 경계로 사용한다.</x:v>
      </x:c>
      <x:c r="J36" s="15"/>
      <x:c r="K36" s="15" t="str">
        <x:v>보안: INTERNAL</x:v>
      </x:c>
    </x:row>
    <x:row r="37" ht="44" customHeight="1">
      <x:c r="A37" s="15" t="n">
        <x:v>21</x:v>
      </x:c>
      <x:c r="B37" s="15" t="str">
        <x:v>expected_room_nights</x:v>
      </x:c>
      <x:c r="C37" s="15" t="str">
        <x:v>예상 객실박</x:v>
      </x:c>
      <x:c r="D37" s="15" t="str">
        <x:v>integer</x:v>
      </x:c>
      <x:c r="E37" s="15"/>
      <x:c r="F37" s="15"/>
      <x:c r="G37" s="15" t="str">
        <x:v>NOT NULL</x:v>
      </x:c>
      <x:c r="H37" s="15"/>
      <x:c r="I37" s="15" t="str">
        <x:v>연회와 연계해 예상되는 총 객실박 수다. 객실 블록 수와 단체 투숙기간을 기준으로 계산하며 객실수요예측 입력으로 사용할 수 있다.</x:v>
      </x:c>
      <x:c r="J37" s="15"/>
      <x:c r="K37" s="15" t="str">
        <x:v>보안: INTERNAL</x:v>
      </x:c>
    </x:row>
    <x:row r="38" ht="44" customHeight="1">
      <x:c r="A38" s="15" t="n">
        <x:v>22</x:v>
      </x:c>
      <x:c r="B38" s="15" t="str">
        <x:v>reserved_room_block_count</x:v>
      </x:c>
      <x:c r="C38" s="15" t="str">
        <x:v>예약 객실 블록 수</x:v>
      </x:c>
      <x:c r="D38" s="15" t="str">
        <x:v>integer</x:v>
      </x:c>
      <x:c r="E38" s="15"/>
      <x:c r="F38" s="15"/>
      <x:c r="G38" s="15" t="str">
        <x:v>NOT NULL</x:v>
      </x:c>
      <x:c r="H38" s="15"/>
      <x:c r="I38" s="15" t="str">
        <x:v>연회 계약으로 사전 확보한 객실 블록 수다. 픽업·반납 객실 수의 상한 기준이며 실제 객실 배정 정보는 저장하지 않는다.</x:v>
      </x:c>
      <x:c r="J38" s="15"/>
      <x:c r="K38" s="15" t="str">
        <x:v>보안: INTERNAL</x:v>
      </x:c>
    </x:row>
    <x:row r="39" ht="44" customHeight="1">
      <x:c r="A39" s="15" t="n">
        <x:v>23</x:v>
      </x:c>
      <x:c r="B39" s="15" t="str">
        <x:v>cancellation_fee</x:v>
      </x:c>
      <x:c r="C39" s="15" t="str">
        <x:v>취소 수수료</x:v>
      </x:c>
      <x:c r="D39" s="15" t="str">
        <x:v>numeric</x:v>
      </x:c>
      <x:c r="E39" s="15" t="str">
        <x:v>14,2</x:v>
      </x:c>
      <x:c r="F39" s="15"/>
      <x:c r="G39" s="15" t="str">
        <x:v>NOT NULL</x:v>
      </x:c>
      <x:c r="H39" s="15"/>
      <x:c r="I39" s="15" t="str">
        <x:v>연회 취소 시 계약 조건에 따라 유지되는 수수료 금액이다. 0 이상 KRW 값으로 refund·reversal과 구분하며 CANCELLED 상태에서만 실제 의미를 갖는다.</x:v>
      </x:c>
      <x:c r="J39" s="15"/>
      <x:c r="K39" s="15" t="str">
        <x:v>보안: INTERNAL</x:v>
      </x:c>
    </x:row>
    <x:row r="40" ht="44" customHeight="1">
      <x:c r="A40" s="15" t="n">
        <x:v>24</x:v>
      </x:c>
      <x:c r="B40" s="15" t="str">
        <x:v>data_period_status</x:v>
      </x:c>
      <x:c r="C40" s="15" t="str">
        <x:v>기간 상태</x:v>
      </x:c>
      <x:c r="D40" s="15" t="str">
        <x:v>varchar</x:v>
      </x:c>
      <x:c r="E40" s="15" t="str">
        <x:v>32</x:v>
      </x:c>
      <x:c r="F40" s="15"/>
      <x:c r="G40" s="15" t="str">
        <x:v>NOT NULL</x:v>
      </x:c>
      <x:c r="H40" s="15"/>
      <x:c r="I40" s="1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40" s="15" t="str">
        <x:v>기준 테이블 | hotel_datahub_app.reference.calendar_daily.data_period_status</x:v>
      </x:c>
      <x:c r="K40" s="15" t="str">
        <x:v>보안: POLICY</x:v>
      </x:c>
    </x:row>
    <x:row r="41" ht="44" customHeight="1">
      <x:c r="A41" s="15" t="n">
        <x:v>25</x:v>
      </x:c>
      <x:c r="B41" s="15" t="str">
        <x:v>is_forecast</x:v>
      </x:c>
      <x:c r="C41" s="15" t="str">
        <x:v>전망 여부</x:v>
      </x:c>
      <x:c r="D41" s="15" t="str">
        <x:v>boolean</x:v>
      </x:c>
      <x:c r="E41" s="15"/>
      <x:c r="F41" s="15"/>
      <x:c r="G41" s="15" t="str">
        <x:v>NOT NULL</x:v>
      </x:c>
      <x:c r="H41" s="15"/>
      <x:c r="I41" s="15" t="str">
        <x:v>해당 행을 실제·유사 실적이 아닌 미래 전망 시나리오로 취급할지 나타낸다. 2026-08-16 이후 FORECAST_SCENARIO만 true/1이며 실제 실적 기본 조회에서는 제외한다.</x:v>
      </x:c>
      <x:c r="J41" s="15" t="str">
        <x:v>기준 테이블 | hotel_datahub_app.reference.calendar_daily.is_forecast</x:v>
      </x:c>
      <x:c r="K41" s="15" t="str">
        <x:v>보안: POLICY</x:v>
      </x:c>
    </x:row>
    <x:row r="42" ht="44" customHeight="1">
      <x:c r="A42" s="15" t="n">
        <x:v>26</x:v>
      </x:c>
      <x:c r="B42" s="15" t="str">
        <x:v>is_synthetic</x:v>
      </x:c>
      <x:c r="C42" s="15" t="str">
        <x:v>합성 여부</x:v>
      </x:c>
      <x:c r="D42" s="15" t="str">
        <x:v>boolean</x:v>
      </x:c>
      <x:c r="E42" s="15"/>
      <x:c r="F42" s="15"/>
      <x:c r="G42" s="15" t="str">
        <x:v>NOT NULL</x:v>
      </x:c>
      <x:c r="H42" s="15"/>
      <x:c r="I42" s="15" t="str">
        <x:v>실제 고객·운영 원천이 아닌 프로젝트 생성 합성 데이터임을 표시한다. 현재 source fixture에서는 항상 true/1이며 실제 데이터와 혼합 저장하지 않는다.</x:v>
      </x:c>
      <x:c r="J42" s="15" t="str">
        <x:v>합성 데이터 정책 | source-fixture-v5.0에서 true/1 고정</x:v>
      </x:c>
      <x:c r="K42" s="15" t="str">
        <x:v>보안: POLICY</x:v>
      </x:c>
    </x:row>
    <x:row r="43" ht="44" customHeight="1">
      <x:c r="A43" s="15" t="n">
        <x:v>27</x:v>
      </x:c>
      <x:c r="B43" s="15" t="str">
        <x:v>source_updated_at</x:v>
      </x:c>
      <x:c r="C43" s="15" t="str">
        <x:v>원천 수정시각</x:v>
      </x:c>
      <x:c r="D43" s="15" t="str">
        <x:v>timestamptz</x:v>
      </x:c>
      <x:c r="E43" s="15"/>
      <x:c r="F43" s="15"/>
      <x:c r="G43" s="15" t="str">
        <x:v>NOT NULL</x:v>
      </x:c>
      <x:c r="H43" s="15"/>
      <x:c r="I43" s="15" t="str">
        <x:v>원천 수정시각을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43" s="15" t="str">
        <x:v>Point-in-time 기준 | source watermark; 조회 시 source_updated_at &lt;= :as_of_utc</x:v>
      </x:c>
      <x:c r="K43" s="15" t="str">
        <x:v>보안: SYNTHETIC</x:v>
      </x:c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</x:row>
    <x:row r="45">
      <x:c r="A45" s="58" t="str">
        <x:v>no</x:v>
      </x:c>
      <x:c r="B45" s="58" t="str">
        <x:v>Index name</x:v>
      </x:c>
      <x:c r="C45" s="58"/>
      <x:c r="D45" s="58" t="str">
        <x:v>Index type</x:v>
      </x:c>
      <x:c r="E45" s="58"/>
      <x:c r="F45" s="58" t="str">
        <x:v>Unique</x:v>
      </x:c>
      <x:c r="G45" s="58"/>
      <x:c r="H45" s="58" t="str">
        <x:v>구성 컬럼</x:v>
      </x:c>
      <x:c r="I45" s="58"/>
      <x:c r="J45" s="58"/>
      <x:c r="K45" s="58"/>
    </x:row>
    <x:row r="46">
      <x:c r="A46" s="15" t="n">
        <x:v>1</x:v>
      </x:c>
      <x:c r="B46" s="15" t="str">
        <x:v>PK_banquet_bookings</x:v>
      </x:c>
      <x:c r="C46" s="15"/>
      <x:c r="D46" s="15" t="str">
        <x:v>PK</x:v>
      </x:c>
      <x:c r="E46" s="15"/>
      <x:c r="F46" s="15" t="str">
        <x:v>Unique</x:v>
      </x:c>
      <x:c r="G46" s="15"/>
      <x:c r="H46" s="15" t="str">
        <x:v>banquet_event_id</x:v>
      </x:c>
      <x:c r="I46" s="15"/>
      <x:c r="J46" s="15"/>
      <x:c r="K46" s="15"/>
    </x:row>
    <x:row r="47">
      <x:c r="A47" s="15" t="n">
        <x:v>2</x:v>
      </x:c>
      <x:c r="B47" s="15" t="str">
        <x:v>IX_banquet_bookings_date_status</x:v>
      </x:c>
      <x:c r="C47" s="15"/>
      <x:c r="D47" s="15" t="str">
        <x:v>BTREE</x:v>
      </x:c>
      <x:c r="E47" s="15"/>
      <x:c r="F47" s="15" t="str">
        <x:v>Non-Unique</x:v>
      </x:c>
      <x:c r="G47" s="15"/>
      <x:c r="H47" s="15" t="str">
        <x:v>event_date, booking_status</x:v>
      </x:c>
      <x:c r="I47" s="15"/>
      <x:c r="J47" s="15"/>
      <x:c r="K47" s="15"/>
    </x:row>
    <x:row r="48">
      <x:c r="A48" s="15" t="n">
        <x:v>3</x:v>
      </x:c>
      <x:c r="B48" s="15" t="str">
        <x:v>IX_banquet_bookings_customer_date</x:v>
      </x:c>
      <x:c r="C48" s="15"/>
      <x:c r="D48" s="15" t="str">
        <x:v>BTREE</x:v>
      </x:c>
      <x:c r="E48" s="15"/>
      <x:c r="F48" s="15" t="str">
        <x:v>Non-Unique</x:v>
      </x:c>
      <x:c r="G48" s="15"/>
      <x:c r="H48" s="15" t="str">
        <x:v>customer_id, event_date</x:v>
      </x:c>
      <x:c r="I48" s="15"/>
      <x:c r="J48" s="15"/>
      <x:c r="K48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45:C45"/>
    <x:mergeCell ref="D45:E45"/>
    <x:mergeCell ref="F45:G45"/>
    <x:mergeCell ref="H45:K45"/>
    <x:mergeCell ref="B46:C46"/>
    <x:mergeCell ref="D46:E46"/>
    <x:mergeCell ref="F46:G46"/>
    <x:mergeCell ref="H46:K46"/>
    <x:mergeCell ref="B47:C47"/>
    <x:mergeCell ref="D47:E47"/>
    <x:mergeCell ref="F47:G47"/>
    <x:mergeCell ref="H47:K47"/>
    <x:mergeCell ref="B48:C48"/>
    <x:mergeCell ref="D48:E48"/>
    <x:mergeCell ref="F48:G48"/>
    <x:mergeCell ref="H48:K48"/>
  </x:mergeCells>
  <x:pageMargins left="0.7" right="0.7" top="0.75" bottom="0.75" header="0.3" footer="0.3"/>
</x:worksheet>
</file>

<file path=xl/worksheets/sheet8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68" hidden="0" customWidth="1"/>
    <x:col min="10" max="10" width="64" hidden="0" customWidth="1"/>
    <x:col min="11" max="11" width="24" hidden="0" customWidth="1"/>
  </x:cols>
  <x:sheetData>
    <x:row r="1" ht="24" customHeight="1">
      <x:c r="A1" s="55" t="str">
        <x:v>Table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>
      <x:c r="A2" s="56" t="str">
        <x:v>시스템/서비스</x:v>
      </x:c>
      <x:c r="B2" s="56"/>
      <x:c r="C2" s="15" t="str">
        <x:v>Answervice</x:v>
      </x:c>
      <x:c r="D2" s="15"/>
      <x:c r="E2" s="15"/>
      <x:c r="F2" s="15"/>
      <x:c r="G2" s="15"/>
      <x:c r="H2" s="15"/>
      <x:c r="I2" s="15"/>
      <x:c r="J2" s="15"/>
      <x:c r="K2" s="15"/>
    </x:row>
    <x:row r="3">
      <x:c r="A3" s="56" t="str">
        <x:v>작성자</x:v>
      </x:c>
      <x:c r="B3" s="56"/>
      <x:c r="C3" s="15" t="str">
        <x:v>29기 3팀</x:v>
      </x:c>
      <x:c r="D3" s="15"/>
      <x:c r="E3" s="15"/>
      <x:c r="F3" s="15"/>
      <x:c r="G3" s="15"/>
      <x:c r="H3" s="15"/>
      <x:c r="I3" s="15"/>
      <x:c r="J3" s="15"/>
      <x:c r="K3" s="15"/>
    </x:row>
    <x:row r="4">
      <x:c r="A4" s="56" t="str">
        <x:v>작성일</x:v>
      </x:c>
      <x:c r="B4" s="56"/>
      <x:c r="C4" s="15" t="str">
        <x:v>2026.09.01</x:v>
      </x:c>
      <x:c r="D4" s="15"/>
      <x:c r="E4" s="15"/>
      <x:c r="F4" s="15"/>
      <x:c r="G4" s="15"/>
      <x:c r="H4" s="15"/>
      <x:c r="I4" s="15"/>
      <x:c r="J4" s="15"/>
      <x:c r="K4" s="15"/>
    </x:row>
    <x:row r="5">
      <x:c r="A5" s="57" t="str">
        <x:v>프로젝트명</x:v>
      </x:c>
      <x:c r="B5" s="57"/>
      <x:c r="C5" s="15" t="str">
        <x:v>Answervice</x:v>
      </x:c>
      <x:c r="D5" s="15"/>
      <x:c r="E5" s="15"/>
      <x:c r="F5" s="15"/>
      <x:c r="G5" s="15"/>
      <x:c r="H5" s="15"/>
      <x:c r="I5" s="15"/>
      <x:c r="J5" s="15"/>
      <x:c r="K5" s="15"/>
    </x:row>
    <x:row r="6">
      <x:c r="A6" s="57" t="str">
        <x:v>dbms</x:v>
      </x:c>
      <x:c r="B6" s="57"/>
      <x:c r="C6" s="15" t="str">
        <x:v>PostgreSQL</x:v>
      </x:c>
      <x:c r="D6" s="15"/>
      <x:c r="E6" s="15"/>
      <x:c r="F6" s="15"/>
      <x:c r="G6" s="15"/>
      <x:c r="H6" s="15"/>
      <x:c r="I6" s="15"/>
      <x:c r="J6" s="15"/>
      <x:c r="K6" s="15"/>
    </x:row>
    <x:row r="7">
      <x:c r="A7" s="57" t="str">
        <x:v>db name</x:v>
      </x:c>
      <x:c r="B7" s="57"/>
      <x:c r="C7" s="15" t="str">
        <x:v>hotel_banquet</x:v>
      </x:c>
      <x:c r="D7" s="15"/>
      <x:c r="E7" s="15"/>
      <x:c r="F7" s="15"/>
      <x:c r="G7" s="15"/>
      <x:c r="H7" s="15"/>
      <x:c r="I7" s="15"/>
      <x:c r="J7" s="15"/>
      <x:c r="K7" s="15"/>
    </x:row>
    <x:row r="8">
      <x:c r="A8" s="57" t="str">
        <x:v>schema name</x:v>
      </x:c>
      <x:c r="B8" s="57"/>
      <x:c r="C8" s="15" t="str">
        <x:v>public</x:v>
      </x:c>
      <x:c r="D8" s="15"/>
      <x:c r="E8" s="15"/>
      <x:c r="F8" s="15"/>
      <x:c r="G8" s="15"/>
      <x:c r="H8" s="15"/>
      <x:c r="I8" s="15"/>
      <x:c r="J8" s="15"/>
      <x:c r="K8" s="15"/>
    </x:row>
    <x:row r="9">
      <x:c r="A9" s="57" t="str">
        <x:v>table name</x:v>
      </x:c>
      <x:c r="B9" s="57"/>
      <x:c r="C9" s="15" t="str">
        <x:v>banquet_revenue</x:v>
      </x:c>
      <x:c r="D9" s="15"/>
      <x:c r="E9" s="15"/>
      <x:c r="F9" s="15"/>
      <x:c r="G9" s="15"/>
      <x:c r="H9" s="15"/>
      <x:c r="I9" s="15"/>
      <x:c r="J9" s="15"/>
      <x:c r="K9" s="15"/>
    </x:row>
    <x:row r="10">
      <x:c r="A10" s="57" t="str">
        <x:v>테이블명</x:v>
      </x:c>
      <x:c r="B10" s="57"/>
      <x:c r="C10" s="15" t="str">
        <x:v>연회 매출</x:v>
      </x:c>
      <x:c r="D10" s="15"/>
      <x:c r="E10" s="15"/>
      <x:c r="F10" s="15"/>
      <x:c r="G10" s="15"/>
      <x:c r="H10" s="15"/>
      <x:c r="I10" s="15"/>
      <x:c r="J10" s="15"/>
      <x:c r="K10" s="15"/>
    </x:row>
    <x:row r="11" ht="48" customHeight="1">
      <x:c r="A11" s="56" t="str">
        <x:v>상세설명</x:v>
      </x:c>
      <x:c r="B11" s="56"/>
      <x:c r="C11" s="15" t="str">
        <x:v>연회 행사에 귀속되는 상품별 예상·인식·환입 매출과 원가를 저장한다. 실제 매출은 RECOGNIZED 금액에서 reversal을 차감하며 EXPECTED 금액과 분리한다.</x:v>
      </x:c>
      <x:c r="D11" s="15"/>
      <x:c r="E11" s="15"/>
      <x:c r="F11" s="15"/>
      <x:c r="G11" s="15"/>
      <x:c r="H11" s="15"/>
      <x:c r="I11" s="15"/>
      <x:c r="J11" s="15"/>
      <x:c r="K11" s="15"/>
    </x:row>
    <x:row r="12" ht="22" customHeight="1">
      <x:c r="A12" s="58" t="str">
        <x:v>초기 예상 건수</x:v>
      </x:c>
      <x:c r="B12" s="58"/>
      <x:c r="C12" s="58" t="str">
        <x:v>증가 예상 건수</x:v>
      </x:c>
      <x:c r="D12" s="58"/>
      <x:c r="E12" s="58" t="str">
        <x:v>최대 예상 건수</x:v>
      </x:c>
      <x:c r="F12" s="58"/>
      <x:c r="G12" s="58" t="str">
        <x:v>data 보존 기간</x:v>
      </x:c>
      <x:c r="H12" s="58"/>
      <x:c r="I12" s="58" t="str">
        <x:v>data 백업 주기</x:v>
      </x:c>
      <x:c r="J12" s="58"/>
      <x:c r="K12" s="58"/>
    </x:row>
    <x:row r="13" ht="22" customHeight="1">
      <x:c r="A13" s="58"/>
      <x:c r="B13" s="58"/>
      <x:c r="C13" s="58" t="str">
        <x:v>건수</x:v>
      </x:c>
      <x:c r="D13" s="58" t="str">
        <x:v>주기</x:v>
      </x:c>
      <x:c r="E13" s="58"/>
      <x:c r="F13" s="58"/>
      <x:c r="G13" s="58"/>
      <x:c r="H13" s="58"/>
      <x:c r="I13" s="58"/>
      <x:c r="J13" s="58"/>
      <x:c r="K13" s="58"/>
    </x:row>
    <x:row r="14" ht="22" customHeight="1">
      <x:c r="A14" s="58" t="str">
        <x:v>합성 적재 기준</x:v>
      </x:c>
      <x:c r="B14" s="58"/>
      <x:c r="C14" s="58" t="str">
        <x:v>-</x:v>
      </x:c>
      <x:c r="D14" s="58" t="str">
        <x:v>-</x:v>
      </x:c>
      <x:c r="E14" s="58" t="str">
        <x:v>정책 확정 전</x:v>
      </x:c>
      <x:c r="F14" s="58"/>
      <x:c r="G14" s="58" t="str">
        <x:v>정책 확정 전</x:v>
      </x:c>
      <x:c r="H14" s="58"/>
      <x:c r="I14" s="58" t="str">
        <x:v>매일(RPO 24시간)</x:v>
      </x:c>
      <x:c r="J14" s="58"/>
      <x:c r="K14" s="58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58" t="str">
        <x:v>no</x:v>
      </x:c>
      <x:c r="B16" s="58" t="str">
        <x:v>column name</x:v>
      </x:c>
      <x:c r="C16" s="58" t="str">
        <x:v>컬럼명</x:v>
      </x:c>
      <x:c r="D16" s="58" t="str">
        <x:v>type</x:v>
      </x:c>
      <x:c r="E16" s="58" t="str">
        <x:v>length</x:v>
      </x:c>
      <x:c r="F16" s="58" t="str">
        <x:v>PK/FK</x:v>
      </x:c>
      <x:c r="G16" s="58" t="str">
        <x:v>NN</x:v>
      </x:c>
      <x:c r="H16" s="58" t="str">
        <x:v>Default</x:v>
      </x:c>
      <x:c r="I16" s="58" t="str">
        <x:v>정의/설명</x:v>
      </x:c>
      <x:c r="J16" s="58" t="str">
        <x:v>참조테이블/기준</x:v>
      </x:c>
      <x:c r="K16" s="58" t="str">
        <x:v>비고(보안)</x:v>
      </x:c>
    </x:row>
    <x:row r="17" ht="44" customHeight="1">
      <x:c r="A17" s="15" t="n">
        <x:v>1</x:v>
      </x:c>
      <x:c r="B17" s="15" t="str">
        <x:v>property_id</x:v>
      </x:c>
      <x:c r="C17" s="15" t="str">
        <x:v>호텔 속성 ID</x:v>
      </x:c>
      <x:c r="D17" s="15" t="str">
        <x:v>varchar</x:v>
      </x:c>
      <x:c r="E17" s="15" t="str">
        <x:v>64</x:v>
      </x:c>
      <x:c r="F17" s="15"/>
      <x:c r="G17" s="15" t="str">
        <x:v>NOT NULL</x:v>
      </x:c>
      <x:c r="H17" s="15"/>
      <x:c r="I17" s="15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15" t="str">
        <x:v>공통 조인 기준 | fixture property_id=SYNTHETIC_HOTEL_001 | 5개 source에서 동일 값 사용</x:v>
      </x:c>
      <x:c r="K17" s="15" t="str">
        <x:v>보안: POLICY</x:v>
      </x:c>
    </x:row>
    <x:row r="18" ht="44" customHeight="1">
      <x:c r="A18" s="15" t="n">
        <x:v>2</x:v>
      </x:c>
      <x:c r="B18" s="15" t="str">
        <x:v>revenue_id</x:v>
      </x:c>
      <x:c r="C18" s="15" t="str">
        <x:v>매출 ID</x:v>
      </x:c>
      <x:c r="D18" s="15" t="str">
        <x:v>varchar</x:v>
      </x:c>
      <x:c r="E18" s="15" t="str">
        <x:v>36</x:v>
      </x:c>
      <x:c r="F18" s="15" t="str">
        <x:v>PK</x:v>
      </x:c>
      <x:c r="G18" s="15" t="str">
        <x:v>NOT NULL</x:v>
      </x:c>
      <x:c r="H18" s="15"/>
      <x:c r="I18" s="15" t="str">
        <x:v>매출 ID: 해당 업무 단위에서 발생한 원화 금액 원자값이다. 취소·환불·환입·무효 상태를 구분한 뒤 집계하고 소수점 오차가 없도록 고정소수점 타입을 사용한다.</x:v>
      </x:c>
      <x:c r="J18" s="15"/>
      <x:c r="K18" s="15" t="str">
        <x:v>보안: SYNTHETIC</x:v>
      </x:c>
    </x:row>
    <x:row r="19" ht="44" customHeight="1">
      <x:c r="A19" s="15" t="n">
        <x:v>3</x:v>
      </x:c>
      <x:c r="B19" s="15" t="str">
        <x:v>banquet_event_id</x:v>
      </x:c>
      <x:c r="C19" s="15" t="str">
        <x:v>연회 이벤트 ID</x:v>
      </x:c>
      <x:c r="D19" s="15" t="str">
        <x:v>varchar</x:v>
      </x:c>
      <x:c r="E19" s="15" t="str">
        <x:v>36</x:v>
      </x:c>
      <x:c r="F19" s="15" t="str">
        <x:v>FK</x:v>
      </x:c>
      <x:c r="G19" s="15" t="str">
        <x:v>NOT NULL</x:v>
      </x:c>
      <x:c r="H19" s="15"/>
      <x:c r="I19" s="15" t="str">
        <x:v>연회 이벤트 ID를 hotel_banquet.public.banquet_bookings.banquet_event_id와 연결하는 물리 외래키다. 반드시 존재하는 상위 행을 참조해야 한다.</x:v>
      </x:c>
      <x:c r="J19" s="15" t="str">
        <x:v>물리 FK | hotel_banquet.public.banquet_bookings.banquet_event_id</x:v>
      </x:c>
      <x:c r="K19" s="15" t="str">
        <x:v>보안: SYNTHETIC</x:v>
      </x:c>
    </x:row>
    <x:row r="20" ht="44" customHeight="1">
      <x:c r="A20" s="15" t="n">
        <x:v>4</x:v>
      </x:c>
      <x:c r="B20" s="15" t="str">
        <x:v>recognized_date</x:v>
      </x:c>
      <x:c r="C20" s="15" t="str">
        <x:v>매출 인식일</x:v>
      </x:c>
      <x:c r="D20" s="15" t="str">
        <x:v>date</x:v>
      </x:c>
      <x:c r="E20" s="15"/>
      <x:c r="F20" s="15"/>
      <x:c r="G20" s="15" t="str">
        <x:v>NOT NULL</x:v>
      </x:c>
      <x:c r="H20" s="15"/>
      <x:c r="I20" s="15" t="str">
        <x:v>연회 매출을 회계상 인식한 영업일자다. 행사일과 다를 수 있으며 EXPECTED 상태 금액은 실제 인식 매출로 집계하지 않는다.</x:v>
      </x:c>
      <x:c r="J20" s="15"/>
      <x:c r="K20" s="15" t="str">
        <x:v>보안: SYNTHETIC</x:v>
      </x:c>
    </x:row>
    <x:row r="21" ht="44" customHeight="1">
      <x:c r="A21" s="15" t="n">
        <x:v>5</x:v>
      </x:c>
      <x:c r="B21" s="15" t="str">
        <x:v>product_code</x:v>
      </x:c>
      <x:c r="C21" s="15" t="str">
        <x:v>상품 코드</x:v>
      </x:c>
      <x:c r="D21" s="15" t="str">
        <x:v>varchar</x:v>
      </x:c>
      <x:c r="E21" s="15" t="str">
        <x:v>32</x:v>
      </x:c>
      <x:c r="F21" s="15"/>
      <x:c r="G21" s="15" t="str">
        <x:v>NOT NULL</x:v>
      </x:c>
      <x:c r="H21" s="15"/>
      <x:c r="I21" s="15" t="str">
        <x:v>상품 코드: 자유서술이 아닌 승인 코드로 저장한다. 자유서술 대신 승인된 코드 도메인을 사용해 source 간 집계와 필터 조건을 일관되게 유지한다.</x:v>
      </x:c>
      <x:c r="J21" s="15" t="str">
        <x:v>논리 코드 도메인 | banquet_bookings.product_code와 공유; 별도 product master는 P0 미구현</x:v>
      </x:c>
      <x:c r="K21" s="15" t="str">
        <x:v>보안: SYNTHETIC</x:v>
      </x:c>
    </x:row>
    <x:row r="22" ht="44" customHeight="1">
      <x:c r="A22" s="15" t="n">
        <x:v>6</x:v>
      </x:c>
      <x:c r="B22" s="15" t="str">
        <x:v>product_category</x:v>
      </x:c>
      <x:c r="C22" s="15" t="str">
        <x:v>상품 분류</x:v>
      </x:c>
      <x:c r="D22" s="15" t="str">
        <x:v>varchar</x:v>
      </x:c>
      <x:c r="E22" s="15" t="str">
        <x:v>32</x:v>
      </x:c>
      <x:c r="F22" s="15"/>
      <x:c r="G22" s="15" t="str">
        <x:v>NOT NULL</x:v>
      </x:c>
      <x:c r="H22" s="15"/>
      <x:c r="I22" s="15" t="str">
        <x:v>상품 분류: 승인된 표준 코드 값이다. 허용값은 VENUE, FOOD_BEVERAGE, EQUIPMENT, DECORATION, SERVICE, ACCOMMODATION_PACKAGE이며 값에 따라 연회 매출의 처리 규칙·집계 범위·표시 방식이 달라지므로 자유서술을 허용하지 않는다.</x:v>
      </x:c>
      <x:c r="J22" s="15" t="str">
        <x:v>매출 상품 분류 코드 | VENUE/FOOD_BEVERAGE/EQUIPMENT/DECORATION/SERVICE/ACCOMMODATION_PACKAGE</x:v>
      </x:c>
      <x:c r="K22" s="15" t="str">
        <x:v>보안: SYNTHETIC</x:v>
      </x:c>
    </x:row>
    <x:row r="23" ht="44" customHeight="1">
      <x:c r="A23" s="15" t="n">
        <x:v>7</x:v>
      </x:c>
      <x:c r="B23" s="15" t="str">
        <x:v>revenue_amount</x:v>
      </x:c>
      <x:c r="C23" s="15" t="str">
        <x:v>매출액</x:v>
      </x:c>
      <x:c r="D23" s="15" t="str">
        <x:v>numeric</x:v>
      </x:c>
      <x:c r="E23" s="15" t="str">
        <x:v>14,2</x:v>
      </x:c>
      <x:c r="F23" s="15"/>
      <x:c r="G23" s="15" t="str">
        <x:v>NOT NULL</x:v>
      </x:c>
      <x:c r="H23" s="15"/>
      <x:c r="I23" s="15" t="str">
        <x:v>상품 항목별 예상 또는 인식 매출 총액이다. revenue_status에 따라 EXPECTED와 RECOGNIZED를 분리해 집계한다.</x:v>
      </x:c>
      <x:c r="J23" s="15"/>
      <x:c r="K23" s="15" t="str">
        <x:v>보안: SYNTHETIC</x:v>
      </x:c>
    </x:row>
    <x:row r="24" ht="44" customHeight="1">
      <x:c r="A24" s="15" t="n">
        <x:v>8</x:v>
      </x:c>
      <x:c r="B24" s="15" t="str">
        <x:v>reversal_amount</x:v>
      </x:c>
      <x:c r="C24" s="15" t="str">
        <x:v>매출 환입액</x:v>
      </x:c>
      <x:c r="D24" s="15" t="str">
        <x:v>numeric</x:v>
      </x:c>
      <x:c r="E24" s="15" t="str">
        <x:v>14,2</x:v>
      </x:c>
      <x:c r="F24" s="15"/>
      <x:c r="G24" s="15" t="str">
        <x:v>NOT NULL</x:v>
      </x:c>
      <x:c r="H24" s="15"/>
      <x:c r="I24" s="15" t="str">
        <x:v>기존 인식 매출에서 환입·취소된 금액이다. REVERSED 처리 시 별도 저장하며 실제 순매출은 인식액에서 차감한다.</x:v>
      </x:c>
      <x:c r="J24" s="15"/>
      <x:c r="K24" s="15" t="str">
        <x:v>보안: INTERNAL</x:v>
      </x:c>
    </x:row>
    <x:row r="25" ht="44" customHeight="1">
      <x:c r="A25" s="15" t="n">
        <x:v>9</x:v>
      </x:c>
      <x:c r="B25" s="15" t="str">
        <x:v>cost_amount</x:v>
      </x:c>
      <x:c r="C25" s="15" t="str">
        <x:v>원가</x:v>
      </x:c>
      <x:c r="D25" s="15" t="str">
        <x:v>numeric</x:v>
      </x:c>
      <x:c r="E25" s="15" t="str">
        <x:v>14,2</x:v>
      </x:c>
      <x:c r="F25" s="15"/>
      <x:c r="G25" s="15" t="str">
        <x:v>NOT NULL</x:v>
      </x:c>
      <x:c r="H25" s="15"/>
      <x:c r="I25" s="15" t="str">
        <x:v>해당 연회 상품 항목에 대응하는 합성 원가다. 매출총이익 분석에 사용하며 음수는 허용하지 않는다.</x:v>
      </x:c>
      <x:c r="J25" s="15"/>
      <x:c r="K25" s="15" t="str">
        <x:v>보안: SYNTHETIC</x:v>
      </x:c>
    </x:row>
    <x:row r="26" ht="44" customHeight="1">
      <x:c r="A26" s="15" t="n">
        <x:v>10</x:v>
      </x:c>
      <x:c r="B26" s="15" t="str">
        <x:v>revenue_status</x:v>
      </x:c>
      <x:c r="C26" s="15" t="str">
        <x:v>상태</x:v>
      </x:c>
      <x:c r="D26" s="15" t="str">
        <x:v>varchar</x:v>
      </x:c>
      <x:c r="E26" s="15" t="str">
        <x:v>16</x:v>
      </x:c>
      <x:c r="F26" s="15"/>
      <x:c r="G26" s="15" t="str">
        <x:v>NOT NULL</x:v>
      </x:c>
      <x:c r="H26" s="15"/>
      <x:c r="I26" s="15" t="str">
        <x:v>매출 단계 상태다. EXPECTED는 예상액, RECOGNIZED는 실제 인식액, REVERSED는 환입 대상임을 뜻하며 실제 매출 집계에서 구분한다.</x:v>
      </x:c>
      <x:c r="J26" s="15" t="str">
        <x:v>코드 기준 | EXPECTED, RECOGNIZED, REVERSED</x:v>
      </x:c>
      <x:c r="K26" s="15" t="str">
        <x:v>보안: SYNTHETIC</x:v>
      </x:c>
    </x:row>
    <x:row r="27" ht="44" customHeight="1">
      <x:c r="A27" s="15" t="n">
        <x:v>11</x:v>
      </x:c>
      <x:c r="B27" s="15" t="str">
        <x:v>data_period_status</x:v>
      </x:c>
      <x:c r="C27" s="15" t="str">
        <x:v>기간 상태</x:v>
      </x:c>
      <x:c r="D27" s="15" t="str">
        <x:v>varchar</x:v>
      </x:c>
      <x:c r="E27" s="15" t="str">
        <x:v>32</x:v>
      </x:c>
      <x:c r="F27" s="15"/>
      <x:c r="G27" s="15" t="str">
        <x:v>NOT NULL</x:v>
      </x:c>
      <x:c r="H27" s="15"/>
      <x:c r="I27" s="1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27" s="15" t="str">
        <x:v>기준 테이블 | hotel_datahub_app.reference.calendar_daily.data_period_status</x:v>
      </x:c>
      <x:c r="K27" s="15" t="str">
        <x:v>보안: POLICY</x:v>
      </x:c>
    </x:row>
    <x:row r="28" ht="44" customHeight="1">
      <x:c r="A28" s="15" t="n">
        <x:v>12</x:v>
      </x:c>
      <x:c r="B28" s="15" t="str">
        <x:v>is_forecast</x:v>
      </x:c>
      <x:c r="C28" s="15" t="str">
        <x:v>전망 여부</x:v>
      </x:c>
      <x:c r="D28" s="15" t="str">
        <x:v>boolean</x:v>
      </x:c>
      <x:c r="E28" s="15"/>
      <x:c r="F28" s="15"/>
      <x:c r="G28" s="15" t="str">
        <x:v>NOT NULL</x:v>
      </x:c>
      <x:c r="H28" s="15"/>
      <x:c r="I28" s="15" t="str">
        <x:v>해당 행을 실제·유사 실적이 아닌 미래 전망 시나리오로 취급할지 나타낸다. 2026-08-16 이후 FORECAST_SCENARIO만 true/1이며 실제 실적 기본 조회에서는 제외한다.</x:v>
      </x:c>
      <x:c r="J28" s="15" t="str">
        <x:v>기준 테이블 | hotel_datahub_app.reference.calendar_daily.is_forecast</x:v>
      </x:c>
      <x:c r="K28" s="15" t="str">
        <x:v>보안: POLICY</x:v>
      </x:c>
    </x:row>
    <x:row r="29" ht="44" customHeight="1">
      <x:c r="A29" s="15" t="n">
        <x:v>13</x:v>
      </x:c>
      <x:c r="B29" s="15" t="str">
        <x:v>is_synthetic</x:v>
      </x:c>
      <x:c r="C29" s="15" t="str">
        <x:v>합성 여부</x:v>
      </x:c>
      <x:c r="D29" s="15" t="str">
        <x:v>boolean</x:v>
      </x:c>
      <x:c r="E29" s="15"/>
      <x:c r="F29" s="15"/>
      <x:c r="G29" s="15" t="str">
        <x:v>NOT NULL</x:v>
      </x:c>
      <x:c r="H29" s="15"/>
      <x:c r="I29" s="15" t="str">
        <x:v>실제 고객·운영 원천이 아닌 프로젝트 생성 합성 데이터임을 표시한다. 현재 source fixture에서는 항상 true/1이며 실제 데이터와 혼합 저장하지 않는다.</x:v>
      </x:c>
      <x:c r="J29" s="15" t="str">
        <x:v>합성 데이터 정책 | source-fixture-v5.0에서 true/1 고정</x:v>
      </x:c>
      <x:c r="K29" s="15" t="str">
        <x:v>보안: POLICY</x:v>
      </x:c>
    </x:row>
    <x:row r="30" ht="44" customHeight="1">
      <x:c r="A30" s="15" t="n">
        <x:v>14</x:v>
      </x:c>
      <x:c r="B30" s="15" t="str">
        <x:v>source_updated_at</x:v>
      </x:c>
      <x:c r="C30" s="15" t="str">
        <x:v>원천 수정시각</x:v>
      </x:c>
      <x:c r="D30" s="15" t="str">
        <x:v>timestamptz</x:v>
      </x:c>
      <x:c r="E30" s="15"/>
      <x:c r="F30" s="15"/>
      <x:c r="G30" s="15" t="str">
        <x:v>NOT NULL</x:v>
      </x:c>
      <x:c r="H30" s="15"/>
      <x:c r="I30" s="15" t="str">
        <x:v>원천 수정시각을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30" s="15" t="str">
        <x:v>Point-in-time 기준 | source watermark; 조회 시 source_updated_at &lt;= :as_of_utc</x:v>
      </x:c>
      <x:c r="K30" s="15" t="str">
        <x:v>보안: SYNTHETIC</x:v>
      </x:c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>
      <x:c r="A32" s="58" t="str">
        <x:v>no</x:v>
      </x:c>
      <x:c r="B32" s="58" t="str">
        <x:v>Index name</x:v>
      </x:c>
      <x:c r="C32" s="58"/>
      <x:c r="D32" s="58" t="str">
        <x:v>Index type</x:v>
      </x:c>
      <x:c r="E32" s="58"/>
      <x:c r="F32" s="58" t="str">
        <x:v>Unique</x:v>
      </x:c>
      <x:c r="G32" s="58"/>
      <x:c r="H32" s="58" t="str">
        <x:v>구성 컬럼</x:v>
      </x:c>
      <x:c r="I32" s="58"/>
      <x:c r="J32" s="58"/>
      <x:c r="K32" s="58"/>
    </x:row>
    <x:row r="33">
      <x:c r="A33" s="15" t="n">
        <x:v>1</x:v>
      </x:c>
      <x:c r="B33" s="15" t="str">
        <x:v>PK_banquet_revenue</x:v>
      </x:c>
      <x:c r="C33" s="15"/>
      <x:c r="D33" s="15" t="str">
        <x:v>PK</x:v>
      </x:c>
      <x:c r="E33" s="15"/>
      <x:c r="F33" s="15" t="str">
        <x:v>Unique</x:v>
      </x:c>
      <x:c r="G33" s="15"/>
      <x:c r="H33" s="15" t="str">
        <x:v>revenue_id</x:v>
      </x:c>
      <x:c r="I33" s="15"/>
      <x:c r="J33" s="15"/>
      <x:c r="K33" s="15"/>
    </x:row>
    <x:row r="34">
      <x:c r="A34" s="15" t="n">
        <x:v>2</x:v>
      </x:c>
      <x:c r="B34" s="15" t="str">
        <x:v>IX_banquet_revenue_banquet_event_id</x:v>
      </x:c>
      <x:c r="C34" s="15"/>
      <x:c r="D34" s="15" t="str">
        <x:v>BTREE</x:v>
      </x:c>
      <x:c r="E34" s="15"/>
      <x:c r="F34" s="15" t="str">
        <x:v>Non-Unique</x:v>
      </x:c>
      <x:c r="G34" s="15"/>
      <x:c r="H34" s="15" t="str">
        <x:v>banquet_event_id</x:v>
      </x:c>
      <x:c r="I34" s="15"/>
      <x:c r="J34" s="15"/>
      <x:c r="K34" s="15"/>
    </x:row>
    <x:row r="35">
      <x:c r="A35" s="15" t="n">
        <x:v>3</x:v>
      </x:c>
      <x:c r="B35" s="15" t="str">
        <x:v>IX_banquet_revenue_event_date</x:v>
      </x:c>
      <x:c r="C35" s="15"/>
      <x:c r="D35" s="15" t="str">
        <x:v>BTREE</x:v>
      </x:c>
      <x:c r="E35" s="15"/>
      <x:c r="F35" s="15" t="str">
        <x:v>Non-Unique</x:v>
      </x:c>
      <x:c r="G35" s="15"/>
      <x:c r="H35" s="15" t="str">
        <x:v>banquet_event_id, recognized_date</x:v>
      </x:c>
      <x:c r="I35" s="15"/>
      <x:c r="J35" s="15"/>
      <x:c r="K35" s="15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A14:B14"/>
    <x:mergeCell ref="C12:D12"/>
    <x:mergeCell ref="E12:F13"/>
    <x:mergeCell ref="E14:F14"/>
    <x:mergeCell ref="G12:H13"/>
    <x:mergeCell ref="G14:H14"/>
    <x:mergeCell ref="I12:K13"/>
    <x:mergeCell ref="I14:K14"/>
    <x:mergeCell ref="B32:C32"/>
    <x:mergeCell ref="D32:E32"/>
    <x:mergeCell ref="F32:G32"/>
    <x:mergeCell ref="H32:K32"/>
    <x:mergeCell ref="B33:C33"/>
    <x:mergeCell ref="D33:E33"/>
    <x:mergeCell ref="F33:G33"/>
    <x:mergeCell ref="H33:K33"/>
    <x:mergeCell ref="B34:C34"/>
    <x:mergeCell ref="D34:E34"/>
    <x:mergeCell ref="F34:G34"/>
    <x:mergeCell ref="H34:K34"/>
    <x:mergeCell ref="B35:C35"/>
    <x:mergeCell ref="D35:E35"/>
    <x:mergeCell ref="F35:G35"/>
    <x:mergeCell ref="H35:K35"/>
  </x:mergeCells>
  <x:pageMargins left="0.7" right="0.7" top="0.75" bottom="0.75" header="0.3" footer="0.3"/>
</x:worksheet>
</file>